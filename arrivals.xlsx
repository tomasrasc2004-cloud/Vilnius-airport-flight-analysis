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omas\OneDrive\Desktop\"/>
    </mc:Choice>
  </mc:AlternateContent>
  <xr:revisionPtr revIDLastSave="0" documentId="13_ncr:1_{6AD29623-E95B-45FF-82F8-51B5ADE26C3C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By Airline" sheetId="3" r:id="rId1"/>
    <sheet name="Weekday" sheetId="19" r:id="rId2"/>
    <sheet name="Hour" sheetId="20" r:id="rId3"/>
    <sheet name="Airline" sheetId="22" r:id="rId4"/>
    <sheet name="Main" sheetId="1" r:id="rId5"/>
  </sheets>
  <definedNames>
    <definedName name="_xlnm._FilterDatabase" localSheetId="4" hidden="1">Main!$C$1:$C$3107</definedName>
    <definedName name="_xlchart.v1.0" hidden="1">Main!$AB$9:$AB$557</definedName>
    <definedName name="_xlchart.v1.1" hidden="1">Main!$P$2:$P$1553</definedName>
    <definedName name="_xlcn.WorksheetConnection_aMN1" hidden="1">Main!$P:$Q</definedName>
    <definedName name="_xlcn.WorksheetConnection_aMN11" hidden="1">Main!$N:$O</definedName>
    <definedName name="_xlcn.WorksheetConnection_aOP1" hidden="1">Main!$R:$S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a!$O:$P"/>
          <x15:modelTable id="Range 3" name="Range 3" connection="WorksheetConnection_a!$M:$N1"/>
          <x15:modelTable id="Range 2" name="Range 2" connection="WorksheetConnection_a!$M:$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64" i="1" l="1"/>
  <c r="C1556" i="1" s="1" a="1"/>
  <c r="C1556" i="1" s="1"/>
  <c r="F2" i="1"/>
  <c r="C1502" i="1"/>
  <c r="C1485" i="1"/>
  <c r="C1452" i="1"/>
  <c r="C1439" i="1"/>
  <c r="C1435" i="1"/>
  <c r="C1424" i="1"/>
  <c r="C1421" i="1"/>
  <c r="C1389" i="1"/>
  <c r="C1369" i="1"/>
  <c r="C1325" i="1"/>
  <c r="C1313" i="1"/>
  <c r="C1266" i="1"/>
  <c r="C1262" i="1"/>
  <c r="C1261" i="1"/>
  <c r="C1257" i="1"/>
  <c r="C1259" i="1"/>
  <c r="M1231" i="1"/>
  <c r="C1084" i="1"/>
  <c r="C1048" i="1"/>
  <c r="C986" i="1"/>
  <c r="C971" i="1"/>
  <c r="C959" i="1"/>
  <c r="C937" i="1"/>
  <c r="C902" i="1"/>
  <c r="C917" i="1"/>
  <c r="C820" i="1"/>
  <c r="C697" i="1"/>
  <c r="C662" i="1"/>
  <c r="C600" i="1"/>
  <c r="C525" i="1"/>
  <c r="M643" i="1"/>
  <c r="M905" i="1"/>
  <c r="M1038" i="1"/>
  <c r="M1159" i="1"/>
  <c r="M1219" i="1"/>
  <c r="M1227" i="1"/>
  <c r="M1248" i="1"/>
  <c r="M1361" i="1"/>
  <c r="M1362" i="1"/>
  <c r="M1364" i="1"/>
  <c r="M1416" i="1"/>
  <c r="M1474" i="1"/>
  <c r="M1489" i="1"/>
  <c r="C455" i="1"/>
  <c r="C354" i="1"/>
  <c r="C321" i="1"/>
  <c r="C239" i="1"/>
  <c r="C146" i="1"/>
  <c r="C132" i="1"/>
  <c r="C127" i="1"/>
  <c r="C126" i="1"/>
  <c r="C115" i="1"/>
  <c r="C107" i="1"/>
  <c r="C92" i="1"/>
  <c r="C87" i="1"/>
  <c r="R70" i="1"/>
  <c r="R71" i="1"/>
  <c r="R137" i="1"/>
  <c r="R196" i="1"/>
  <c r="R395" i="1"/>
  <c r="R459" i="1"/>
  <c r="R460" i="1"/>
  <c r="R532" i="1"/>
  <c r="R590" i="1"/>
  <c r="R592" i="1"/>
  <c r="R649" i="1"/>
  <c r="R650" i="1"/>
  <c r="R651" i="1"/>
  <c r="R721" i="1"/>
  <c r="R849" i="1"/>
  <c r="R977" i="1"/>
  <c r="R1034" i="1"/>
  <c r="R1164" i="1"/>
  <c r="R1301" i="1"/>
  <c r="R1431" i="1"/>
  <c r="R1487" i="1"/>
  <c r="R1490" i="1"/>
  <c r="R1493" i="1"/>
  <c r="W22" i="1" l="1" a="1"/>
  <c r="W22" i="1" s="1"/>
  <c r="W30" i="1" a="1"/>
  <c r="W30" i="1" s="1"/>
  <c r="W44" i="1" a="1"/>
  <c r="W44" i="1" s="1"/>
  <c r="W48" i="1" a="1"/>
  <c r="W48" i="1" s="1"/>
  <c r="W57" i="1" a="1"/>
  <c r="W57" i="1" s="1"/>
  <c r="W106" i="1" a="1"/>
  <c r="W106" i="1" s="1"/>
  <c r="W98" i="1" a="1"/>
  <c r="W98" i="1" s="1"/>
  <c r="W92" i="1" a="1"/>
  <c r="W92" i="1" s="1"/>
  <c r="W88" i="1" a="1"/>
  <c r="W88" i="1" s="1"/>
  <c r="W76" i="1" a="1"/>
  <c r="W76" i="1" s="1"/>
  <c r="F3" i="1" l="1"/>
  <c r="P3" i="1" s="1"/>
  <c r="F4" i="1"/>
  <c r="P4" i="1" s="1"/>
  <c r="F5" i="1"/>
  <c r="P5" i="1" s="1"/>
  <c r="F6" i="1"/>
  <c r="P6" i="1" s="1"/>
  <c r="F7" i="1"/>
  <c r="P7" i="1" s="1"/>
  <c r="F8" i="1"/>
  <c r="P8" i="1" s="1"/>
  <c r="F9" i="1"/>
  <c r="P9" i="1" s="1"/>
  <c r="F10" i="1"/>
  <c r="P10" i="1" s="1"/>
  <c r="F11" i="1"/>
  <c r="P11" i="1" s="1"/>
  <c r="F12" i="1"/>
  <c r="P12" i="1" s="1"/>
  <c r="F13" i="1"/>
  <c r="P13" i="1" s="1"/>
  <c r="F14" i="1"/>
  <c r="P14" i="1" s="1"/>
  <c r="F15" i="1"/>
  <c r="P15" i="1" s="1"/>
  <c r="F16" i="1"/>
  <c r="P16" i="1" s="1"/>
  <c r="F17" i="1"/>
  <c r="P17" i="1" s="1"/>
  <c r="F18" i="1"/>
  <c r="P18" i="1" s="1"/>
  <c r="F19" i="1"/>
  <c r="P19" i="1" s="1"/>
  <c r="F20" i="1"/>
  <c r="P20" i="1" s="1"/>
  <c r="F21" i="1"/>
  <c r="P21" i="1" s="1"/>
  <c r="F22" i="1"/>
  <c r="P22" i="1" s="1"/>
  <c r="F23" i="1"/>
  <c r="P23" i="1" s="1"/>
  <c r="F24" i="1"/>
  <c r="P24" i="1" s="1"/>
  <c r="F25" i="1"/>
  <c r="P25" i="1" s="1"/>
  <c r="F26" i="1"/>
  <c r="P26" i="1" s="1"/>
  <c r="F27" i="1"/>
  <c r="P27" i="1" s="1"/>
  <c r="F28" i="1"/>
  <c r="P28" i="1" s="1"/>
  <c r="F29" i="1"/>
  <c r="P29" i="1" s="1"/>
  <c r="F30" i="1"/>
  <c r="P30" i="1" s="1"/>
  <c r="F31" i="1"/>
  <c r="P31" i="1" s="1"/>
  <c r="F32" i="1"/>
  <c r="P32" i="1" s="1"/>
  <c r="F33" i="1"/>
  <c r="P33" i="1" s="1"/>
  <c r="F34" i="1"/>
  <c r="P34" i="1" s="1"/>
  <c r="F35" i="1"/>
  <c r="P35" i="1" s="1"/>
  <c r="F36" i="1"/>
  <c r="P36" i="1" s="1"/>
  <c r="F37" i="1"/>
  <c r="P37" i="1" s="1"/>
  <c r="F38" i="1"/>
  <c r="P38" i="1" s="1"/>
  <c r="F39" i="1"/>
  <c r="P39" i="1" s="1"/>
  <c r="F40" i="1"/>
  <c r="P40" i="1" s="1"/>
  <c r="F41" i="1"/>
  <c r="P41" i="1" s="1"/>
  <c r="F42" i="1"/>
  <c r="P42" i="1" s="1"/>
  <c r="F43" i="1"/>
  <c r="P43" i="1" s="1"/>
  <c r="F44" i="1"/>
  <c r="P44" i="1" s="1"/>
  <c r="F45" i="1"/>
  <c r="P45" i="1" s="1"/>
  <c r="F46" i="1"/>
  <c r="P46" i="1" s="1"/>
  <c r="F47" i="1"/>
  <c r="P47" i="1" s="1"/>
  <c r="F48" i="1"/>
  <c r="P48" i="1" s="1"/>
  <c r="F49" i="1"/>
  <c r="P49" i="1" s="1"/>
  <c r="F50" i="1"/>
  <c r="P50" i="1" s="1"/>
  <c r="F51" i="1"/>
  <c r="P51" i="1" s="1"/>
  <c r="F52" i="1"/>
  <c r="P52" i="1" s="1"/>
  <c r="F53" i="1"/>
  <c r="P53" i="1" s="1"/>
  <c r="F54" i="1"/>
  <c r="P54" i="1" s="1"/>
  <c r="F55" i="1"/>
  <c r="P55" i="1" s="1"/>
  <c r="F56" i="1"/>
  <c r="P56" i="1" s="1"/>
  <c r="F57" i="1"/>
  <c r="P57" i="1" s="1"/>
  <c r="F58" i="1"/>
  <c r="P58" i="1" s="1"/>
  <c r="F59" i="1"/>
  <c r="P59" i="1" s="1"/>
  <c r="F60" i="1"/>
  <c r="P60" i="1" s="1"/>
  <c r="F61" i="1"/>
  <c r="F62" i="1"/>
  <c r="P62" i="1" s="1"/>
  <c r="F63" i="1"/>
  <c r="P63" i="1" s="1"/>
  <c r="F64" i="1"/>
  <c r="F65" i="1"/>
  <c r="P65" i="1" s="1"/>
  <c r="F66" i="1"/>
  <c r="P66" i="1" s="1"/>
  <c r="F67" i="1"/>
  <c r="P67" i="1" s="1"/>
  <c r="F68" i="1"/>
  <c r="P68" i="1" s="1"/>
  <c r="F69" i="1"/>
  <c r="P69" i="1" s="1"/>
  <c r="F70" i="1"/>
  <c r="F71" i="1"/>
  <c r="L71" i="1" s="1"/>
  <c r="F72" i="1"/>
  <c r="P72" i="1" s="1"/>
  <c r="F73" i="1"/>
  <c r="P73" i="1" s="1"/>
  <c r="F74" i="1"/>
  <c r="P74" i="1" s="1"/>
  <c r="F75" i="1"/>
  <c r="P75" i="1" s="1"/>
  <c r="F76" i="1"/>
  <c r="P76" i="1" s="1"/>
  <c r="F77" i="1"/>
  <c r="P77" i="1" s="1"/>
  <c r="F78" i="1"/>
  <c r="P78" i="1" s="1"/>
  <c r="F79" i="1"/>
  <c r="P79" i="1" s="1"/>
  <c r="F80" i="1"/>
  <c r="P80" i="1" s="1"/>
  <c r="F81" i="1"/>
  <c r="P81" i="1" s="1"/>
  <c r="F82" i="1"/>
  <c r="P82" i="1" s="1"/>
  <c r="F83" i="1"/>
  <c r="P83" i="1" s="1"/>
  <c r="F84" i="1"/>
  <c r="P84" i="1" s="1"/>
  <c r="F85" i="1"/>
  <c r="P85" i="1" s="1"/>
  <c r="F86" i="1"/>
  <c r="P86" i="1" s="1"/>
  <c r="F87" i="1"/>
  <c r="P87" i="1" s="1"/>
  <c r="F88" i="1"/>
  <c r="F89" i="1"/>
  <c r="P89" i="1" s="1"/>
  <c r="F90" i="1"/>
  <c r="P90" i="1" s="1"/>
  <c r="F91" i="1"/>
  <c r="P91" i="1" s="1"/>
  <c r="F92" i="1"/>
  <c r="P92" i="1" s="1"/>
  <c r="F93" i="1"/>
  <c r="P93" i="1" s="1"/>
  <c r="F94" i="1"/>
  <c r="P94" i="1" s="1"/>
  <c r="F95" i="1"/>
  <c r="P95" i="1" s="1"/>
  <c r="F96" i="1"/>
  <c r="P96" i="1" s="1"/>
  <c r="F97" i="1"/>
  <c r="P97" i="1" s="1"/>
  <c r="F98" i="1"/>
  <c r="P98" i="1" s="1"/>
  <c r="F99" i="1"/>
  <c r="P99" i="1" s="1"/>
  <c r="F100" i="1"/>
  <c r="P100" i="1" s="1"/>
  <c r="F101" i="1"/>
  <c r="P101" i="1" s="1"/>
  <c r="F102" i="1"/>
  <c r="P102" i="1" s="1"/>
  <c r="F103" i="1"/>
  <c r="P103" i="1" s="1"/>
  <c r="F104" i="1"/>
  <c r="P104" i="1" s="1"/>
  <c r="F105" i="1"/>
  <c r="P105" i="1" s="1"/>
  <c r="F106" i="1"/>
  <c r="P106" i="1" s="1"/>
  <c r="F107" i="1"/>
  <c r="P107" i="1" s="1"/>
  <c r="F108" i="1"/>
  <c r="P108" i="1" s="1"/>
  <c r="F109" i="1"/>
  <c r="P109" i="1" s="1"/>
  <c r="F110" i="1"/>
  <c r="P110" i="1" s="1"/>
  <c r="F111" i="1"/>
  <c r="P111" i="1" s="1"/>
  <c r="F112" i="1"/>
  <c r="P112" i="1" s="1"/>
  <c r="F113" i="1"/>
  <c r="P113" i="1" s="1"/>
  <c r="F114" i="1"/>
  <c r="P114" i="1" s="1"/>
  <c r="F115" i="1"/>
  <c r="P115" i="1" s="1"/>
  <c r="F116" i="1"/>
  <c r="P116" i="1" s="1"/>
  <c r="F117" i="1"/>
  <c r="P117" i="1" s="1"/>
  <c r="F118" i="1"/>
  <c r="P118" i="1" s="1"/>
  <c r="F119" i="1"/>
  <c r="P119" i="1" s="1"/>
  <c r="F120" i="1"/>
  <c r="P120" i="1" s="1"/>
  <c r="F121" i="1"/>
  <c r="P121" i="1" s="1"/>
  <c r="F122" i="1"/>
  <c r="P122" i="1" s="1"/>
  <c r="F123" i="1"/>
  <c r="P123" i="1" s="1"/>
  <c r="F124" i="1"/>
  <c r="P124" i="1" s="1"/>
  <c r="F125" i="1"/>
  <c r="P125" i="1" s="1"/>
  <c r="F126" i="1"/>
  <c r="F127" i="1"/>
  <c r="P127" i="1" s="1"/>
  <c r="F128" i="1"/>
  <c r="P128" i="1" s="1"/>
  <c r="F129" i="1"/>
  <c r="P129" i="1" s="1"/>
  <c r="F130" i="1"/>
  <c r="F131" i="1"/>
  <c r="F132" i="1"/>
  <c r="F133" i="1"/>
  <c r="P133" i="1" s="1"/>
  <c r="F134" i="1"/>
  <c r="P134" i="1" s="1"/>
  <c r="F135" i="1"/>
  <c r="P135" i="1" s="1"/>
  <c r="F136" i="1"/>
  <c r="P136" i="1" s="1"/>
  <c r="F137" i="1"/>
  <c r="L137" i="1" s="1"/>
  <c r="F138" i="1"/>
  <c r="P138" i="1" s="1"/>
  <c r="F139" i="1"/>
  <c r="P139" i="1" s="1"/>
  <c r="F140" i="1"/>
  <c r="P140" i="1" s="1"/>
  <c r="F141" i="1"/>
  <c r="P141" i="1" s="1"/>
  <c r="F142" i="1"/>
  <c r="P142" i="1" s="1"/>
  <c r="F143" i="1"/>
  <c r="P143" i="1" s="1"/>
  <c r="F144" i="1"/>
  <c r="P144" i="1" s="1"/>
  <c r="F145" i="1"/>
  <c r="P145" i="1" s="1"/>
  <c r="F146" i="1"/>
  <c r="F147" i="1"/>
  <c r="P147" i="1" s="1"/>
  <c r="F148" i="1"/>
  <c r="P148" i="1" s="1"/>
  <c r="F149" i="1"/>
  <c r="P149" i="1" s="1"/>
  <c r="F150" i="1"/>
  <c r="P150" i="1" s="1"/>
  <c r="F151" i="1"/>
  <c r="P151" i="1" s="1"/>
  <c r="F152" i="1"/>
  <c r="P152" i="1" s="1"/>
  <c r="F153" i="1"/>
  <c r="P153" i="1" s="1"/>
  <c r="F154" i="1"/>
  <c r="P154" i="1" s="1"/>
  <c r="F155" i="1"/>
  <c r="P155" i="1" s="1"/>
  <c r="F156" i="1"/>
  <c r="P156" i="1" s="1"/>
  <c r="F157" i="1"/>
  <c r="P157" i="1" s="1"/>
  <c r="F158" i="1"/>
  <c r="P158" i="1" s="1"/>
  <c r="F159" i="1"/>
  <c r="P159" i="1" s="1"/>
  <c r="F160" i="1"/>
  <c r="P160" i="1" s="1"/>
  <c r="F161" i="1"/>
  <c r="P161" i="1" s="1"/>
  <c r="F162" i="1"/>
  <c r="P162" i="1" s="1"/>
  <c r="F163" i="1"/>
  <c r="P163" i="1" s="1"/>
  <c r="F164" i="1"/>
  <c r="P164" i="1" s="1"/>
  <c r="F165" i="1"/>
  <c r="P165" i="1" s="1"/>
  <c r="F166" i="1"/>
  <c r="P166" i="1" s="1"/>
  <c r="F167" i="1"/>
  <c r="P167" i="1" s="1"/>
  <c r="F168" i="1"/>
  <c r="P168" i="1" s="1"/>
  <c r="F169" i="1"/>
  <c r="P169" i="1" s="1"/>
  <c r="F170" i="1"/>
  <c r="P170" i="1" s="1"/>
  <c r="F171" i="1"/>
  <c r="P171" i="1" s="1"/>
  <c r="F172" i="1"/>
  <c r="P172" i="1" s="1"/>
  <c r="F173" i="1"/>
  <c r="P173" i="1" s="1"/>
  <c r="F174" i="1"/>
  <c r="P174" i="1" s="1"/>
  <c r="F175" i="1"/>
  <c r="P175" i="1" s="1"/>
  <c r="F176" i="1"/>
  <c r="P176" i="1" s="1"/>
  <c r="F177" i="1"/>
  <c r="P177" i="1" s="1"/>
  <c r="F178" i="1"/>
  <c r="P178" i="1" s="1"/>
  <c r="F179" i="1"/>
  <c r="P179" i="1" s="1"/>
  <c r="F180" i="1"/>
  <c r="P180" i="1" s="1"/>
  <c r="F181" i="1"/>
  <c r="P181" i="1" s="1"/>
  <c r="F182" i="1"/>
  <c r="P182" i="1" s="1"/>
  <c r="F183" i="1"/>
  <c r="P183" i="1" s="1"/>
  <c r="F184" i="1"/>
  <c r="P184" i="1" s="1"/>
  <c r="F185" i="1"/>
  <c r="P185" i="1" s="1"/>
  <c r="F186" i="1"/>
  <c r="P186" i="1" s="1"/>
  <c r="F187" i="1"/>
  <c r="P187" i="1" s="1"/>
  <c r="F188" i="1"/>
  <c r="P188" i="1" s="1"/>
  <c r="F189" i="1"/>
  <c r="P189" i="1" s="1"/>
  <c r="F190" i="1"/>
  <c r="P190" i="1" s="1"/>
  <c r="F191" i="1"/>
  <c r="P191" i="1" s="1"/>
  <c r="F192" i="1"/>
  <c r="P192" i="1" s="1"/>
  <c r="F193" i="1"/>
  <c r="P193" i="1" s="1"/>
  <c r="F194" i="1"/>
  <c r="P194" i="1" s="1"/>
  <c r="F195" i="1"/>
  <c r="P195" i="1" s="1"/>
  <c r="F196" i="1"/>
  <c r="L196" i="1" s="1"/>
  <c r="F197" i="1"/>
  <c r="P197" i="1" s="1"/>
  <c r="F198" i="1"/>
  <c r="P198" i="1" s="1"/>
  <c r="F199" i="1"/>
  <c r="P199" i="1" s="1"/>
  <c r="F200" i="1"/>
  <c r="P200" i="1" s="1"/>
  <c r="F201" i="1"/>
  <c r="P201" i="1" s="1"/>
  <c r="F202" i="1"/>
  <c r="P202" i="1" s="1"/>
  <c r="F203" i="1"/>
  <c r="P203" i="1" s="1"/>
  <c r="F204" i="1"/>
  <c r="P204" i="1" s="1"/>
  <c r="F205" i="1"/>
  <c r="P205" i="1" s="1"/>
  <c r="F206" i="1"/>
  <c r="P206" i="1" s="1"/>
  <c r="F207" i="1"/>
  <c r="P207" i="1" s="1"/>
  <c r="F208" i="1"/>
  <c r="P208" i="1" s="1"/>
  <c r="F209" i="1"/>
  <c r="P209" i="1" s="1"/>
  <c r="F210" i="1"/>
  <c r="P210" i="1" s="1"/>
  <c r="F211" i="1"/>
  <c r="P211" i="1" s="1"/>
  <c r="F212" i="1"/>
  <c r="P212" i="1" s="1"/>
  <c r="F213" i="1"/>
  <c r="P213" i="1" s="1"/>
  <c r="F214" i="1"/>
  <c r="P214" i="1" s="1"/>
  <c r="F215" i="1"/>
  <c r="P215" i="1" s="1"/>
  <c r="F216" i="1"/>
  <c r="P216" i="1" s="1"/>
  <c r="F217" i="1"/>
  <c r="P217" i="1" s="1"/>
  <c r="F218" i="1"/>
  <c r="P218" i="1" s="1"/>
  <c r="F219" i="1"/>
  <c r="P219" i="1" s="1"/>
  <c r="F220" i="1"/>
  <c r="P220" i="1" s="1"/>
  <c r="F221" i="1"/>
  <c r="P221" i="1" s="1"/>
  <c r="F222" i="1"/>
  <c r="P222" i="1" s="1"/>
  <c r="F223" i="1"/>
  <c r="P223" i="1" s="1"/>
  <c r="F224" i="1"/>
  <c r="P224" i="1" s="1"/>
  <c r="F225" i="1"/>
  <c r="P225" i="1" s="1"/>
  <c r="F226" i="1"/>
  <c r="P226" i="1" s="1"/>
  <c r="F227" i="1"/>
  <c r="P227" i="1" s="1"/>
  <c r="F228" i="1"/>
  <c r="P228" i="1" s="1"/>
  <c r="F229" i="1"/>
  <c r="P229" i="1" s="1"/>
  <c r="F230" i="1"/>
  <c r="P230" i="1" s="1"/>
  <c r="F231" i="1"/>
  <c r="P231" i="1" s="1"/>
  <c r="F232" i="1"/>
  <c r="P232" i="1" s="1"/>
  <c r="F233" i="1"/>
  <c r="P233" i="1" s="1"/>
  <c r="F234" i="1"/>
  <c r="P234" i="1" s="1"/>
  <c r="F235" i="1"/>
  <c r="P235" i="1" s="1"/>
  <c r="F236" i="1"/>
  <c r="P236" i="1" s="1"/>
  <c r="F237" i="1"/>
  <c r="P237" i="1" s="1"/>
  <c r="F238" i="1"/>
  <c r="P238" i="1" s="1"/>
  <c r="F239" i="1"/>
  <c r="F240" i="1"/>
  <c r="P240" i="1" s="1"/>
  <c r="F241" i="1"/>
  <c r="P241" i="1" s="1"/>
  <c r="F242" i="1"/>
  <c r="P242" i="1" s="1"/>
  <c r="F243" i="1"/>
  <c r="P243" i="1" s="1"/>
  <c r="F244" i="1"/>
  <c r="P244" i="1" s="1"/>
  <c r="F245" i="1"/>
  <c r="P245" i="1" s="1"/>
  <c r="F246" i="1"/>
  <c r="P246" i="1" s="1"/>
  <c r="F247" i="1"/>
  <c r="P247" i="1" s="1"/>
  <c r="F248" i="1"/>
  <c r="P248" i="1" s="1"/>
  <c r="F249" i="1"/>
  <c r="P249" i="1" s="1"/>
  <c r="F250" i="1"/>
  <c r="P250" i="1" s="1"/>
  <c r="F251" i="1"/>
  <c r="P251" i="1" s="1"/>
  <c r="F252" i="1"/>
  <c r="P252" i="1" s="1"/>
  <c r="F253" i="1"/>
  <c r="P253" i="1" s="1"/>
  <c r="F254" i="1"/>
  <c r="P254" i="1" s="1"/>
  <c r="F255" i="1"/>
  <c r="P255" i="1" s="1"/>
  <c r="F256" i="1"/>
  <c r="P256" i="1" s="1"/>
  <c r="F257" i="1"/>
  <c r="P257" i="1" s="1"/>
  <c r="F258" i="1"/>
  <c r="P258" i="1" s="1"/>
  <c r="F259" i="1"/>
  <c r="P259" i="1" s="1"/>
  <c r="F260" i="1"/>
  <c r="P260" i="1" s="1"/>
  <c r="F261" i="1"/>
  <c r="P261" i="1" s="1"/>
  <c r="F262" i="1"/>
  <c r="P262" i="1" s="1"/>
  <c r="F263" i="1"/>
  <c r="P263" i="1" s="1"/>
  <c r="F264" i="1"/>
  <c r="P264" i="1" s="1"/>
  <c r="F265" i="1"/>
  <c r="P265" i="1" s="1"/>
  <c r="F266" i="1"/>
  <c r="P266" i="1" s="1"/>
  <c r="F267" i="1"/>
  <c r="P267" i="1" s="1"/>
  <c r="F268" i="1"/>
  <c r="P268" i="1" s="1"/>
  <c r="F269" i="1"/>
  <c r="P269" i="1" s="1"/>
  <c r="F270" i="1"/>
  <c r="P270" i="1" s="1"/>
  <c r="F271" i="1"/>
  <c r="P271" i="1" s="1"/>
  <c r="F272" i="1"/>
  <c r="P272" i="1" s="1"/>
  <c r="F273" i="1"/>
  <c r="P273" i="1" s="1"/>
  <c r="F274" i="1"/>
  <c r="P274" i="1" s="1"/>
  <c r="F275" i="1"/>
  <c r="P275" i="1" s="1"/>
  <c r="F276" i="1"/>
  <c r="P276" i="1" s="1"/>
  <c r="F277" i="1"/>
  <c r="P277" i="1" s="1"/>
  <c r="F278" i="1"/>
  <c r="P278" i="1" s="1"/>
  <c r="F279" i="1"/>
  <c r="P279" i="1" s="1"/>
  <c r="F280" i="1"/>
  <c r="P280" i="1" s="1"/>
  <c r="F281" i="1"/>
  <c r="P281" i="1" s="1"/>
  <c r="F282" i="1"/>
  <c r="P282" i="1" s="1"/>
  <c r="F283" i="1"/>
  <c r="P283" i="1" s="1"/>
  <c r="F284" i="1"/>
  <c r="P284" i="1" s="1"/>
  <c r="F285" i="1"/>
  <c r="P285" i="1" s="1"/>
  <c r="F286" i="1"/>
  <c r="P286" i="1" s="1"/>
  <c r="F287" i="1"/>
  <c r="P287" i="1" s="1"/>
  <c r="F288" i="1"/>
  <c r="P288" i="1" s="1"/>
  <c r="F289" i="1"/>
  <c r="P289" i="1" s="1"/>
  <c r="F290" i="1"/>
  <c r="P290" i="1" s="1"/>
  <c r="F291" i="1"/>
  <c r="P291" i="1" s="1"/>
  <c r="F292" i="1"/>
  <c r="P292" i="1" s="1"/>
  <c r="F293" i="1"/>
  <c r="P293" i="1" s="1"/>
  <c r="F294" i="1"/>
  <c r="P294" i="1" s="1"/>
  <c r="F295" i="1"/>
  <c r="P295" i="1" s="1"/>
  <c r="F296" i="1"/>
  <c r="P296" i="1" s="1"/>
  <c r="F297" i="1"/>
  <c r="P297" i="1" s="1"/>
  <c r="F298" i="1"/>
  <c r="P298" i="1" s="1"/>
  <c r="F299" i="1"/>
  <c r="P299" i="1" s="1"/>
  <c r="F300" i="1"/>
  <c r="P300" i="1" s="1"/>
  <c r="F301" i="1"/>
  <c r="P301" i="1" s="1"/>
  <c r="F302" i="1"/>
  <c r="P302" i="1" s="1"/>
  <c r="F303" i="1"/>
  <c r="P303" i="1" s="1"/>
  <c r="F304" i="1"/>
  <c r="P304" i="1" s="1"/>
  <c r="F305" i="1"/>
  <c r="P305" i="1" s="1"/>
  <c r="F306" i="1"/>
  <c r="P306" i="1" s="1"/>
  <c r="F307" i="1"/>
  <c r="P307" i="1" s="1"/>
  <c r="F308" i="1"/>
  <c r="P308" i="1" s="1"/>
  <c r="F309" i="1"/>
  <c r="P309" i="1" s="1"/>
  <c r="F310" i="1"/>
  <c r="P310" i="1" s="1"/>
  <c r="F311" i="1"/>
  <c r="P311" i="1" s="1"/>
  <c r="F312" i="1"/>
  <c r="P312" i="1" s="1"/>
  <c r="F313" i="1"/>
  <c r="P313" i="1" s="1"/>
  <c r="F314" i="1"/>
  <c r="P314" i="1" s="1"/>
  <c r="F315" i="1"/>
  <c r="P315" i="1" s="1"/>
  <c r="F316" i="1"/>
  <c r="P316" i="1" s="1"/>
  <c r="F317" i="1"/>
  <c r="P317" i="1" s="1"/>
  <c r="F318" i="1"/>
  <c r="P318" i="1" s="1"/>
  <c r="F319" i="1"/>
  <c r="P319" i="1" s="1"/>
  <c r="F320" i="1"/>
  <c r="P320" i="1" s="1"/>
  <c r="F321" i="1"/>
  <c r="F322" i="1"/>
  <c r="P322" i="1" s="1"/>
  <c r="F323" i="1"/>
  <c r="P323" i="1" s="1"/>
  <c r="F324" i="1"/>
  <c r="P324" i="1" s="1"/>
  <c r="F325" i="1"/>
  <c r="P325" i="1" s="1"/>
  <c r="F326" i="1"/>
  <c r="F327" i="1"/>
  <c r="P327" i="1" s="1"/>
  <c r="F328" i="1"/>
  <c r="P328" i="1" s="1"/>
  <c r="F329" i="1"/>
  <c r="P329" i="1" s="1"/>
  <c r="F330" i="1"/>
  <c r="P330" i="1" s="1"/>
  <c r="F331" i="1"/>
  <c r="P331" i="1" s="1"/>
  <c r="F332" i="1"/>
  <c r="F333" i="1"/>
  <c r="P333" i="1" s="1"/>
  <c r="F334" i="1"/>
  <c r="P334" i="1" s="1"/>
  <c r="F335" i="1"/>
  <c r="P335" i="1" s="1"/>
  <c r="F336" i="1"/>
  <c r="P336" i="1" s="1"/>
  <c r="F337" i="1"/>
  <c r="P337" i="1" s="1"/>
  <c r="F338" i="1"/>
  <c r="P338" i="1" s="1"/>
  <c r="F339" i="1"/>
  <c r="P339" i="1" s="1"/>
  <c r="F340" i="1"/>
  <c r="P340" i="1" s="1"/>
  <c r="F341" i="1"/>
  <c r="P341" i="1" s="1"/>
  <c r="F342" i="1"/>
  <c r="P342" i="1" s="1"/>
  <c r="F343" i="1"/>
  <c r="P343" i="1" s="1"/>
  <c r="F344" i="1"/>
  <c r="P344" i="1" s="1"/>
  <c r="F345" i="1"/>
  <c r="P345" i="1" s="1"/>
  <c r="F346" i="1"/>
  <c r="P346" i="1" s="1"/>
  <c r="F347" i="1"/>
  <c r="P347" i="1" s="1"/>
  <c r="F348" i="1"/>
  <c r="P348" i="1" s="1"/>
  <c r="F349" i="1"/>
  <c r="P349" i="1" s="1"/>
  <c r="F350" i="1"/>
  <c r="P350" i="1" s="1"/>
  <c r="F351" i="1"/>
  <c r="P351" i="1" s="1"/>
  <c r="F352" i="1"/>
  <c r="P352" i="1" s="1"/>
  <c r="F353" i="1"/>
  <c r="P353" i="1" s="1"/>
  <c r="F354" i="1"/>
  <c r="F355" i="1"/>
  <c r="P355" i="1" s="1"/>
  <c r="F356" i="1"/>
  <c r="P356" i="1" s="1"/>
  <c r="F357" i="1"/>
  <c r="P357" i="1" s="1"/>
  <c r="F358" i="1"/>
  <c r="P358" i="1" s="1"/>
  <c r="F359" i="1"/>
  <c r="P359" i="1" s="1"/>
  <c r="F360" i="1"/>
  <c r="P360" i="1" s="1"/>
  <c r="F361" i="1"/>
  <c r="P361" i="1" s="1"/>
  <c r="F362" i="1"/>
  <c r="P362" i="1" s="1"/>
  <c r="F363" i="1"/>
  <c r="P363" i="1" s="1"/>
  <c r="F364" i="1"/>
  <c r="P364" i="1" s="1"/>
  <c r="F365" i="1"/>
  <c r="P365" i="1" s="1"/>
  <c r="F366" i="1"/>
  <c r="P366" i="1" s="1"/>
  <c r="F367" i="1"/>
  <c r="P367" i="1" s="1"/>
  <c r="F368" i="1"/>
  <c r="P368" i="1" s="1"/>
  <c r="F369" i="1"/>
  <c r="P369" i="1" s="1"/>
  <c r="F370" i="1"/>
  <c r="P370" i="1" s="1"/>
  <c r="F371" i="1"/>
  <c r="P371" i="1" s="1"/>
  <c r="F372" i="1"/>
  <c r="P372" i="1" s="1"/>
  <c r="F373" i="1"/>
  <c r="P373" i="1" s="1"/>
  <c r="F374" i="1"/>
  <c r="P374" i="1" s="1"/>
  <c r="F375" i="1"/>
  <c r="P375" i="1" s="1"/>
  <c r="F376" i="1"/>
  <c r="P376" i="1" s="1"/>
  <c r="F377" i="1"/>
  <c r="P377" i="1" s="1"/>
  <c r="F378" i="1"/>
  <c r="P378" i="1" s="1"/>
  <c r="F379" i="1"/>
  <c r="P379" i="1" s="1"/>
  <c r="F380" i="1"/>
  <c r="P380" i="1" s="1"/>
  <c r="F381" i="1"/>
  <c r="P381" i="1" s="1"/>
  <c r="F382" i="1"/>
  <c r="P382" i="1" s="1"/>
  <c r="F383" i="1"/>
  <c r="P383" i="1" s="1"/>
  <c r="F384" i="1"/>
  <c r="P384" i="1" s="1"/>
  <c r="F385" i="1"/>
  <c r="P385" i="1" s="1"/>
  <c r="F386" i="1"/>
  <c r="P386" i="1" s="1"/>
  <c r="F387" i="1"/>
  <c r="P387" i="1" s="1"/>
  <c r="F388" i="1"/>
  <c r="P388" i="1" s="1"/>
  <c r="F389" i="1"/>
  <c r="P389" i="1" s="1"/>
  <c r="F390" i="1"/>
  <c r="P390" i="1" s="1"/>
  <c r="F391" i="1"/>
  <c r="F392" i="1"/>
  <c r="P392" i="1" s="1"/>
  <c r="F393" i="1"/>
  <c r="P393" i="1" s="1"/>
  <c r="F394" i="1"/>
  <c r="F395" i="1"/>
  <c r="L395" i="1" s="1"/>
  <c r="F396" i="1"/>
  <c r="P396" i="1" s="1"/>
  <c r="F397" i="1"/>
  <c r="P397" i="1" s="1"/>
  <c r="F398" i="1"/>
  <c r="P398" i="1" s="1"/>
  <c r="F399" i="1"/>
  <c r="P399" i="1" s="1"/>
  <c r="F400" i="1"/>
  <c r="P400" i="1" s="1"/>
  <c r="F401" i="1"/>
  <c r="P401" i="1" s="1"/>
  <c r="F402" i="1"/>
  <c r="P402" i="1" s="1"/>
  <c r="F403" i="1"/>
  <c r="P403" i="1" s="1"/>
  <c r="F404" i="1"/>
  <c r="P404" i="1" s="1"/>
  <c r="F405" i="1"/>
  <c r="P405" i="1" s="1"/>
  <c r="F406" i="1"/>
  <c r="P406" i="1" s="1"/>
  <c r="F407" i="1"/>
  <c r="P407" i="1" s="1"/>
  <c r="F408" i="1"/>
  <c r="P408" i="1" s="1"/>
  <c r="F409" i="1"/>
  <c r="P409" i="1" s="1"/>
  <c r="F410" i="1"/>
  <c r="P410" i="1" s="1"/>
  <c r="F411" i="1"/>
  <c r="P411" i="1" s="1"/>
  <c r="F412" i="1"/>
  <c r="P412" i="1" s="1"/>
  <c r="F413" i="1"/>
  <c r="P413" i="1" s="1"/>
  <c r="F414" i="1"/>
  <c r="P414" i="1" s="1"/>
  <c r="F415" i="1"/>
  <c r="P415" i="1" s="1"/>
  <c r="F416" i="1"/>
  <c r="P416" i="1" s="1"/>
  <c r="F417" i="1"/>
  <c r="P417" i="1" s="1"/>
  <c r="F418" i="1"/>
  <c r="P418" i="1" s="1"/>
  <c r="F419" i="1"/>
  <c r="P419" i="1" s="1"/>
  <c r="F420" i="1"/>
  <c r="P420" i="1" s="1"/>
  <c r="F421" i="1"/>
  <c r="P421" i="1" s="1"/>
  <c r="F422" i="1"/>
  <c r="P422" i="1" s="1"/>
  <c r="F423" i="1"/>
  <c r="P423" i="1" s="1"/>
  <c r="F424" i="1"/>
  <c r="P424" i="1" s="1"/>
  <c r="F425" i="1"/>
  <c r="P425" i="1" s="1"/>
  <c r="F426" i="1"/>
  <c r="P426" i="1" s="1"/>
  <c r="F427" i="1"/>
  <c r="P427" i="1" s="1"/>
  <c r="F428" i="1"/>
  <c r="P428" i="1" s="1"/>
  <c r="F429" i="1"/>
  <c r="P429" i="1" s="1"/>
  <c r="F430" i="1"/>
  <c r="P430" i="1" s="1"/>
  <c r="F431" i="1"/>
  <c r="P431" i="1" s="1"/>
  <c r="F432" i="1"/>
  <c r="P432" i="1" s="1"/>
  <c r="F433" i="1"/>
  <c r="P433" i="1" s="1"/>
  <c r="F434" i="1"/>
  <c r="P434" i="1" s="1"/>
  <c r="F435" i="1"/>
  <c r="P435" i="1" s="1"/>
  <c r="F436" i="1"/>
  <c r="P436" i="1" s="1"/>
  <c r="F437" i="1"/>
  <c r="P437" i="1" s="1"/>
  <c r="F438" i="1"/>
  <c r="F439" i="1"/>
  <c r="P439" i="1" s="1"/>
  <c r="F440" i="1"/>
  <c r="P440" i="1" s="1"/>
  <c r="F441" i="1"/>
  <c r="P441" i="1" s="1"/>
  <c r="F442" i="1"/>
  <c r="P442" i="1" s="1"/>
  <c r="F443" i="1"/>
  <c r="P443" i="1" s="1"/>
  <c r="F444" i="1"/>
  <c r="P444" i="1" s="1"/>
  <c r="F445" i="1"/>
  <c r="P445" i="1" s="1"/>
  <c r="F446" i="1"/>
  <c r="P446" i="1" s="1"/>
  <c r="F447" i="1"/>
  <c r="P447" i="1" s="1"/>
  <c r="F448" i="1"/>
  <c r="P448" i="1" s="1"/>
  <c r="F449" i="1"/>
  <c r="P449" i="1" s="1"/>
  <c r="F450" i="1"/>
  <c r="P450" i="1" s="1"/>
  <c r="F451" i="1"/>
  <c r="P451" i="1" s="1"/>
  <c r="F452" i="1"/>
  <c r="P452" i="1" s="1"/>
  <c r="F453" i="1"/>
  <c r="P453" i="1" s="1"/>
  <c r="F454" i="1"/>
  <c r="P454" i="1" s="1"/>
  <c r="F455" i="1"/>
  <c r="F456" i="1"/>
  <c r="P456" i="1" s="1"/>
  <c r="F457" i="1"/>
  <c r="P457" i="1" s="1"/>
  <c r="F458" i="1"/>
  <c r="F459" i="1"/>
  <c r="F460" i="1"/>
  <c r="F461" i="1"/>
  <c r="P461" i="1" s="1"/>
  <c r="F462" i="1"/>
  <c r="P462" i="1" s="1"/>
  <c r="F463" i="1"/>
  <c r="P463" i="1" s="1"/>
  <c r="F464" i="1"/>
  <c r="P464" i="1" s="1"/>
  <c r="F465" i="1"/>
  <c r="P465" i="1" s="1"/>
  <c r="F466" i="1"/>
  <c r="P466" i="1" s="1"/>
  <c r="F467" i="1"/>
  <c r="P467" i="1" s="1"/>
  <c r="F468" i="1"/>
  <c r="P468" i="1" s="1"/>
  <c r="F469" i="1"/>
  <c r="P469" i="1" s="1"/>
  <c r="F470" i="1"/>
  <c r="P470" i="1" s="1"/>
  <c r="F471" i="1"/>
  <c r="P471" i="1" s="1"/>
  <c r="F472" i="1"/>
  <c r="P472" i="1" s="1"/>
  <c r="F473" i="1"/>
  <c r="P473" i="1" s="1"/>
  <c r="F474" i="1"/>
  <c r="P474" i="1" s="1"/>
  <c r="F475" i="1"/>
  <c r="P475" i="1" s="1"/>
  <c r="F476" i="1"/>
  <c r="P476" i="1" s="1"/>
  <c r="F477" i="1"/>
  <c r="F478" i="1"/>
  <c r="F479" i="1"/>
  <c r="P479" i="1" s="1"/>
  <c r="F480" i="1"/>
  <c r="P480" i="1" s="1"/>
  <c r="F481" i="1"/>
  <c r="P481" i="1" s="1"/>
  <c r="F482" i="1"/>
  <c r="P482" i="1" s="1"/>
  <c r="F483" i="1"/>
  <c r="P483" i="1" s="1"/>
  <c r="F484" i="1"/>
  <c r="P484" i="1" s="1"/>
  <c r="F485" i="1"/>
  <c r="P485" i="1" s="1"/>
  <c r="F486" i="1"/>
  <c r="P486" i="1" s="1"/>
  <c r="F487" i="1"/>
  <c r="P487" i="1" s="1"/>
  <c r="F488" i="1"/>
  <c r="P488" i="1" s="1"/>
  <c r="F489" i="1"/>
  <c r="P489" i="1" s="1"/>
  <c r="F490" i="1"/>
  <c r="P490" i="1" s="1"/>
  <c r="F491" i="1"/>
  <c r="P491" i="1" s="1"/>
  <c r="F492" i="1"/>
  <c r="P492" i="1" s="1"/>
  <c r="F493" i="1"/>
  <c r="P493" i="1" s="1"/>
  <c r="F494" i="1"/>
  <c r="P494" i="1" s="1"/>
  <c r="F495" i="1"/>
  <c r="P495" i="1" s="1"/>
  <c r="F496" i="1"/>
  <c r="P496" i="1" s="1"/>
  <c r="F497" i="1"/>
  <c r="P497" i="1" s="1"/>
  <c r="F498" i="1"/>
  <c r="P498" i="1" s="1"/>
  <c r="F499" i="1"/>
  <c r="P499" i="1" s="1"/>
  <c r="F500" i="1"/>
  <c r="P500" i="1" s="1"/>
  <c r="F501" i="1"/>
  <c r="P501" i="1" s="1"/>
  <c r="F502" i="1"/>
  <c r="P502" i="1" s="1"/>
  <c r="F503" i="1"/>
  <c r="P503" i="1" s="1"/>
  <c r="F504" i="1"/>
  <c r="P504" i="1" s="1"/>
  <c r="F505" i="1"/>
  <c r="P505" i="1" s="1"/>
  <c r="F506" i="1"/>
  <c r="P506" i="1" s="1"/>
  <c r="F507" i="1"/>
  <c r="P507" i="1" s="1"/>
  <c r="F508" i="1"/>
  <c r="P508" i="1" s="1"/>
  <c r="F509" i="1"/>
  <c r="P509" i="1" s="1"/>
  <c r="F510" i="1"/>
  <c r="P510" i="1" s="1"/>
  <c r="F511" i="1"/>
  <c r="P511" i="1" s="1"/>
  <c r="F512" i="1"/>
  <c r="P512" i="1" s="1"/>
  <c r="F513" i="1"/>
  <c r="P513" i="1" s="1"/>
  <c r="F514" i="1"/>
  <c r="P514" i="1" s="1"/>
  <c r="F515" i="1"/>
  <c r="P515" i="1" s="1"/>
  <c r="F516" i="1"/>
  <c r="P516" i="1" s="1"/>
  <c r="F517" i="1"/>
  <c r="P517" i="1" s="1"/>
  <c r="F518" i="1"/>
  <c r="P518" i="1" s="1"/>
  <c r="F519" i="1"/>
  <c r="P519" i="1" s="1"/>
  <c r="F520" i="1"/>
  <c r="P520" i="1" s="1"/>
  <c r="F521" i="1"/>
  <c r="P521" i="1" s="1"/>
  <c r="F522" i="1"/>
  <c r="P522" i="1" s="1"/>
  <c r="F523" i="1"/>
  <c r="P523" i="1" s="1"/>
  <c r="F524" i="1"/>
  <c r="P524" i="1" s="1"/>
  <c r="F525" i="1"/>
  <c r="F526" i="1"/>
  <c r="P526" i="1" s="1"/>
  <c r="F527" i="1"/>
  <c r="P527" i="1" s="1"/>
  <c r="F528" i="1"/>
  <c r="F529" i="1"/>
  <c r="P529" i="1" s="1"/>
  <c r="F530" i="1"/>
  <c r="P530" i="1" s="1"/>
  <c r="F531" i="1"/>
  <c r="P531" i="1" s="1"/>
  <c r="F532" i="1"/>
  <c r="L532" i="1" s="1"/>
  <c r="F533" i="1"/>
  <c r="P533" i="1" s="1"/>
  <c r="F534" i="1"/>
  <c r="P534" i="1" s="1"/>
  <c r="F535" i="1"/>
  <c r="P535" i="1" s="1"/>
  <c r="F536" i="1"/>
  <c r="P536" i="1" s="1"/>
  <c r="F537" i="1"/>
  <c r="P537" i="1" s="1"/>
  <c r="F538" i="1"/>
  <c r="P538" i="1" s="1"/>
  <c r="F539" i="1"/>
  <c r="P539" i="1" s="1"/>
  <c r="F540" i="1"/>
  <c r="P540" i="1" s="1"/>
  <c r="F541" i="1"/>
  <c r="P541" i="1" s="1"/>
  <c r="F542" i="1"/>
  <c r="P542" i="1" s="1"/>
  <c r="F543" i="1"/>
  <c r="P543" i="1" s="1"/>
  <c r="F544" i="1"/>
  <c r="P544" i="1" s="1"/>
  <c r="F545" i="1"/>
  <c r="P545" i="1" s="1"/>
  <c r="F546" i="1"/>
  <c r="P546" i="1" s="1"/>
  <c r="F547" i="1"/>
  <c r="P547" i="1" s="1"/>
  <c r="F548" i="1"/>
  <c r="P548" i="1" s="1"/>
  <c r="F549" i="1"/>
  <c r="P549" i="1" s="1"/>
  <c r="F550" i="1"/>
  <c r="P550" i="1" s="1"/>
  <c r="F551" i="1"/>
  <c r="P551" i="1" s="1"/>
  <c r="F552" i="1"/>
  <c r="P552" i="1" s="1"/>
  <c r="F553" i="1"/>
  <c r="P553" i="1" s="1"/>
  <c r="F554" i="1"/>
  <c r="P554" i="1" s="1"/>
  <c r="F555" i="1"/>
  <c r="P555" i="1" s="1"/>
  <c r="F556" i="1"/>
  <c r="P556" i="1" s="1"/>
  <c r="F557" i="1"/>
  <c r="P557" i="1" s="1"/>
  <c r="F558" i="1"/>
  <c r="P558" i="1" s="1"/>
  <c r="F559" i="1"/>
  <c r="P559" i="1" s="1"/>
  <c r="F560" i="1"/>
  <c r="P560" i="1" s="1"/>
  <c r="F561" i="1"/>
  <c r="P561" i="1" s="1"/>
  <c r="F562" i="1"/>
  <c r="P562" i="1" s="1"/>
  <c r="F563" i="1"/>
  <c r="P563" i="1" s="1"/>
  <c r="F564" i="1"/>
  <c r="P564" i="1" s="1"/>
  <c r="F565" i="1"/>
  <c r="P565" i="1" s="1"/>
  <c r="F566" i="1"/>
  <c r="P566" i="1" s="1"/>
  <c r="F567" i="1"/>
  <c r="P567" i="1" s="1"/>
  <c r="F568" i="1"/>
  <c r="P568" i="1" s="1"/>
  <c r="F569" i="1"/>
  <c r="P569" i="1" s="1"/>
  <c r="F570" i="1"/>
  <c r="P570" i="1" s="1"/>
  <c r="F571" i="1"/>
  <c r="P571" i="1" s="1"/>
  <c r="F572" i="1"/>
  <c r="P572" i="1" s="1"/>
  <c r="F573" i="1"/>
  <c r="P573" i="1" s="1"/>
  <c r="F574" i="1"/>
  <c r="P574" i="1" s="1"/>
  <c r="F575" i="1"/>
  <c r="P575" i="1" s="1"/>
  <c r="F576" i="1"/>
  <c r="P576" i="1" s="1"/>
  <c r="F577" i="1"/>
  <c r="P577" i="1" s="1"/>
  <c r="F578" i="1"/>
  <c r="P578" i="1" s="1"/>
  <c r="F579" i="1"/>
  <c r="P579" i="1" s="1"/>
  <c r="F580" i="1"/>
  <c r="P580" i="1" s="1"/>
  <c r="F581" i="1"/>
  <c r="P581" i="1" s="1"/>
  <c r="F582" i="1"/>
  <c r="P582" i="1" s="1"/>
  <c r="F583" i="1"/>
  <c r="P583" i="1" s="1"/>
  <c r="F584" i="1"/>
  <c r="P584" i="1" s="1"/>
  <c r="F585" i="1"/>
  <c r="P585" i="1" s="1"/>
  <c r="F586" i="1"/>
  <c r="P586" i="1" s="1"/>
  <c r="F587" i="1"/>
  <c r="P587" i="1" s="1"/>
  <c r="F588" i="1"/>
  <c r="P588" i="1" s="1"/>
  <c r="F589" i="1"/>
  <c r="F590" i="1"/>
  <c r="F591" i="1"/>
  <c r="P591" i="1" s="1"/>
  <c r="F592" i="1"/>
  <c r="L592" i="1" s="1"/>
  <c r="F593" i="1"/>
  <c r="P593" i="1" s="1"/>
  <c r="F594" i="1"/>
  <c r="P594" i="1" s="1"/>
  <c r="F595" i="1"/>
  <c r="P595" i="1" s="1"/>
  <c r="F596" i="1"/>
  <c r="P596" i="1" s="1"/>
  <c r="F597" i="1"/>
  <c r="P597" i="1" s="1"/>
  <c r="F598" i="1"/>
  <c r="P598" i="1" s="1"/>
  <c r="F599" i="1"/>
  <c r="P599" i="1" s="1"/>
  <c r="F600" i="1"/>
  <c r="F601" i="1"/>
  <c r="P601" i="1" s="1"/>
  <c r="F602" i="1"/>
  <c r="P602" i="1" s="1"/>
  <c r="F603" i="1"/>
  <c r="P603" i="1" s="1"/>
  <c r="F604" i="1"/>
  <c r="P604" i="1" s="1"/>
  <c r="F605" i="1"/>
  <c r="P605" i="1" s="1"/>
  <c r="F606" i="1"/>
  <c r="P606" i="1" s="1"/>
  <c r="F607" i="1"/>
  <c r="P607" i="1" s="1"/>
  <c r="F608" i="1"/>
  <c r="P608" i="1" s="1"/>
  <c r="F609" i="1"/>
  <c r="P609" i="1" s="1"/>
  <c r="F610" i="1"/>
  <c r="P610" i="1" s="1"/>
  <c r="F611" i="1"/>
  <c r="P611" i="1" s="1"/>
  <c r="F612" i="1"/>
  <c r="P612" i="1" s="1"/>
  <c r="F613" i="1"/>
  <c r="P613" i="1" s="1"/>
  <c r="F614" i="1"/>
  <c r="P614" i="1" s="1"/>
  <c r="F615" i="1"/>
  <c r="P615" i="1" s="1"/>
  <c r="F616" i="1"/>
  <c r="P616" i="1" s="1"/>
  <c r="F617" i="1"/>
  <c r="P617" i="1" s="1"/>
  <c r="F618" i="1"/>
  <c r="P618" i="1" s="1"/>
  <c r="F619" i="1"/>
  <c r="P619" i="1" s="1"/>
  <c r="F620" i="1"/>
  <c r="P620" i="1" s="1"/>
  <c r="F621" i="1"/>
  <c r="P621" i="1" s="1"/>
  <c r="F622" i="1"/>
  <c r="P622" i="1" s="1"/>
  <c r="F623" i="1"/>
  <c r="P623" i="1" s="1"/>
  <c r="F624" i="1"/>
  <c r="P624" i="1" s="1"/>
  <c r="F625" i="1"/>
  <c r="P625" i="1" s="1"/>
  <c r="F626" i="1"/>
  <c r="P626" i="1" s="1"/>
  <c r="F627" i="1"/>
  <c r="P627" i="1" s="1"/>
  <c r="F628" i="1"/>
  <c r="P628" i="1" s="1"/>
  <c r="F629" i="1"/>
  <c r="P629" i="1" s="1"/>
  <c r="F630" i="1"/>
  <c r="P630" i="1" s="1"/>
  <c r="F631" i="1"/>
  <c r="P631" i="1" s="1"/>
  <c r="F632" i="1"/>
  <c r="P632" i="1" s="1"/>
  <c r="F633" i="1"/>
  <c r="P633" i="1" s="1"/>
  <c r="F634" i="1"/>
  <c r="P634" i="1" s="1"/>
  <c r="F635" i="1"/>
  <c r="P635" i="1" s="1"/>
  <c r="F636" i="1"/>
  <c r="P636" i="1" s="1"/>
  <c r="F637" i="1"/>
  <c r="P637" i="1" s="1"/>
  <c r="F638" i="1"/>
  <c r="P638" i="1" s="1"/>
  <c r="F639" i="1"/>
  <c r="P639" i="1" s="1"/>
  <c r="F640" i="1"/>
  <c r="P640" i="1" s="1"/>
  <c r="F641" i="1"/>
  <c r="P641" i="1" s="1"/>
  <c r="F642" i="1"/>
  <c r="P642" i="1" s="1"/>
  <c r="F643" i="1"/>
  <c r="F644" i="1"/>
  <c r="P644" i="1" s="1"/>
  <c r="F645" i="1"/>
  <c r="P645" i="1" s="1"/>
  <c r="F646" i="1"/>
  <c r="P646" i="1" s="1"/>
  <c r="F647" i="1"/>
  <c r="P647" i="1" s="1"/>
  <c r="F648" i="1"/>
  <c r="P648" i="1" s="1"/>
  <c r="F649" i="1"/>
  <c r="F650" i="1"/>
  <c r="F651" i="1"/>
  <c r="L651" i="1" s="1"/>
  <c r="F652" i="1"/>
  <c r="P652" i="1" s="1"/>
  <c r="F653" i="1"/>
  <c r="P653" i="1" s="1"/>
  <c r="F654" i="1"/>
  <c r="P654" i="1" s="1"/>
  <c r="F655" i="1"/>
  <c r="P655" i="1" s="1"/>
  <c r="F656" i="1"/>
  <c r="P656" i="1" s="1"/>
  <c r="F657" i="1"/>
  <c r="P657" i="1" s="1"/>
  <c r="F658" i="1"/>
  <c r="P658" i="1" s="1"/>
  <c r="F659" i="1"/>
  <c r="P659" i="1" s="1"/>
  <c r="F660" i="1"/>
  <c r="P660" i="1" s="1"/>
  <c r="F661" i="1"/>
  <c r="P661" i="1" s="1"/>
  <c r="F662" i="1"/>
  <c r="F663" i="1"/>
  <c r="P663" i="1" s="1"/>
  <c r="F664" i="1"/>
  <c r="P664" i="1" s="1"/>
  <c r="F665" i="1"/>
  <c r="F666" i="1"/>
  <c r="P666" i="1" s="1"/>
  <c r="F667" i="1"/>
  <c r="P667" i="1" s="1"/>
  <c r="F668" i="1"/>
  <c r="P668" i="1" s="1"/>
  <c r="F669" i="1"/>
  <c r="P669" i="1" s="1"/>
  <c r="F670" i="1"/>
  <c r="P670" i="1" s="1"/>
  <c r="F671" i="1"/>
  <c r="P671" i="1" s="1"/>
  <c r="F672" i="1"/>
  <c r="P672" i="1" s="1"/>
  <c r="F673" i="1"/>
  <c r="P673" i="1" s="1"/>
  <c r="F674" i="1"/>
  <c r="P674" i="1" s="1"/>
  <c r="F675" i="1"/>
  <c r="P675" i="1" s="1"/>
  <c r="F676" i="1"/>
  <c r="P676" i="1" s="1"/>
  <c r="F677" i="1"/>
  <c r="P677" i="1" s="1"/>
  <c r="F678" i="1"/>
  <c r="P678" i="1" s="1"/>
  <c r="F679" i="1"/>
  <c r="P679" i="1" s="1"/>
  <c r="F680" i="1"/>
  <c r="P680" i="1" s="1"/>
  <c r="F681" i="1"/>
  <c r="P681" i="1" s="1"/>
  <c r="F682" i="1"/>
  <c r="P682" i="1" s="1"/>
  <c r="F683" i="1"/>
  <c r="P683" i="1" s="1"/>
  <c r="F684" i="1"/>
  <c r="P684" i="1" s="1"/>
  <c r="F685" i="1"/>
  <c r="P685" i="1" s="1"/>
  <c r="F686" i="1"/>
  <c r="P686" i="1" s="1"/>
  <c r="F687" i="1"/>
  <c r="P687" i="1" s="1"/>
  <c r="F688" i="1"/>
  <c r="P688" i="1" s="1"/>
  <c r="F689" i="1"/>
  <c r="P689" i="1" s="1"/>
  <c r="F690" i="1"/>
  <c r="P690" i="1" s="1"/>
  <c r="F691" i="1"/>
  <c r="P691" i="1" s="1"/>
  <c r="F692" i="1"/>
  <c r="P692" i="1" s="1"/>
  <c r="F693" i="1"/>
  <c r="P693" i="1" s="1"/>
  <c r="F694" i="1"/>
  <c r="P694" i="1" s="1"/>
  <c r="F695" i="1"/>
  <c r="P695" i="1" s="1"/>
  <c r="F696" i="1"/>
  <c r="P696" i="1" s="1"/>
  <c r="F697" i="1"/>
  <c r="F698" i="1"/>
  <c r="P698" i="1" s="1"/>
  <c r="F699" i="1"/>
  <c r="P699" i="1" s="1"/>
  <c r="F700" i="1"/>
  <c r="P700" i="1" s="1"/>
  <c r="F701" i="1"/>
  <c r="P701" i="1" s="1"/>
  <c r="F702" i="1"/>
  <c r="P702" i="1" s="1"/>
  <c r="F703" i="1"/>
  <c r="P703" i="1" s="1"/>
  <c r="F704" i="1"/>
  <c r="P704" i="1" s="1"/>
  <c r="F705" i="1"/>
  <c r="P705" i="1" s="1"/>
  <c r="F706" i="1"/>
  <c r="P706" i="1" s="1"/>
  <c r="F707" i="1"/>
  <c r="P707" i="1" s="1"/>
  <c r="F708" i="1"/>
  <c r="P708" i="1" s="1"/>
  <c r="F709" i="1"/>
  <c r="P709" i="1" s="1"/>
  <c r="F710" i="1"/>
  <c r="P710" i="1" s="1"/>
  <c r="F711" i="1"/>
  <c r="P711" i="1" s="1"/>
  <c r="F712" i="1"/>
  <c r="P712" i="1" s="1"/>
  <c r="F713" i="1"/>
  <c r="P713" i="1" s="1"/>
  <c r="F714" i="1"/>
  <c r="P714" i="1" s="1"/>
  <c r="F715" i="1"/>
  <c r="P715" i="1" s="1"/>
  <c r="F716" i="1"/>
  <c r="P716" i="1" s="1"/>
  <c r="F717" i="1"/>
  <c r="P717" i="1" s="1"/>
  <c r="F718" i="1"/>
  <c r="P718" i="1" s="1"/>
  <c r="F719" i="1"/>
  <c r="P719" i="1" s="1"/>
  <c r="F720" i="1"/>
  <c r="P720" i="1" s="1"/>
  <c r="F721" i="1"/>
  <c r="F722" i="1"/>
  <c r="P722" i="1" s="1"/>
  <c r="F723" i="1"/>
  <c r="P723" i="1" s="1"/>
  <c r="F724" i="1"/>
  <c r="P724" i="1" s="1"/>
  <c r="F725" i="1"/>
  <c r="P725" i="1" s="1"/>
  <c r="F726" i="1"/>
  <c r="P726" i="1" s="1"/>
  <c r="F727" i="1"/>
  <c r="P727" i="1" s="1"/>
  <c r="F728" i="1"/>
  <c r="P728" i="1" s="1"/>
  <c r="F729" i="1"/>
  <c r="P729" i="1" s="1"/>
  <c r="F730" i="1"/>
  <c r="P730" i="1" s="1"/>
  <c r="F731" i="1"/>
  <c r="P731" i="1" s="1"/>
  <c r="F732" i="1"/>
  <c r="P732" i="1" s="1"/>
  <c r="F733" i="1"/>
  <c r="P733" i="1" s="1"/>
  <c r="F734" i="1"/>
  <c r="P734" i="1" s="1"/>
  <c r="F735" i="1"/>
  <c r="P735" i="1" s="1"/>
  <c r="F736" i="1"/>
  <c r="P736" i="1" s="1"/>
  <c r="F737" i="1"/>
  <c r="P737" i="1" s="1"/>
  <c r="F738" i="1"/>
  <c r="P738" i="1" s="1"/>
  <c r="F739" i="1"/>
  <c r="P739" i="1" s="1"/>
  <c r="F740" i="1"/>
  <c r="P740" i="1" s="1"/>
  <c r="F741" i="1"/>
  <c r="P741" i="1" s="1"/>
  <c r="F742" i="1"/>
  <c r="P742" i="1" s="1"/>
  <c r="F743" i="1"/>
  <c r="P743" i="1" s="1"/>
  <c r="F744" i="1"/>
  <c r="P744" i="1" s="1"/>
  <c r="F745" i="1"/>
  <c r="P745" i="1" s="1"/>
  <c r="F746" i="1"/>
  <c r="P746" i="1" s="1"/>
  <c r="F747" i="1"/>
  <c r="P747" i="1" s="1"/>
  <c r="F748" i="1"/>
  <c r="P748" i="1" s="1"/>
  <c r="F749" i="1"/>
  <c r="P749" i="1" s="1"/>
  <c r="F750" i="1"/>
  <c r="P750" i="1" s="1"/>
  <c r="F751" i="1"/>
  <c r="P751" i="1" s="1"/>
  <c r="F752" i="1"/>
  <c r="P752" i="1" s="1"/>
  <c r="F753" i="1"/>
  <c r="P753" i="1" s="1"/>
  <c r="F754" i="1"/>
  <c r="P754" i="1" s="1"/>
  <c r="F755" i="1"/>
  <c r="P755" i="1" s="1"/>
  <c r="F756" i="1"/>
  <c r="P756" i="1" s="1"/>
  <c r="F757" i="1"/>
  <c r="P757" i="1" s="1"/>
  <c r="F758" i="1"/>
  <c r="P758" i="1" s="1"/>
  <c r="F759" i="1"/>
  <c r="P759" i="1" s="1"/>
  <c r="F760" i="1"/>
  <c r="P760" i="1" s="1"/>
  <c r="F761" i="1"/>
  <c r="P761" i="1" s="1"/>
  <c r="F762" i="1"/>
  <c r="P762" i="1" s="1"/>
  <c r="F763" i="1"/>
  <c r="P763" i="1" s="1"/>
  <c r="F764" i="1"/>
  <c r="P764" i="1" s="1"/>
  <c r="F765" i="1"/>
  <c r="P765" i="1" s="1"/>
  <c r="F766" i="1"/>
  <c r="P766" i="1" s="1"/>
  <c r="F767" i="1"/>
  <c r="P767" i="1" s="1"/>
  <c r="F768" i="1"/>
  <c r="P768" i="1" s="1"/>
  <c r="F769" i="1"/>
  <c r="P769" i="1" s="1"/>
  <c r="F770" i="1"/>
  <c r="P770" i="1" s="1"/>
  <c r="F771" i="1"/>
  <c r="P771" i="1" s="1"/>
  <c r="F772" i="1"/>
  <c r="P772" i="1" s="1"/>
  <c r="F773" i="1"/>
  <c r="P773" i="1" s="1"/>
  <c r="F774" i="1"/>
  <c r="P774" i="1" s="1"/>
  <c r="F775" i="1"/>
  <c r="P775" i="1" s="1"/>
  <c r="F776" i="1"/>
  <c r="P776" i="1" s="1"/>
  <c r="F777" i="1"/>
  <c r="P777" i="1" s="1"/>
  <c r="F778" i="1"/>
  <c r="P778" i="1" s="1"/>
  <c r="F779" i="1"/>
  <c r="P779" i="1" s="1"/>
  <c r="F780" i="1"/>
  <c r="P780" i="1" s="1"/>
  <c r="F781" i="1"/>
  <c r="P781" i="1" s="1"/>
  <c r="F782" i="1"/>
  <c r="P782" i="1" s="1"/>
  <c r="F783" i="1"/>
  <c r="P783" i="1" s="1"/>
  <c r="F784" i="1"/>
  <c r="P784" i="1" s="1"/>
  <c r="F785" i="1"/>
  <c r="P785" i="1" s="1"/>
  <c r="F786" i="1"/>
  <c r="F787" i="1"/>
  <c r="P787" i="1" s="1"/>
  <c r="F788" i="1"/>
  <c r="P788" i="1" s="1"/>
  <c r="F789" i="1"/>
  <c r="P789" i="1" s="1"/>
  <c r="F790" i="1"/>
  <c r="P790" i="1" s="1"/>
  <c r="F791" i="1"/>
  <c r="P791" i="1" s="1"/>
  <c r="F792" i="1"/>
  <c r="P792" i="1" s="1"/>
  <c r="F793" i="1"/>
  <c r="P793" i="1" s="1"/>
  <c r="F794" i="1"/>
  <c r="P794" i="1" s="1"/>
  <c r="F795" i="1"/>
  <c r="P795" i="1" s="1"/>
  <c r="F796" i="1"/>
  <c r="P796" i="1" s="1"/>
  <c r="F797" i="1"/>
  <c r="P797" i="1" s="1"/>
  <c r="F798" i="1"/>
  <c r="P798" i="1" s="1"/>
  <c r="F799" i="1"/>
  <c r="P799" i="1" s="1"/>
  <c r="F800" i="1"/>
  <c r="P800" i="1" s="1"/>
  <c r="F801" i="1"/>
  <c r="P801" i="1" s="1"/>
  <c r="F802" i="1"/>
  <c r="P802" i="1" s="1"/>
  <c r="F803" i="1"/>
  <c r="P803" i="1" s="1"/>
  <c r="F804" i="1"/>
  <c r="P804" i="1" s="1"/>
  <c r="F805" i="1"/>
  <c r="P805" i="1" s="1"/>
  <c r="F806" i="1"/>
  <c r="P806" i="1" s="1"/>
  <c r="F807" i="1"/>
  <c r="P807" i="1" s="1"/>
  <c r="F808" i="1"/>
  <c r="P808" i="1" s="1"/>
  <c r="F809" i="1"/>
  <c r="P809" i="1" s="1"/>
  <c r="F810" i="1"/>
  <c r="P810" i="1" s="1"/>
  <c r="F811" i="1"/>
  <c r="P811" i="1" s="1"/>
  <c r="F812" i="1"/>
  <c r="P812" i="1" s="1"/>
  <c r="F813" i="1"/>
  <c r="P813" i="1" s="1"/>
  <c r="F814" i="1"/>
  <c r="P814" i="1" s="1"/>
  <c r="F815" i="1"/>
  <c r="P815" i="1" s="1"/>
  <c r="F816" i="1"/>
  <c r="P816" i="1" s="1"/>
  <c r="F817" i="1"/>
  <c r="P817" i="1" s="1"/>
  <c r="F818" i="1"/>
  <c r="P818" i="1" s="1"/>
  <c r="F819" i="1"/>
  <c r="P819" i="1" s="1"/>
  <c r="F820" i="1"/>
  <c r="F821" i="1"/>
  <c r="P821" i="1" s="1"/>
  <c r="F822" i="1"/>
  <c r="P822" i="1" s="1"/>
  <c r="F823" i="1"/>
  <c r="P823" i="1" s="1"/>
  <c r="F824" i="1"/>
  <c r="P824" i="1" s="1"/>
  <c r="F825" i="1"/>
  <c r="P825" i="1" s="1"/>
  <c r="F826" i="1"/>
  <c r="P826" i="1" s="1"/>
  <c r="F827" i="1"/>
  <c r="P827" i="1" s="1"/>
  <c r="F828" i="1"/>
  <c r="P828" i="1" s="1"/>
  <c r="F829" i="1"/>
  <c r="P829" i="1" s="1"/>
  <c r="F830" i="1"/>
  <c r="P830" i="1" s="1"/>
  <c r="F831" i="1"/>
  <c r="P831" i="1" s="1"/>
  <c r="F832" i="1"/>
  <c r="P832" i="1" s="1"/>
  <c r="F833" i="1"/>
  <c r="P833" i="1" s="1"/>
  <c r="F834" i="1"/>
  <c r="P834" i="1" s="1"/>
  <c r="F835" i="1"/>
  <c r="P835" i="1" s="1"/>
  <c r="F836" i="1"/>
  <c r="P836" i="1" s="1"/>
  <c r="F837" i="1"/>
  <c r="P837" i="1" s="1"/>
  <c r="F838" i="1"/>
  <c r="P838" i="1" s="1"/>
  <c r="F839" i="1"/>
  <c r="P839" i="1" s="1"/>
  <c r="F840" i="1"/>
  <c r="P840" i="1" s="1"/>
  <c r="F841" i="1"/>
  <c r="P841" i="1" s="1"/>
  <c r="F842" i="1"/>
  <c r="P842" i="1" s="1"/>
  <c r="F843" i="1"/>
  <c r="P843" i="1" s="1"/>
  <c r="F844" i="1"/>
  <c r="P844" i="1" s="1"/>
  <c r="F845" i="1"/>
  <c r="P845" i="1" s="1"/>
  <c r="F846" i="1"/>
  <c r="P846" i="1" s="1"/>
  <c r="F847" i="1"/>
  <c r="P847" i="1" s="1"/>
  <c r="F848" i="1"/>
  <c r="P848" i="1" s="1"/>
  <c r="F849" i="1"/>
  <c r="L849" i="1" s="1"/>
  <c r="F850" i="1"/>
  <c r="P850" i="1" s="1"/>
  <c r="F851" i="1"/>
  <c r="P851" i="1" s="1"/>
  <c r="F852" i="1"/>
  <c r="P852" i="1" s="1"/>
  <c r="F853" i="1"/>
  <c r="P853" i="1" s="1"/>
  <c r="F854" i="1"/>
  <c r="P854" i="1" s="1"/>
  <c r="F855" i="1"/>
  <c r="P855" i="1" s="1"/>
  <c r="F856" i="1"/>
  <c r="P856" i="1" s="1"/>
  <c r="F857" i="1"/>
  <c r="P857" i="1" s="1"/>
  <c r="F858" i="1"/>
  <c r="P858" i="1" s="1"/>
  <c r="F859" i="1"/>
  <c r="P859" i="1" s="1"/>
  <c r="F860" i="1"/>
  <c r="P860" i="1" s="1"/>
  <c r="F861" i="1"/>
  <c r="P861" i="1" s="1"/>
  <c r="F862" i="1"/>
  <c r="P862" i="1" s="1"/>
  <c r="F863" i="1"/>
  <c r="P863" i="1" s="1"/>
  <c r="F864" i="1"/>
  <c r="P864" i="1" s="1"/>
  <c r="F865" i="1"/>
  <c r="P865" i="1" s="1"/>
  <c r="F866" i="1"/>
  <c r="P866" i="1" s="1"/>
  <c r="F867" i="1"/>
  <c r="P867" i="1" s="1"/>
  <c r="F868" i="1"/>
  <c r="P868" i="1" s="1"/>
  <c r="F869" i="1"/>
  <c r="P869" i="1" s="1"/>
  <c r="F870" i="1"/>
  <c r="P870" i="1" s="1"/>
  <c r="F871" i="1"/>
  <c r="P871" i="1" s="1"/>
  <c r="F872" i="1"/>
  <c r="P872" i="1" s="1"/>
  <c r="F873" i="1"/>
  <c r="P873" i="1" s="1"/>
  <c r="F874" i="1"/>
  <c r="P874" i="1" s="1"/>
  <c r="F875" i="1"/>
  <c r="P875" i="1" s="1"/>
  <c r="F876" i="1"/>
  <c r="P876" i="1" s="1"/>
  <c r="F877" i="1"/>
  <c r="P877" i="1" s="1"/>
  <c r="F878" i="1"/>
  <c r="P878" i="1" s="1"/>
  <c r="F879" i="1"/>
  <c r="P879" i="1" s="1"/>
  <c r="F880" i="1"/>
  <c r="P880" i="1" s="1"/>
  <c r="F881" i="1"/>
  <c r="P881" i="1" s="1"/>
  <c r="F882" i="1"/>
  <c r="P882" i="1" s="1"/>
  <c r="F883" i="1"/>
  <c r="P883" i="1" s="1"/>
  <c r="F884" i="1"/>
  <c r="P884" i="1" s="1"/>
  <c r="F885" i="1"/>
  <c r="P885" i="1" s="1"/>
  <c r="F886" i="1"/>
  <c r="P886" i="1" s="1"/>
  <c r="F887" i="1"/>
  <c r="P887" i="1" s="1"/>
  <c r="F888" i="1"/>
  <c r="P888" i="1" s="1"/>
  <c r="F889" i="1"/>
  <c r="P889" i="1" s="1"/>
  <c r="F890" i="1"/>
  <c r="P890" i="1" s="1"/>
  <c r="F891" i="1"/>
  <c r="P891" i="1" s="1"/>
  <c r="F892" i="1"/>
  <c r="P892" i="1" s="1"/>
  <c r="F893" i="1"/>
  <c r="P893" i="1" s="1"/>
  <c r="F894" i="1"/>
  <c r="P894" i="1" s="1"/>
  <c r="F895" i="1"/>
  <c r="P895" i="1" s="1"/>
  <c r="F896" i="1"/>
  <c r="P896" i="1" s="1"/>
  <c r="F897" i="1"/>
  <c r="P897" i="1" s="1"/>
  <c r="F898" i="1"/>
  <c r="P898" i="1" s="1"/>
  <c r="F899" i="1"/>
  <c r="P899" i="1" s="1"/>
  <c r="F900" i="1"/>
  <c r="P900" i="1" s="1"/>
  <c r="F901" i="1"/>
  <c r="P901" i="1" s="1"/>
  <c r="F902" i="1"/>
  <c r="F903" i="1"/>
  <c r="P903" i="1" s="1"/>
  <c r="F904" i="1"/>
  <c r="P904" i="1" s="1"/>
  <c r="F905" i="1"/>
  <c r="F906" i="1"/>
  <c r="P906" i="1" s="1"/>
  <c r="F907" i="1"/>
  <c r="P907" i="1" s="1"/>
  <c r="F908" i="1"/>
  <c r="P908" i="1" s="1"/>
  <c r="F909" i="1"/>
  <c r="P909" i="1" s="1"/>
  <c r="F910" i="1"/>
  <c r="P910" i="1" s="1"/>
  <c r="F911" i="1"/>
  <c r="P911" i="1" s="1"/>
  <c r="F912" i="1"/>
  <c r="P912" i="1" s="1"/>
  <c r="F913" i="1"/>
  <c r="P913" i="1" s="1"/>
  <c r="F914" i="1"/>
  <c r="P914" i="1" s="1"/>
  <c r="F915" i="1"/>
  <c r="P915" i="1" s="1"/>
  <c r="F916" i="1"/>
  <c r="P916" i="1" s="1"/>
  <c r="F917" i="1"/>
  <c r="F918" i="1"/>
  <c r="P918" i="1" s="1"/>
  <c r="F919" i="1"/>
  <c r="P919" i="1" s="1"/>
  <c r="F920" i="1"/>
  <c r="P920" i="1" s="1"/>
  <c r="F921" i="1"/>
  <c r="P921" i="1" s="1"/>
  <c r="F922" i="1"/>
  <c r="P922" i="1" s="1"/>
  <c r="F923" i="1"/>
  <c r="P923" i="1" s="1"/>
  <c r="F924" i="1"/>
  <c r="P924" i="1" s="1"/>
  <c r="F925" i="1"/>
  <c r="P925" i="1" s="1"/>
  <c r="F926" i="1"/>
  <c r="P926" i="1" s="1"/>
  <c r="F927" i="1"/>
  <c r="P927" i="1" s="1"/>
  <c r="F928" i="1"/>
  <c r="P928" i="1" s="1"/>
  <c r="F929" i="1"/>
  <c r="P929" i="1" s="1"/>
  <c r="F930" i="1"/>
  <c r="P930" i="1" s="1"/>
  <c r="F931" i="1"/>
  <c r="P931" i="1" s="1"/>
  <c r="F932" i="1"/>
  <c r="P932" i="1" s="1"/>
  <c r="F933" i="1"/>
  <c r="P933" i="1" s="1"/>
  <c r="F934" i="1"/>
  <c r="P934" i="1" s="1"/>
  <c r="F935" i="1"/>
  <c r="P935" i="1" s="1"/>
  <c r="F936" i="1"/>
  <c r="P936" i="1" s="1"/>
  <c r="F937" i="1"/>
  <c r="F938" i="1"/>
  <c r="P938" i="1" s="1"/>
  <c r="F939" i="1"/>
  <c r="P939" i="1" s="1"/>
  <c r="F940" i="1"/>
  <c r="P940" i="1" s="1"/>
  <c r="F941" i="1"/>
  <c r="F942" i="1"/>
  <c r="P942" i="1" s="1"/>
  <c r="F943" i="1"/>
  <c r="P943" i="1" s="1"/>
  <c r="F944" i="1"/>
  <c r="P944" i="1" s="1"/>
  <c r="F945" i="1"/>
  <c r="P945" i="1" s="1"/>
  <c r="F946" i="1"/>
  <c r="P946" i="1" s="1"/>
  <c r="F947" i="1"/>
  <c r="P947" i="1" s="1"/>
  <c r="F948" i="1"/>
  <c r="P948" i="1" s="1"/>
  <c r="F949" i="1"/>
  <c r="P949" i="1" s="1"/>
  <c r="F950" i="1"/>
  <c r="P950" i="1" s="1"/>
  <c r="F951" i="1"/>
  <c r="P951" i="1" s="1"/>
  <c r="F952" i="1"/>
  <c r="P952" i="1" s="1"/>
  <c r="F953" i="1"/>
  <c r="P953" i="1" s="1"/>
  <c r="F954" i="1"/>
  <c r="P954" i="1" s="1"/>
  <c r="F955" i="1"/>
  <c r="P955" i="1" s="1"/>
  <c r="F956" i="1"/>
  <c r="P956" i="1" s="1"/>
  <c r="F957" i="1"/>
  <c r="P957" i="1" s="1"/>
  <c r="F958" i="1"/>
  <c r="P958" i="1" s="1"/>
  <c r="F959" i="1"/>
  <c r="F960" i="1"/>
  <c r="P960" i="1" s="1"/>
  <c r="F961" i="1"/>
  <c r="P961" i="1" s="1"/>
  <c r="F962" i="1"/>
  <c r="P962" i="1" s="1"/>
  <c r="F963" i="1"/>
  <c r="P963" i="1" s="1"/>
  <c r="F964" i="1"/>
  <c r="P964" i="1" s="1"/>
  <c r="F965" i="1"/>
  <c r="P965" i="1" s="1"/>
  <c r="F966" i="1"/>
  <c r="P966" i="1" s="1"/>
  <c r="F967" i="1"/>
  <c r="P967" i="1" s="1"/>
  <c r="F968" i="1"/>
  <c r="P968" i="1" s="1"/>
  <c r="F969" i="1"/>
  <c r="P969" i="1" s="1"/>
  <c r="F970" i="1"/>
  <c r="P970" i="1" s="1"/>
  <c r="F971" i="1"/>
  <c r="F972" i="1"/>
  <c r="P972" i="1" s="1"/>
  <c r="F973" i="1"/>
  <c r="P973" i="1" s="1"/>
  <c r="F974" i="1"/>
  <c r="P974" i="1" s="1"/>
  <c r="F975" i="1"/>
  <c r="P975" i="1" s="1"/>
  <c r="F976" i="1"/>
  <c r="P976" i="1" s="1"/>
  <c r="F977" i="1"/>
  <c r="L977" i="1" s="1"/>
  <c r="F978" i="1"/>
  <c r="P978" i="1" s="1"/>
  <c r="F979" i="1"/>
  <c r="P979" i="1" s="1"/>
  <c r="F980" i="1"/>
  <c r="P980" i="1" s="1"/>
  <c r="F981" i="1"/>
  <c r="P981" i="1" s="1"/>
  <c r="F982" i="1"/>
  <c r="P982" i="1" s="1"/>
  <c r="F983" i="1"/>
  <c r="P983" i="1" s="1"/>
  <c r="F984" i="1"/>
  <c r="P984" i="1" s="1"/>
  <c r="F985" i="1"/>
  <c r="P985" i="1" s="1"/>
  <c r="F986" i="1"/>
  <c r="F987" i="1"/>
  <c r="P987" i="1" s="1"/>
  <c r="F988" i="1"/>
  <c r="P988" i="1" s="1"/>
  <c r="F989" i="1"/>
  <c r="P989" i="1" s="1"/>
  <c r="F990" i="1"/>
  <c r="P990" i="1" s="1"/>
  <c r="F991" i="1"/>
  <c r="P991" i="1" s="1"/>
  <c r="F992" i="1"/>
  <c r="P992" i="1" s="1"/>
  <c r="F993" i="1"/>
  <c r="P993" i="1" s="1"/>
  <c r="F994" i="1"/>
  <c r="P994" i="1" s="1"/>
  <c r="F995" i="1"/>
  <c r="P995" i="1" s="1"/>
  <c r="F996" i="1"/>
  <c r="P996" i="1" s="1"/>
  <c r="F997" i="1"/>
  <c r="P997" i="1" s="1"/>
  <c r="F998" i="1"/>
  <c r="P998" i="1" s="1"/>
  <c r="F999" i="1"/>
  <c r="P999" i="1" s="1"/>
  <c r="F1000" i="1"/>
  <c r="P1000" i="1" s="1"/>
  <c r="F1001" i="1"/>
  <c r="P1001" i="1" s="1"/>
  <c r="F1002" i="1"/>
  <c r="P1002" i="1" s="1"/>
  <c r="F1003" i="1"/>
  <c r="P1003" i="1" s="1"/>
  <c r="F1004" i="1"/>
  <c r="P1004" i="1" s="1"/>
  <c r="F1005" i="1"/>
  <c r="P1005" i="1" s="1"/>
  <c r="F1006" i="1"/>
  <c r="P1006" i="1" s="1"/>
  <c r="F1007" i="1"/>
  <c r="P1007" i="1" s="1"/>
  <c r="F1008" i="1"/>
  <c r="P1008" i="1" s="1"/>
  <c r="F1009" i="1"/>
  <c r="P1009" i="1" s="1"/>
  <c r="F1010" i="1"/>
  <c r="P1010" i="1" s="1"/>
  <c r="F1011" i="1"/>
  <c r="P1011" i="1" s="1"/>
  <c r="F1012" i="1"/>
  <c r="P1012" i="1" s="1"/>
  <c r="F1013" i="1"/>
  <c r="P1013" i="1" s="1"/>
  <c r="F1014" i="1"/>
  <c r="P1014" i="1" s="1"/>
  <c r="F1015" i="1"/>
  <c r="P1015" i="1" s="1"/>
  <c r="F1016" i="1"/>
  <c r="P1016" i="1" s="1"/>
  <c r="F1017" i="1"/>
  <c r="P1017" i="1" s="1"/>
  <c r="F1018" i="1"/>
  <c r="F1019" i="1"/>
  <c r="P1019" i="1" s="1"/>
  <c r="F1020" i="1"/>
  <c r="P1020" i="1" s="1"/>
  <c r="F1021" i="1"/>
  <c r="P1021" i="1" s="1"/>
  <c r="F1022" i="1"/>
  <c r="P1022" i="1" s="1"/>
  <c r="F1023" i="1"/>
  <c r="P1023" i="1" s="1"/>
  <c r="F1024" i="1"/>
  <c r="P1024" i="1" s="1"/>
  <c r="F1025" i="1"/>
  <c r="P1025" i="1" s="1"/>
  <c r="F1026" i="1"/>
  <c r="P1026" i="1" s="1"/>
  <c r="F1027" i="1"/>
  <c r="P1027" i="1" s="1"/>
  <c r="F1028" i="1"/>
  <c r="P1028" i="1" s="1"/>
  <c r="F1029" i="1"/>
  <c r="P1029" i="1" s="1"/>
  <c r="F1030" i="1"/>
  <c r="P1030" i="1" s="1"/>
  <c r="F1031" i="1"/>
  <c r="P1031" i="1" s="1"/>
  <c r="F1032" i="1"/>
  <c r="P1032" i="1" s="1"/>
  <c r="F1033" i="1"/>
  <c r="P1033" i="1" s="1"/>
  <c r="F1034" i="1"/>
  <c r="F1035" i="1"/>
  <c r="P1035" i="1" s="1"/>
  <c r="F1036" i="1"/>
  <c r="P1036" i="1" s="1"/>
  <c r="F1037" i="1"/>
  <c r="P1037" i="1" s="1"/>
  <c r="F1038" i="1"/>
  <c r="F1039" i="1"/>
  <c r="P1039" i="1" s="1"/>
  <c r="F1040" i="1"/>
  <c r="P1040" i="1" s="1"/>
  <c r="F1041" i="1"/>
  <c r="P1041" i="1" s="1"/>
  <c r="F1042" i="1"/>
  <c r="P1042" i="1" s="1"/>
  <c r="F1043" i="1"/>
  <c r="P1043" i="1" s="1"/>
  <c r="F1044" i="1"/>
  <c r="P1044" i="1" s="1"/>
  <c r="F1045" i="1"/>
  <c r="P1045" i="1" s="1"/>
  <c r="F1046" i="1"/>
  <c r="P1046" i="1" s="1"/>
  <c r="F1047" i="1"/>
  <c r="P1047" i="1" s="1"/>
  <c r="F1048" i="1"/>
  <c r="F1049" i="1"/>
  <c r="P1049" i="1" s="1"/>
  <c r="F1050" i="1"/>
  <c r="P1050" i="1" s="1"/>
  <c r="F1051" i="1"/>
  <c r="P1051" i="1" s="1"/>
  <c r="F1052" i="1"/>
  <c r="P1052" i="1" s="1"/>
  <c r="F1053" i="1"/>
  <c r="P1053" i="1" s="1"/>
  <c r="F1054" i="1"/>
  <c r="P1054" i="1" s="1"/>
  <c r="F1055" i="1"/>
  <c r="P1055" i="1" s="1"/>
  <c r="F1056" i="1"/>
  <c r="P1056" i="1" s="1"/>
  <c r="F1057" i="1"/>
  <c r="P1057" i="1" s="1"/>
  <c r="F1058" i="1"/>
  <c r="P1058" i="1" s="1"/>
  <c r="F1059" i="1"/>
  <c r="P1059" i="1" s="1"/>
  <c r="F1060" i="1"/>
  <c r="P1060" i="1" s="1"/>
  <c r="F1061" i="1"/>
  <c r="P1061" i="1" s="1"/>
  <c r="F1062" i="1"/>
  <c r="P1062" i="1" s="1"/>
  <c r="F1063" i="1"/>
  <c r="P1063" i="1" s="1"/>
  <c r="F1064" i="1"/>
  <c r="P1064" i="1" s="1"/>
  <c r="F1065" i="1"/>
  <c r="P1065" i="1" s="1"/>
  <c r="F1066" i="1"/>
  <c r="P1066" i="1" s="1"/>
  <c r="F1067" i="1"/>
  <c r="P1067" i="1" s="1"/>
  <c r="F1068" i="1"/>
  <c r="P1068" i="1" s="1"/>
  <c r="F1069" i="1"/>
  <c r="P1069" i="1" s="1"/>
  <c r="F1070" i="1"/>
  <c r="P1070" i="1" s="1"/>
  <c r="F1071" i="1"/>
  <c r="P1071" i="1" s="1"/>
  <c r="F1072" i="1"/>
  <c r="P1072" i="1" s="1"/>
  <c r="F1073" i="1"/>
  <c r="P1073" i="1" s="1"/>
  <c r="F1074" i="1"/>
  <c r="P1074" i="1" s="1"/>
  <c r="F1075" i="1"/>
  <c r="P1075" i="1" s="1"/>
  <c r="F1076" i="1"/>
  <c r="P1076" i="1" s="1"/>
  <c r="F1077" i="1"/>
  <c r="P1077" i="1" s="1"/>
  <c r="F1078" i="1"/>
  <c r="P1078" i="1" s="1"/>
  <c r="F1079" i="1"/>
  <c r="P1079" i="1" s="1"/>
  <c r="F1080" i="1"/>
  <c r="P1080" i="1" s="1"/>
  <c r="F1081" i="1"/>
  <c r="P1081" i="1" s="1"/>
  <c r="F1082" i="1"/>
  <c r="P1082" i="1" s="1"/>
  <c r="F1083" i="1"/>
  <c r="P1083" i="1" s="1"/>
  <c r="F1084" i="1"/>
  <c r="F1085" i="1"/>
  <c r="P1085" i="1" s="1"/>
  <c r="F1086" i="1"/>
  <c r="P1086" i="1" s="1"/>
  <c r="F1087" i="1"/>
  <c r="P1087" i="1" s="1"/>
  <c r="F1088" i="1"/>
  <c r="P1088" i="1" s="1"/>
  <c r="F1089" i="1"/>
  <c r="P1089" i="1" s="1"/>
  <c r="F1090" i="1"/>
  <c r="P1090" i="1" s="1"/>
  <c r="F1091" i="1"/>
  <c r="P1091" i="1" s="1"/>
  <c r="F1092" i="1"/>
  <c r="P1092" i="1" s="1"/>
  <c r="F1093" i="1"/>
  <c r="P1093" i="1" s="1"/>
  <c r="F1094" i="1"/>
  <c r="P1094" i="1" s="1"/>
  <c r="F1095" i="1"/>
  <c r="P1095" i="1" s="1"/>
  <c r="F1096" i="1"/>
  <c r="P1096" i="1" s="1"/>
  <c r="F1097" i="1"/>
  <c r="P1097" i="1" s="1"/>
  <c r="F1098" i="1"/>
  <c r="P1098" i="1" s="1"/>
  <c r="F1099" i="1"/>
  <c r="P1099" i="1" s="1"/>
  <c r="F1100" i="1"/>
  <c r="P1100" i="1" s="1"/>
  <c r="F1101" i="1"/>
  <c r="P1101" i="1" s="1"/>
  <c r="F1102" i="1"/>
  <c r="P1102" i="1" s="1"/>
  <c r="F1103" i="1"/>
  <c r="P1103" i="1" s="1"/>
  <c r="F1104" i="1"/>
  <c r="P1104" i="1" s="1"/>
  <c r="F1105" i="1"/>
  <c r="P1105" i="1" s="1"/>
  <c r="F1106" i="1"/>
  <c r="P1106" i="1" s="1"/>
  <c r="F1107" i="1"/>
  <c r="P1107" i="1" s="1"/>
  <c r="F1108" i="1"/>
  <c r="P1108" i="1" s="1"/>
  <c r="F1109" i="1"/>
  <c r="P1109" i="1" s="1"/>
  <c r="F1110" i="1"/>
  <c r="P1110" i="1" s="1"/>
  <c r="F1111" i="1"/>
  <c r="P1111" i="1" s="1"/>
  <c r="F1112" i="1"/>
  <c r="P1112" i="1" s="1"/>
  <c r="F1113" i="1"/>
  <c r="P1113" i="1" s="1"/>
  <c r="F1114" i="1"/>
  <c r="P1114" i="1" s="1"/>
  <c r="F1115" i="1"/>
  <c r="P1115" i="1" s="1"/>
  <c r="F1116" i="1"/>
  <c r="P1116" i="1" s="1"/>
  <c r="F1117" i="1"/>
  <c r="P1117" i="1" s="1"/>
  <c r="F1118" i="1"/>
  <c r="P1118" i="1" s="1"/>
  <c r="F1119" i="1"/>
  <c r="P1119" i="1" s="1"/>
  <c r="F1120" i="1"/>
  <c r="P1120" i="1" s="1"/>
  <c r="F1121" i="1"/>
  <c r="P1121" i="1" s="1"/>
  <c r="F1122" i="1"/>
  <c r="P1122" i="1" s="1"/>
  <c r="F1123" i="1"/>
  <c r="P1123" i="1" s="1"/>
  <c r="F1124" i="1"/>
  <c r="P1124" i="1" s="1"/>
  <c r="F1125" i="1"/>
  <c r="P1125" i="1" s="1"/>
  <c r="F1126" i="1"/>
  <c r="P1126" i="1" s="1"/>
  <c r="F1127" i="1"/>
  <c r="P1127" i="1" s="1"/>
  <c r="F1128" i="1"/>
  <c r="P1128" i="1" s="1"/>
  <c r="F1129" i="1"/>
  <c r="P1129" i="1" s="1"/>
  <c r="F1130" i="1"/>
  <c r="P1130" i="1" s="1"/>
  <c r="F1131" i="1"/>
  <c r="P1131" i="1" s="1"/>
  <c r="F1132" i="1"/>
  <c r="P1132" i="1" s="1"/>
  <c r="F1133" i="1"/>
  <c r="P1133" i="1" s="1"/>
  <c r="F1134" i="1"/>
  <c r="P1134" i="1" s="1"/>
  <c r="F1135" i="1"/>
  <c r="P1135" i="1" s="1"/>
  <c r="F1136" i="1"/>
  <c r="P1136" i="1" s="1"/>
  <c r="F1137" i="1"/>
  <c r="P1137" i="1" s="1"/>
  <c r="F1138" i="1"/>
  <c r="P1138" i="1" s="1"/>
  <c r="F1139" i="1"/>
  <c r="P1139" i="1" s="1"/>
  <c r="F1140" i="1"/>
  <c r="P1140" i="1" s="1"/>
  <c r="F1141" i="1"/>
  <c r="P1141" i="1" s="1"/>
  <c r="F1142" i="1"/>
  <c r="P1142" i="1" s="1"/>
  <c r="F1143" i="1"/>
  <c r="P1143" i="1" s="1"/>
  <c r="F1144" i="1"/>
  <c r="P1144" i="1" s="1"/>
  <c r="F1145" i="1"/>
  <c r="P1145" i="1" s="1"/>
  <c r="F1146" i="1"/>
  <c r="P1146" i="1" s="1"/>
  <c r="F1147" i="1"/>
  <c r="P1147" i="1" s="1"/>
  <c r="F1148" i="1"/>
  <c r="P1148" i="1" s="1"/>
  <c r="F1149" i="1"/>
  <c r="P1149" i="1" s="1"/>
  <c r="F1150" i="1"/>
  <c r="P1150" i="1" s="1"/>
  <c r="F1151" i="1"/>
  <c r="P1151" i="1" s="1"/>
  <c r="F1152" i="1"/>
  <c r="P1152" i="1" s="1"/>
  <c r="F1153" i="1"/>
  <c r="P1153" i="1" s="1"/>
  <c r="F1154" i="1"/>
  <c r="P1154" i="1" s="1"/>
  <c r="F1155" i="1"/>
  <c r="P1155" i="1" s="1"/>
  <c r="F1156" i="1"/>
  <c r="P1156" i="1" s="1"/>
  <c r="F1157" i="1"/>
  <c r="P1157" i="1" s="1"/>
  <c r="F1158" i="1"/>
  <c r="F1159" i="1"/>
  <c r="F1160" i="1"/>
  <c r="P1160" i="1" s="1"/>
  <c r="F1161" i="1"/>
  <c r="P1161" i="1" s="1"/>
  <c r="F1162" i="1"/>
  <c r="P1162" i="1" s="1"/>
  <c r="F1163" i="1"/>
  <c r="P1163" i="1" s="1"/>
  <c r="F1164" i="1"/>
  <c r="F1165" i="1"/>
  <c r="P1165" i="1" s="1"/>
  <c r="F1166" i="1"/>
  <c r="P1166" i="1" s="1"/>
  <c r="F1167" i="1"/>
  <c r="P1167" i="1" s="1"/>
  <c r="F1168" i="1"/>
  <c r="P1168" i="1" s="1"/>
  <c r="F1169" i="1"/>
  <c r="P1169" i="1" s="1"/>
  <c r="F1170" i="1"/>
  <c r="P1170" i="1" s="1"/>
  <c r="F1171" i="1"/>
  <c r="P1171" i="1" s="1"/>
  <c r="F1172" i="1"/>
  <c r="P1172" i="1" s="1"/>
  <c r="F1173" i="1"/>
  <c r="P1173" i="1" s="1"/>
  <c r="F1174" i="1"/>
  <c r="P1174" i="1" s="1"/>
  <c r="F1175" i="1"/>
  <c r="P1175" i="1" s="1"/>
  <c r="F1176" i="1"/>
  <c r="P1176" i="1" s="1"/>
  <c r="F1177" i="1"/>
  <c r="P1177" i="1" s="1"/>
  <c r="F1178" i="1"/>
  <c r="P1178" i="1" s="1"/>
  <c r="F1179" i="1"/>
  <c r="P1179" i="1" s="1"/>
  <c r="F1180" i="1"/>
  <c r="P1180" i="1" s="1"/>
  <c r="F1181" i="1"/>
  <c r="P1181" i="1" s="1"/>
  <c r="F1182" i="1"/>
  <c r="P1182" i="1" s="1"/>
  <c r="F1183" i="1"/>
  <c r="P1183" i="1" s="1"/>
  <c r="F1184" i="1"/>
  <c r="P1184" i="1" s="1"/>
  <c r="F1185" i="1"/>
  <c r="P1185" i="1" s="1"/>
  <c r="F1186" i="1"/>
  <c r="P1186" i="1" s="1"/>
  <c r="F1187" i="1"/>
  <c r="P1187" i="1" s="1"/>
  <c r="F1188" i="1"/>
  <c r="P1188" i="1" s="1"/>
  <c r="F1189" i="1"/>
  <c r="P1189" i="1" s="1"/>
  <c r="F1190" i="1"/>
  <c r="P1190" i="1" s="1"/>
  <c r="F1191" i="1"/>
  <c r="P1191" i="1" s="1"/>
  <c r="F1192" i="1"/>
  <c r="P1192" i="1" s="1"/>
  <c r="F1193" i="1"/>
  <c r="P1193" i="1" s="1"/>
  <c r="F1194" i="1"/>
  <c r="P1194" i="1" s="1"/>
  <c r="F1195" i="1"/>
  <c r="P1195" i="1" s="1"/>
  <c r="F1196" i="1"/>
  <c r="P1196" i="1" s="1"/>
  <c r="F1197" i="1"/>
  <c r="P1197" i="1" s="1"/>
  <c r="F1198" i="1"/>
  <c r="P1198" i="1" s="1"/>
  <c r="F1199" i="1"/>
  <c r="P1199" i="1" s="1"/>
  <c r="F1200" i="1"/>
  <c r="P1200" i="1" s="1"/>
  <c r="F1201" i="1"/>
  <c r="P1201" i="1" s="1"/>
  <c r="F1202" i="1"/>
  <c r="P1202" i="1" s="1"/>
  <c r="F1203" i="1"/>
  <c r="P1203" i="1" s="1"/>
  <c r="F1204" i="1"/>
  <c r="P1204" i="1" s="1"/>
  <c r="F1205" i="1"/>
  <c r="P1205" i="1" s="1"/>
  <c r="F1206" i="1"/>
  <c r="P1206" i="1" s="1"/>
  <c r="F1207" i="1"/>
  <c r="P1207" i="1" s="1"/>
  <c r="F1208" i="1"/>
  <c r="P1208" i="1" s="1"/>
  <c r="F1209" i="1"/>
  <c r="P1209" i="1" s="1"/>
  <c r="F1210" i="1"/>
  <c r="P1210" i="1" s="1"/>
  <c r="F1211" i="1"/>
  <c r="P1211" i="1" s="1"/>
  <c r="F1212" i="1"/>
  <c r="P1212" i="1" s="1"/>
  <c r="F1213" i="1"/>
  <c r="P1213" i="1" s="1"/>
  <c r="F1214" i="1"/>
  <c r="P1214" i="1" s="1"/>
  <c r="F1215" i="1"/>
  <c r="P1215" i="1" s="1"/>
  <c r="F1216" i="1"/>
  <c r="P1216" i="1" s="1"/>
  <c r="F1217" i="1"/>
  <c r="P1217" i="1" s="1"/>
  <c r="F1218" i="1"/>
  <c r="P1218" i="1" s="1"/>
  <c r="F1219" i="1"/>
  <c r="F1220" i="1"/>
  <c r="P1220" i="1" s="1"/>
  <c r="F1221" i="1"/>
  <c r="P1221" i="1" s="1"/>
  <c r="F1222" i="1"/>
  <c r="P1222" i="1" s="1"/>
  <c r="F1223" i="1"/>
  <c r="P1223" i="1" s="1"/>
  <c r="F1224" i="1"/>
  <c r="P1224" i="1" s="1"/>
  <c r="F1225" i="1"/>
  <c r="P1225" i="1" s="1"/>
  <c r="F1226" i="1"/>
  <c r="P1226" i="1" s="1"/>
  <c r="F1227" i="1"/>
  <c r="F1228" i="1"/>
  <c r="P1228" i="1" s="1"/>
  <c r="F1229" i="1"/>
  <c r="P1229" i="1" s="1"/>
  <c r="F1230" i="1"/>
  <c r="P1230" i="1" s="1"/>
  <c r="F1231" i="1"/>
  <c r="F1232" i="1"/>
  <c r="P1232" i="1" s="1"/>
  <c r="F1233" i="1"/>
  <c r="P1233" i="1" s="1"/>
  <c r="F1234" i="1"/>
  <c r="P1234" i="1" s="1"/>
  <c r="F1235" i="1"/>
  <c r="P1235" i="1" s="1"/>
  <c r="F1236" i="1"/>
  <c r="P1236" i="1" s="1"/>
  <c r="F1237" i="1"/>
  <c r="P1237" i="1" s="1"/>
  <c r="F1238" i="1"/>
  <c r="P1238" i="1" s="1"/>
  <c r="F1239" i="1"/>
  <c r="P1239" i="1" s="1"/>
  <c r="F1240" i="1"/>
  <c r="P1240" i="1" s="1"/>
  <c r="F1241" i="1"/>
  <c r="P1241" i="1" s="1"/>
  <c r="F1242" i="1"/>
  <c r="P1242" i="1" s="1"/>
  <c r="F1243" i="1"/>
  <c r="P1243" i="1" s="1"/>
  <c r="F1244" i="1"/>
  <c r="P1244" i="1" s="1"/>
  <c r="F1245" i="1"/>
  <c r="P1245" i="1" s="1"/>
  <c r="F1246" i="1"/>
  <c r="P1246" i="1" s="1"/>
  <c r="F1247" i="1"/>
  <c r="P1247" i="1" s="1"/>
  <c r="F1248" i="1"/>
  <c r="F1249" i="1"/>
  <c r="P1249" i="1" s="1"/>
  <c r="F1250" i="1"/>
  <c r="P1250" i="1" s="1"/>
  <c r="F1251" i="1"/>
  <c r="P1251" i="1" s="1"/>
  <c r="F1252" i="1"/>
  <c r="P1252" i="1" s="1"/>
  <c r="F1253" i="1"/>
  <c r="P1253" i="1" s="1"/>
  <c r="F1254" i="1"/>
  <c r="P1254" i="1" s="1"/>
  <c r="F1255" i="1"/>
  <c r="P1255" i="1" s="1"/>
  <c r="F1256" i="1"/>
  <c r="P1256" i="1" s="1"/>
  <c r="F1257" i="1"/>
  <c r="F1258" i="1"/>
  <c r="P1258" i="1" s="1"/>
  <c r="F1259" i="1"/>
  <c r="F1260" i="1"/>
  <c r="P1260" i="1" s="1"/>
  <c r="F1261" i="1"/>
  <c r="F1262" i="1"/>
  <c r="F1263" i="1"/>
  <c r="P1263" i="1" s="1"/>
  <c r="F1264" i="1"/>
  <c r="P1264" i="1" s="1"/>
  <c r="F1265" i="1"/>
  <c r="P1265" i="1" s="1"/>
  <c r="F1266" i="1"/>
  <c r="F1267" i="1"/>
  <c r="P1267" i="1" s="1"/>
  <c r="F1268" i="1"/>
  <c r="P1268" i="1" s="1"/>
  <c r="F1269" i="1"/>
  <c r="P1269" i="1" s="1"/>
  <c r="F1270" i="1"/>
  <c r="P1270" i="1" s="1"/>
  <c r="F1271" i="1"/>
  <c r="P1271" i="1" s="1"/>
  <c r="F1272" i="1"/>
  <c r="P1272" i="1" s="1"/>
  <c r="F1273" i="1"/>
  <c r="P1273" i="1" s="1"/>
  <c r="F1274" i="1"/>
  <c r="P1274" i="1" s="1"/>
  <c r="F1275" i="1"/>
  <c r="P1275" i="1" s="1"/>
  <c r="F1276" i="1"/>
  <c r="P1276" i="1" s="1"/>
  <c r="F1277" i="1"/>
  <c r="P1277" i="1" s="1"/>
  <c r="F1278" i="1"/>
  <c r="P1278" i="1" s="1"/>
  <c r="F1279" i="1"/>
  <c r="P1279" i="1" s="1"/>
  <c r="F1280" i="1"/>
  <c r="P1280" i="1" s="1"/>
  <c r="F1281" i="1"/>
  <c r="P1281" i="1" s="1"/>
  <c r="F1282" i="1"/>
  <c r="P1282" i="1" s="1"/>
  <c r="F1283" i="1"/>
  <c r="P1283" i="1" s="1"/>
  <c r="F1284" i="1"/>
  <c r="P1284" i="1" s="1"/>
  <c r="F1285" i="1"/>
  <c r="P1285" i="1" s="1"/>
  <c r="F1286" i="1"/>
  <c r="P1286" i="1" s="1"/>
  <c r="F1287" i="1"/>
  <c r="P1287" i="1" s="1"/>
  <c r="F1288" i="1"/>
  <c r="P1288" i="1" s="1"/>
  <c r="F1289" i="1"/>
  <c r="P1289" i="1" s="1"/>
  <c r="F1290" i="1"/>
  <c r="P1290" i="1" s="1"/>
  <c r="F1291" i="1"/>
  <c r="P1291" i="1" s="1"/>
  <c r="F1292" i="1"/>
  <c r="P1292" i="1" s="1"/>
  <c r="F1293" i="1"/>
  <c r="P1293" i="1" s="1"/>
  <c r="F1294" i="1"/>
  <c r="P1294" i="1" s="1"/>
  <c r="F1295" i="1"/>
  <c r="P1295" i="1" s="1"/>
  <c r="F1296" i="1"/>
  <c r="P1296" i="1" s="1"/>
  <c r="F1297" i="1"/>
  <c r="P1297" i="1" s="1"/>
  <c r="F1298" i="1"/>
  <c r="P1298" i="1" s="1"/>
  <c r="F1299" i="1"/>
  <c r="P1299" i="1" s="1"/>
  <c r="F1300" i="1"/>
  <c r="P1300" i="1" s="1"/>
  <c r="F1301" i="1"/>
  <c r="L1301" i="1" s="1"/>
  <c r="F1302" i="1"/>
  <c r="P1302" i="1" s="1"/>
  <c r="F1303" i="1"/>
  <c r="P1303" i="1" s="1"/>
  <c r="F1304" i="1"/>
  <c r="P1304" i="1" s="1"/>
  <c r="F1305" i="1"/>
  <c r="P1305" i="1" s="1"/>
  <c r="F1306" i="1"/>
  <c r="P1306" i="1" s="1"/>
  <c r="F1307" i="1"/>
  <c r="P1307" i="1" s="1"/>
  <c r="F1308" i="1"/>
  <c r="P1308" i="1" s="1"/>
  <c r="F1309" i="1"/>
  <c r="P1309" i="1" s="1"/>
  <c r="F1310" i="1"/>
  <c r="P1310" i="1" s="1"/>
  <c r="F1311" i="1"/>
  <c r="P1311" i="1" s="1"/>
  <c r="F1312" i="1"/>
  <c r="P1312" i="1" s="1"/>
  <c r="F1313" i="1"/>
  <c r="F1314" i="1"/>
  <c r="P1314" i="1" s="1"/>
  <c r="F1315" i="1"/>
  <c r="P1315" i="1" s="1"/>
  <c r="F1316" i="1"/>
  <c r="P1316" i="1" s="1"/>
  <c r="F1317" i="1"/>
  <c r="P1317" i="1" s="1"/>
  <c r="F1318" i="1"/>
  <c r="P1318" i="1" s="1"/>
  <c r="F1319" i="1"/>
  <c r="P1319" i="1" s="1"/>
  <c r="F1320" i="1"/>
  <c r="P1320" i="1" s="1"/>
  <c r="F1321" i="1"/>
  <c r="P1321" i="1" s="1"/>
  <c r="F1322" i="1"/>
  <c r="P1322" i="1" s="1"/>
  <c r="F1323" i="1"/>
  <c r="P1323" i="1" s="1"/>
  <c r="F1324" i="1"/>
  <c r="P1324" i="1" s="1"/>
  <c r="F1325" i="1"/>
  <c r="F1326" i="1"/>
  <c r="P1326" i="1" s="1"/>
  <c r="F1327" i="1"/>
  <c r="P1327" i="1" s="1"/>
  <c r="F1328" i="1"/>
  <c r="P1328" i="1" s="1"/>
  <c r="F1329" i="1"/>
  <c r="P1329" i="1" s="1"/>
  <c r="F1330" i="1"/>
  <c r="P1330" i="1" s="1"/>
  <c r="F1331" i="1"/>
  <c r="P1331" i="1" s="1"/>
  <c r="F1332" i="1"/>
  <c r="P1332" i="1" s="1"/>
  <c r="F1333" i="1"/>
  <c r="P1333" i="1" s="1"/>
  <c r="F1334" i="1"/>
  <c r="P1334" i="1" s="1"/>
  <c r="F1335" i="1"/>
  <c r="P1335" i="1" s="1"/>
  <c r="F1336" i="1"/>
  <c r="P1336" i="1" s="1"/>
  <c r="F1337" i="1"/>
  <c r="P1337" i="1" s="1"/>
  <c r="F1338" i="1"/>
  <c r="P1338" i="1" s="1"/>
  <c r="F1339" i="1"/>
  <c r="P1339" i="1" s="1"/>
  <c r="F1340" i="1"/>
  <c r="P1340" i="1" s="1"/>
  <c r="F1341" i="1"/>
  <c r="P1341" i="1" s="1"/>
  <c r="F1342" i="1"/>
  <c r="P1342" i="1" s="1"/>
  <c r="F1343" i="1"/>
  <c r="P1343" i="1" s="1"/>
  <c r="F1344" i="1"/>
  <c r="P1344" i="1" s="1"/>
  <c r="F1345" i="1"/>
  <c r="P1345" i="1" s="1"/>
  <c r="F1346" i="1"/>
  <c r="P1346" i="1" s="1"/>
  <c r="F1347" i="1"/>
  <c r="P1347" i="1" s="1"/>
  <c r="F1348" i="1"/>
  <c r="P1348" i="1" s="1"/>
  <c r="F1349" i="1"/>
  <c r="P1349" i="1" s="1"/>
  <c r="F1350" i="1"/>
  <c r="P1350" i="1" s="1"/>
  <c r="F1351" i="1"/>
  <c r="P1351" i="1" s="1"/>
  <c r="F1352" i="1"/>
  <c r="P1352" i="1" s="1"/>
  <c r="F1353" i="1"/>
  <c r="P1353" i="1" s="1"/>
  <c r="F1354" i="1"/>
  <c r="P1354" i="1" s="1"/>
  <c r="F1355" i="1"/>
  <c r="P1355" i="1" s="1"/>
  <c r="F1356" i="1"/>
  <c r="P1356" i="1" s="1"/>
  <c r="F1357" i="1"/>
  <c r="P1357" i="1" s="1"/>
  <c r="F1358" i="1"/>
  <c r="P1358" i="1" s="1"/>
  <c r="F1359" i="1"/>
  <c r="P1359" i="1" s="1"/>
  <c r="F1360" i="1"/>
  <c r="P1360" i="1" s="1"/>
  <c r="F1361" i="1"/>
  <c r="F1362" i="1"/>
  <c r="F1363" i="1"/>
  <c r="P1363" i="1" s="1"/>
  <c r="F1364" i="1"/>
  <c r="F1365" i="1"/>
  <c r="P1365" i="1" s="1"/>
  <c r="F1366" i="1"/>
  <c r="P1366" i="1" s="1"/>
  <c r="F1367" i="1"/>
  <c r="P1367" i="1" s="1"/>
  <c r="F1368" i="1"/>
  <c r="P1368" i="1" s="1"/>
  <c r="F1369" i="1"/>
  <c r="F1370" i="1"/>
  <c r="P1370" i="1" s="1"/>
  <c r="F1371" i="1"/>
  <c r="P1371" i="1" s="1"/>
  <c r="F1372" i="1"/>
  <c r="P1372" i="1" s="1"/>
  <c r="F1373" i="1"/>
  <c r="P1373" i="1" s="1"/>
  <c r="F1374" i="1"/>
  <c r="P1374" i="1" s="1"/>
  <c r="F1375" i="1"/>
  <c r="P1375" i="1" s="1"/>
  <c r="F1376" i="1"/>
  <c r="P1376" i="1" s="1"/>
  <c r="F1377" i="1"/>
  <c r="P1377" i="1" s="1"/>
  <c r="F1378" i="1"/>
  <c r="P1378" i="1" s="1"/>
  <c r="F1379" i="1"/>
  <c r="P1379" i="1" s="1"/>
  <c r="F1380" i="1"/>
  <c r="P1380" i="1" s="1"/>
  <c r="F1381" i="1"/>
  <c r="P1381" i="1" s="1"/>
  <c r="F1382" i="1"/>
  <c r="P1382" i="1" s="1"/>
  <c r="F1383" i="1"/>
  <c r="P1383" i="1" s="1"/>
  <c r="F1384" i="1"/>
  <c r="P1384" i="1" s="1"/>
  <c r="F1385" i="1"/>
  <c r="P1385" i="1" s="1"/>
  <c r="F1386" i="1"/>
  <c r="P1386" i="1" s="1"/>
  <c r="F1387" i="1"/>
  <c r="P1387" i="1" s="1"/>
  <c r="F1388" i="1"/>
  <c r="P1388" i="1" s="1"/>
  <c r="F1389" i="1"/>
  <c r="F1390" i="1"/>
  <c r="P1390" i="1" s="1"/>
  <c r="F1391" i="1"/>
  <c r="P1391" i="1" s="1"/>
  <c r="F1392" i="1"/>
  <c r="P1392" i="1" s="1"/>
  <c r="F1393" i="1"/>
  <c r="P1393" i="1" s="1"/>
  <c r="F1394" i="1"/>
  <c r="P1394" i="1" s="1"/>
  <c r="F1395" i="1"/>
  <c r="P1395" i="1" s="1"/>
  <c r="F1396" i="1"/>
  <c r="P1396" i="1" s="1"/>
  <c r="F1397" i="1"/>
  <c r="P1397" i="1" s="1"/>
  <c r="F1398" i="1"/>
  <c r="P1398" i="1" s="1"/>
  <c r="F1399" i="1"/>
  <c r="P1399" i="1" s="1"/>
  <c r="F1400" i="1"/>
  <c r="P1400" i="1" s="1"/>
  <c r="F1401" i="1"/>
  <c r="P1401" i="1" s="1"/>
  <c r="F1402" i="1"/>
  <c r="P1402" i="1" s="1"/>
  <c r="F1403" i="1"/>
  <c r="P1403" i="1" s="1"/>
  <c r="F1404" i="1"/>
  <c r="P1404" i="1" s="1"/>
  <c r="F1405" i="1"/>
  <c r="P1405" i="1" s="1"/>
  <c r="F1406" i="1"/>
  <c r="P1406" i="1" s="1"/>
  <c r="F1407" i="1"/>
  <c r="P1407" i="1" s="1"/>
  <c r="F1408" i="1"/>
  <c r="P1408" i="1" s="1"/>
  <c r="F1409" i="1"/>
  <c r="P1409" i="1" s="1"/>
  <c r="F1410" i="1"/>
  <c r="P1410" i="1" s="1"/>
  <c r="F1411" i="1"/>
  <c r="P1411" i="1" s="1"/>
  <c r="F1412" i="1"/>
  <c r="P1412" i="1" s="1"/>
  <c r="F1413" i="1"/>
  <c r="F1414" i="1"/>
  <c r="P1414" i="1" s="1"/>
  <c r="F1415" i="1"/>
  <c r="P1415" i="1" s="1"/>
  <c r="F1416" i="1"/>
  <c r="F1417" i="1"/>
  <c r="P1417" i="1" s="1"/>
  <c r="F1418" i="1"/>
  <c r="P1418" i="1" s="1"/>
  <c r="F1419" i="1"/>
  <c r="P1419" i="1" s="1"/>
  <c r="F1420" i="1"/>
  <c r="P1420" i="1" s="1"/>
  <c r="F1421" i="1"/>
  <c r="F1422" i="1"/>
  <c r="P1422" i="1" s="1"/>
  <c r="F1423" i="1"/>
  <c r="P1423" i="1" s="1"/>
  <c r="F1424" i="1"/>
  <c r="F1425" i="1"/>
  <c r="P1425" i="1" s="1"/>
  <c r="F1426" i="1"/>
  <c r="P1426" i="1" s="1"/>
  <c r="F1427" i="1"/>
  <c r="P1427" i="1" s="1"/>
  <c r="F1428" i="1"/>
  <c r="P1428" i="1" s="1"/>
  <c r="F1429" i="1"/>
  <c r="P1429" i="1" s="1"/>
  <c r="F1430" i="1"/>
  <c r="P1430" i="1" s="1"/>
  <c r="F1431" i="1"/>
  <c r="L1431" i="1" s="1"/>
  <c r="F1432" i="1"/>
  <c r="P1432" i="1" s="1"/>
  <c r="F1433" i="1"/>
  <c r="P1433" i="1" s="1"/>
  <c r="F1434" i="1"/>
  <c r="P1434" i="1" s="1"/>
  <c r="F1435" i="1"/>
  <c r="F1436" i="1"/>
  <c r="P1436" i="1" s="1"/>
  <c r="F1437" i="1"/>
  <c r="P1437" i="1" s="1"/>
  <c r="F1438" i="1"/>
  <c r="P1438" i="1" s="1"/>
  <c r="F1439" i="1"/>
  <c r="P1439" i="1" s="1"/>
  <c r="F1440" i="1"/>
  <c r="P1440" i="1" s="1"/>
  <c r="F1441" i="1"/>
  <c r="P1441" i="1" s="1"/>
  <c r="F1442" i="1"/>
  <c r="P1442" i="1" s="1"/>
  <c r="F1443" i="1"/>
  <c r="P1443" i="1" s="1"/>
  <c r="F1444" i="1"/>
  <c r="P1444" i="1" s="1"/>
  <c r="F1445" i="1"/>
  <c r="P1445" i="1" s="1"/>
  <c r="F1446" i="1"/>
  <c r="P1446" i="1" s="1"/>
  <c r="F1447" i="1"/>
  <c r="P1447" i="1" s="1"/>
  <c r="F1448" i="1"/>
  <c r="P1448" i="1" s="1"/>
  <c r="F1449" i="1"/>
  <c r="P1449" i="1" s="1"/>
  <c r="F1450" i="1"/>
  <c r="P1450" i="1" s="1"/>
  <c r="F1451" i="1"/>
  <c r="P1451" i="1" s="1"/>
  <c r="F1452" i="1"/>
  <c r="F1453" i="1"/>
  <c r="P1453" i="1" s="1"/>
  <c r="F1454" i="1"/>
  <c r="P1454" i="1" s="1"/>
  <c r="F1455" i="1"/>
  <c r="P1455" i="1" s="1"/>
  <c r="F1456" i="1"/>
  <c r="P1456" i="1" s="1"/>
  <c r="F1457" i="1"/>
  <c r="P1457" i="1" s="1"/>
  <c r="F1458" i="1"/>
  <c r="P1458" i="1" s="1"/>
  <c r="F1459" i="1"/>
  <c r="P1459" i="1" s="1"/>
  <c r="F1460" i="1"/>
  <c r="P1460" i="1" s="1"/>
  <c r="F1461" i="1"/>
  <c r="P1461" i="1" s="1"/>
  <c r="F1462" i="1"/>
  <c r="P1462" i="1" s="1"/>
  <c r="F1463" i="1"/>
  <c r="P1463" i="1" s="1"/>
  <c r="F1464" i="1"/>
  <c r="P1464" i="1" s="1"/>
  <c r="F1465" i="1"/>
  <c r="P1465" i="1" s="1"/>
  <c r="F1466" i="1"/>
  <c r="P1466" i="1" s="1"/>
  <c r="F1467" i="1"/>
  <c r="P1467" i="1" s="1"/>
  <c r="F1468" i="1"/>
  <c r="P1468" i="1" s="1"/>
  <c r="F1469" i="1"/>
  <c r="P1469" i="1" s="1"/>
  <c r="F1470" i="1"/>
  <c r="P1470" i="1" s="1"/>
  <c r="F1471" i="1"/>
  <c r="P1471" i="1" s="1"/>
  <c r="F1472" i="1"/>
  <c r="P1472" i="1" s="1"/>
  <c r="F1473" i="1"/>
  <c r="P1473" i="1" s="1"/>
  <c r="F1474" i="1"/>
  <c r="F1475" i="1"/>
  <c r="P1475" i="1" s="1"/>
  <c r="F1476" i="1"/>
  <c r="P1476" i="1" s="1"/>
  <c r="F1477" i="1"/>
  <c r="P1477" i="1" s="1"/>
  <c r="F1478" i="1"/>
  <c r="P1478" i="1" s="1"/>
  <c r="F1479" i="1"/>
  <c r="P1479" i="1" s="1"/>
  <c r="F1480" i="1"/>
  <c r="P1480" i="1" s="1"/>
  <c r="F1481" i="1"/>
  <c r="P1481" i="1" s="1"/>
  <c r="F1482" i="1"/>
  <c r="P1482" i="1" s="1"/>
  <c r="F1483" i="1"/>
  <c r="P1483" i="1" s="1"/>
  <c r="F1484" i="1"/>
  <c r="P1484" i="1" s="1"/>
  <c r="F1485" i="1"/>
  <c r="F1486" i="1"/>
  <c r="P1486" i="1" s="1"/>
  <c r="F1487" i="1"/>
  <c r="F1488" i="1"/>
  <c r="P1488" i="1" s="1"/>
  <c r="F1489" i="1"/>
  <c r="F1490" i="1"/>
  <c r="F1491" i="1"/>
  <c r="P1491" i="1" s="1"/>
  <c r="F1492" i="1"/>
  <c r="P1492" i="1" s="1"/>
  <c r="F1493" i="1"/>
  <c r="F1494" i="1"/>
  <c r="P1494" i="1" s="1"/>
  <c r="F1495" i="1"/>
  <c r="P1495" i="1" s="1"/>
  <c r="F1496" i="1"/>
  <c r="P1496" i="1" s="1"/>
  <c r="F1497" i="1"/>
  <c r="P1497" i="1" s="1"/>
  <c r="F1498" i="1"/>
  <c r="P1498" i="1" s="1"/>
  <c r="F1499" i="1"/>
  <c r="P1499" i="1" s="1"/>
  <c r="F1500" i="1"/>
  <c r="P1500" i="1" s="1"/>
  <c r="F1501" i="1"/>
  <c r="P1501" i="1" s="1"/>
  <c r="F1502" i="1"/>
  <c r="F1503" i="1"/>
  <c r="P1503" i="1" s="1"/>
  <c r="F1504" i="1"/>
  <c r="P1504" i="1" s="1"/>
  <c r="F1505" i="1"/>
  <c r="P1505" i="1" s="1"/>
  <c r="F1506" i="1"/>
  <c r="P1506" i="1" s="1"/>
  <c r="F1507" i="1"/>
  <c r="P1507" i="1" s="1"/>
  <c r="F1508" i="1"/>
  <c r="P1508" i="1" s="1"/>
  <c r="F1509" i="1"/>
  <c r="P1509" i="1" s="1"/>
  <c r="F1510" i="1"/>
  <c r="P1510" i="1" s="1"/>
  <c r="F1511" i="1"/>
  <c r="P1511" i="1" s="1"/>
  <c r="F1512" i="1"/>
  <c r="P1512" i="1" s="1"/>
  <c r="F1513" i="1"/>
  <c r="P1513" i="1" s="1"/>
  <c r="F1514" i="1"/>
  <c r="P1514" i="1" s="1"/>
  <c r="F1515" i="1"/>
  <c r="P1515" i="1" s="1"/>
  <c r="F1516" i="1"/>
  <c r="P1516" i="1" s="1"/>
  <c r="F1517" i="1"/>
  <c r="P1517" i="1" s="1"/>
  <c r="F1518" i="1"/>
  <c r="P1518" i="1" s="1"/>
  <c r="F1519" i="1"/>
  <c r="P1519" i="1" s="1"/>
  <c r="F1520" i="1"/>
  <c r="P1520" i="1" s="1"/>
  <c r="F1521" i="1"/>
  <c r="P1521" i="1" s="1"/>
  <c r="F1522" i="1"/>
  <c r="P1522" i="1" s="1"/>
  <c r="F1523" i="1"/>
  <c r="P1523" i="1" s="1"/>
  <c r="F1524" i="1"/>
  <c r="P1524" i="1" s="1"/>
  <c r="F1525" i="1"/>
  <c r="P1525" i="1" s="1"/>
  <c r="F1526" i="1"/>
  <c r="P1526" i="1" s="1"/>
  <c r="F1527" i="1"/>
  <c r="P1527" i="1" s="1"/>
  <c r="F1528" i="1"/>
  <c r="P1528" i="1" s="1"/>
  <c r="F1529" i="1"/>
  <c r="P1529" i="1" s="1"/>
  <c r="F1530" i="1"/>
  <c r="P1530" i="1" s="1"/>
  <c r="F1531" i="1"/>
  <c r="P1531" i="1" s="1"/>
  <c r="F1532" i="1"/>
  <c r="F1533" i="1"/>
  <c r="P1533" i="1" s="1"/>
  <c r="F1534" i="1"/>
  <c r="P1534" i="1" s="1"/>
  <c r="F1535" i="1"/>
  <c r="P1535" i="1" s="1"/>
  <c r="F1536" i="1"/>
  <c r="P1536" i="1" s="1"/>
  <c r="F1537" i="1"/>
  <c r="P1537" i="1" s="1"/>
  <c r="F1538" i="1"/>
  <c r="P1538" i="1" s="1"/>
  <c r="F1539" i="1"/>
  <c r="P1539" i="1" s="1"/>
  <c r="F1540" i="1"/>
  <c r="P1540" i="1" s="1"/>
  <c r="F1541" i="1"/>
  <c r="P1541" i="1" s="1"/>
  <c r="F1542" i="1"/>
  <c r="P1542" i="1" s="1"/>
  <c r="F1543" i="1"/>
  <c r="P1543" i="1" s="1"/>
  <c r="F1544" i="1"/>
  <c r="P1544" i="1" s="1"/>
  <c r="F1545" i="1"/>
  <c r="P1545" i="1" s="1"/>
  <c r="F1546" i="1"/>
  <c r="P1546" i="1" s="1"/>
  <c r="F1547" i="1"/>
  <c r="P1547" i="1" s="1"/>
  <c r="F1548" i="1"/>
  <c r="P1548" i="1" s="1"/>
  <c r="F1549" i="1"/>
  <c r="P1549" i="1" s="1"/>
  <c r="F1550" i="1"/>
  <c r="P1550" i="1" s="1"/>
  <c r="F1551" i="1"/>
  <c r="P1551" i="1" s="1"/>
  <c r="F1552" i="1"/>
  <c r="P1552" i="1" s="1"/>
  <c r="F1553" i="1"/>
  <c r="P1553" i="1" s="1"/>
  <c r="P2" i="1"/>
  <c r="E2" i="1"/>
  <c r="L2" i="1" s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495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8" i="1"/>
  <c r="E1489" i="1"/>
  <c r="E1491" i="1"/>
  <c r="E1492" i="1"/>
  <c r="E1494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2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5" i="1"/>
  <c r="E1166" i="1"/>
  <c r="L1166" i="1" s="1"/>
  <c r="E1167" i="1"/>
  <c r="E1168" i="1"/>
  <c r="E1169" i="1"/>
  <c r="E1170" i="1"/>
  <c r="L1170" i="1" s="1"/>
  <c r="E1171" i="1"/>
  <c r="E1172" i="1"/>
  <c r="E1173" i="1"/>
  <c r="E1174" i="1"/>
  <c r="L1174" i="1" s="1"/>
  <c r="E1175" i="1"/>
  <c r="E1176" i="1"/>
  <c r="E1177" i="1"/>
  <c r="E1178" i="1"/>
  <c r="L1178" i="1" s="1"/>
  <c r="E1179" i="1"/>
  <c r="E1180" i="1"/>
  <c r="E1181" i="1"/>
  <c r="E1182" i="1"/>
  <c r="L1182" i="1" s="1"/>
  <c r="E1183" i="1"/>
  <c r="E1184" i="1"/>
  <c r="E1185" i="1"/>
  <c r="E1186" i="1"/>
  <c r="L1186" i="1" s="1"/>
  <c r="E1187" i="1"/>
  <c r="E1188" i="1"/>
  <c r="E1189" i="1"/>
  <c r="E1190" i="1"/>
  <c r="L1190" i="1" s="1"/>
  <c r="E1191" i="1"/>
  <c r="E1192" i="1"/>
  <c r="E1193" i="1"/>
  <c r="E1194" i="1"/>
  <c r="L1194" i="1" s="1"/>
  <c r="E1195" i="1"/>
  <c r="E1196" i="1"/>
  <c r="E1197" i="1"/>
  <c r="E1198" i="1"/>
  <c r="L1198" i="1" s="1"/>
  <c r="E1199" i="1"/>
  <c r="E1200" i="1"/>
  <c r="E1201" i="1"/>
  <c r="E1202" i="1"/>
  <c r="L1202" i="1" s="1"/>
  <c r="E1203" i="1"/>
  <c r="E1204" i="1"/>
  <c r="E1205" i="1"/>
  <c r="E1206" i="1"/>
  <c r="L1206" i="1" s="1"/>
  <c r="E1207" i="1"/>
  <c r="E1208" i="1"/>
  <c r="E1209" i="1"/>
  <c r="E1210" i="1"/>
  <c r="L1210" i="1" s="1"/>
  <c r="E1211" i="1"/>
  <c r="E1212" i="1"/>
  <c r="E1213" i="1"/>
  <c r="E1214" i="1"/>
  <c r="L1214" i="1" s="1"/>
  <c r="E1215" i="1"/>
  <c r="E1216" i="1"/>
  <c r="E1217" i="1"/>
  <c r="E1218" i="1"/>
  <c r="L1218" i="1" s="1"/>
  <c r="AJ59" i="1" s="1" a="1"/>
  <c r="AJ59" i="1" s="1"/>
  <c r="E1219" i="1"/>
  <c r="E1220" i="1"/>
  <c r="E1221" i="1"/>
  <c r="E1222" i="1"/>
  <c r="L1222" i="1" s="1"/>
  <c r="E1223" i="1"/>
  <c r="E1224" i="1"/>
  <c r="E1225" i="1"/>
  <c r="E1226" i="1"/>
  <c r="L1226" i="1" s="1"/>
  <c r="E1227" i="1"/>
  <c r="E1228" i="1"/>
  <c r="E1229" i="1"/>
  <c r="E1230" i="1"/>
  <c r="L1230" i="1" s="1"/>
  <c r="E1231" i="1"/>
  <c r="E1232" i="1"/>
  <c r="E1233" i="1"/>
  <c r="E1234" i="1"/>
  <c r="L1234" i="1" s="1"/>
  <c r="E1235" i="1"/>
  <c r="E1236" i="1"/>
  <c r="E1237" i="1"/>
  <c r="E1238" i="1"/>
  <c r="L1238" i="1" s="1"/>
  <c r="E1239" i="1"/>
  <c r="E1240" i="1"/>
  <c r="E1241" i="1"/>
  <c r="E1242" i="1"/>
  <c r="L1242" i="1" s="1"/>
  <c r="Z11" i="1" s="1" a="1"/>
  <c r="Z11" i="1" s="1"/>
  <c r="E1243" i="1"/>
  <c r="E1244" i="1"/>
  <c r="E1245" i="1"/>
  <c r="E1246" i="1"/>
  <c r="L1246" i="1" s="1"/>
  <c r="E1247" i="1"/>
  <c r="E1248" i="1"/>
  <c r="E1249" i="1"/>
  <c r="E1250" i="1"/>
  <c r="L1250" i="1" s="1"/>
  <c r="E1251" i="1"/>
  <c r="E1252" i="1"/>
  <c r="E1253" i="1"/>
  <c r="E1254" i="1"/>
  <c r="L1254" i="1" s="1"/>
  <c r="E1255" i="1"/>
  <c r="E1256" i="1"/>
  <c r="E1257" i="1"/>
  <c r="E1258" i="1"/>
  <c r="L1258" i="1" s="1"/>
  <c r="E1259" i="1"/>
  <c r="E1260" i="1"/>
  <c r="E1261" i="1"/>
  <c r="E1262" i="1"/>
  <c r="L1262" i="1" s="1"/>
  <c r="E1263" i="1"/>
  <c r="L1263" i="1" s="1"/>
  <c r="E1264" i="1"/>
  <c r="E1265" i="1"/>
  <c r="E1266" i="1"/>
  <c r="L1266" i="1" s="1"/>
  <c r="E1267" i="1"/>
  <c r="L1267" i="1" s="1"/>
  <c r="E1268" i="1"/>
  <c r="E1269" i="1"/>
  <c r="E1270" i="1"/>
  <c r="L1270" i="1" s="1"/>
  <c r="E1271" i="1"/>
  <c r="L1271" i="1" s="1"/>
  <c r="E1272" i="1"/>
  <c r="E1273" i="1"/>
  <c r="E1274" i="1"/>
  <c r="L1274" i="1" s="1"/>
  <c r="E1275" i="1"/>
  <c r="L1275" i="1" s="1"/>
  <c r="E1276" i="1"/>
  <c r="E1277" i="1"/>
  <c r="E1278" i="1"/>
  <c r="L1278" i="1" s="1"/>
  <c r="E1279" i="1"/>
  <c r="L1279" i="1" s="1"/>
  <c r="E1280" i="1"/>
  <c r="E1281" i="1"/>
  <c r="E1282" i="1"/>
  <c r="L1282" i="1" s="1"/>
  <c r="E1283" i="1"/>
  <c r="L1283" i="1" s="1"/>
  <c r="E1284" i="1"/>
  <c r="E1285" i="1"/>
  <c r="E1286" i="1"/>
  <c r="L1286" i="1" s="1"/>
  <c r="E1287" i="1"/>
  <c r="L1287" i="1" s="1"/>
  <c r="E1288" i="1"/>
  <c r="E1289" i="1"/>
  <c r="E1290" i="1"/>
  <c r="L1290" i="1" s="1"/>
  <c r="Z98" i="1" s="1" a="1"/>
  <c r="Z98" i="1" s="1"/>
  <c r="E1291" i="1"/>
  <c r="L1291" i="1" s="1"/>
  <c r="E1292" i="1"/>
  <c r="E1293" i="1"/>
  <c r="E1294" i="1"/>
  <c r="L1294" i="1" s="1"/>
  <c r="E1295" i="1"/>
  <c r="L1295" i="1" s="1"/>
  <c r="E1296" i="1"/>
  <c r="E1297" i="1"/>
  <c r="E1298" i="1"/>
  <c r="L1298" i="1" s="1"/>
  <c r="E1299" i="1"/>
  <c r="L1299" i="1" s="1"/>
  <c r="E1300" i="1"/>
  <c r="E1302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5" i="1"/>
  <c r="E1036" i="1"/>
  <c r="E1037" i="1"/>
  <c r="E1038" i="1"/>
  <c r="E1039" i="1"/>
  <c r="E1040" i="1"/>
  <c r="E1041" i="1"/>
  <c r="E981" i="1"/>
  <c r="E982" i="1"/>
  <c r="E983" i="1"/>
  <c r="E854" i="1"/>
  <c r="L854" i="1" s="1"/>
  <c r="E855" i="1"/>
  <c r="L855" i="1" s="1"/>
  <c r="E856" i="1"/>
  <c r="E857" i="1"/>
  <c r="E858" i="1"/>
  <c r="L858" i="1" s="1"/>
  <c r="E859" i="1"/>
  <c r="L859" i="1" s="1"/>
  <c r="E860" i="1"/>
  <c r="E861" i="1"/>
  <c r="E862" i="1"/>
  <c r="L862" i="1" s="1"/>
  <c r="E863" i="1"/>
  <c r="L863" i="1" s="1"/>
  <c r="E864" i="1"/>
  <c r="E865" i="1"/>
  <c r="E866" i="1"/>
  <c r="L866" i="1" s="1"/>
  <c r="E867" i="1"/>
  <c r="L867" i="1" s="1"/>
  <c r="E868" i="1"/>
  <c r="E869" i="1"/>
  <c r="E870" i="1"/>
  <c r="L870" i="1" s="1"/>
  <c r="E871" i="1"/>
  <c r="L871" i="1" s="1"/>
  <c r="E872" i="1"/>
  <c r="E873" i="1"/>
  <c r="E874" i="1"/>
  <c r="L874" i="1" s="1"/>
  <c r="E875" i="1"/>
  <c r="L875" i="1" s="1"/>
  <c r="E876" i="1"/>
  <c r="E877" i="1"/>
  <c r="E878" i="1"/>
  <c r="L878" i="1" s="1"/>
  <c r="E879" i="1"/>
  <c r="L879" i="1" s="1"/>
  <c r="E880" i="1"/>
  <c r="E881" i="1"/>
  <c r="E882" i="1"/>
  <c r="L882" i="1" s="1"/>
  <c r="E883" i="1"/>
  <c r="L883" i="1" s="1"/>
  <c r="E884" i="1"/>
  <c r="E885" i="1"/>
  <c r="E886" i="1"/>
  <c r="L886" i="1" s="1"/>
  <c r="E887" i="1"/>
  <c r="L887" i="1" s="1"/>
  <c r="E888" i="1"/>
  <c r="E889" i="1"/>
  <c r="E890" i="1"/>
  <c r="L890" i="1" s="1"/>
  <c r="E891" i="1"/>
  <c r="L891" i="1" s="1"/>
  <c r="E892" i="1"/>
  <c r="E893" i="1"/>
  <c r="E894" i="1"/>
  <c r="L894" i="1" s="1"/>
  <c r="E895" i="1"/>
  <c r="L895" i="1" s="1"/>
  <c r="E896" i="1"/>
  <c r="E897" i="1"/>
  <c r="E898" i="1"/>
  <c r="L898" i="1" s="1"/>
  <c r="E899" i="1"/>
  <c r="L899" i="1" s="1"/>
  <c r="E900" i="1"/>
  <c r="E901" i="1"/>
  <c r="E902" i="1"/>
  <c r="L902" i="1" s="1"/>
  <c r="E903" i="1"/>
  <c r="L903" i="1" s="1"/>
  <c r="E904" i="1"/>
  <c r="E905" i="1"/>
  <c r="E906" i="1"/>
  <c r="L906" i="1" s="1"/>
  <c r="E907" i="1"/>
  <c r="L907" i="1" s="1"/>
  <c r="E908" i="1"/>
  <c r="E909" i="1"/>
  <c r="E910" i="1"/>
  <c r="L910" i="1" s="1"/>
  <c r="E911" i="1"/>
  <c r="L911" i="1" s="1"/>
  <c r="E912" i="1"/>
  <c r="E913" i="1"/>
  <c r="E914" i="1"/>
  <c r="L914" i="1" s="1"/>
  <c r="E915" i="1"/>
  <c r="L915" i="1" s="1"/>
  <c r="E916" i="1"/>
  <c r="E917" i="1"/>
  <c r="E918" i="1"/>
  <c r="L918" i="1" s="1"/>
  <c r="E919" i="1"/>
  <c r="L919" i="1" s="1"/>
  <c r="E920" i="1"/>
  <c r="E921" i="1"/>
  <c r="E922" i="1"/>
  <c r="L922" i="1" s="1"/>
  <c r="E923" i="1"/>
  <c r="L923" i="1" s="1"/>
  <c r="E924" i="1"/>
  <c r="E925" i="1"/>
  <c r="E926" i="1"/>
  <c r="L926" i="1" s="1"/>
  <c r="E927" i="1"/>
  <c r="L927" i="1" s="1"/>
  <c r="E928" i="1"/>
  <c r="E929" i="1"/>
  <c r="E930" i="1"/>
  <c r="L930" i="1" s="1"/>
  <c r="E931" i="1"/>
  <c r="L931" i="1" s="1"/>
  <c r="E932" i="1"/>
  <c r="E933" i="1"/>
  <c r="E934" i="1"/>
  <c r="L934" i="1" s="1"/>
  <c r="E935" i="1"/>
  <c r="L935" i="1" s="1"/>
  <c r="E936" i="1"/>
  <c r="E937" i="1"/>
  <c r="E938" i="1"/>
  <c r="L938" i="1" s="1"/>
  <c r="E939" i="1"/>
  <c r="L939" i="1" s="1"/>
  <c r="E940" i="1"/>
  <c r="E941" i="1"/>
  <c r="E942" i="1"/>
  <c r="L942" i="1" s="1"/>
  <c r="E943" i="1"/>
  <c r="L943" i="1" s="1"/>
  <c r="E944" i="1"/>
  <c r="E945" i="1"/>
  <c r="E946" i="1"/>
  <c r="L946" i="1" s="1"/>
  <c r="E947" i="1"/>
  <c r="L947" i="1" s="1"/>
  <c r="E948" i="1"/>
  <c r="E949" i="1"/>
  <c r="E950" i="1"/>
  <c r="L950" i="1" s="1"/>
  <c r="E951" i="1"/>
  <c r="L951" i="1" s="1"/>
  <c r="E952" i="1"/>
  <c r="E953" i="1"/>
  <c r="E954" i="1"/>
  <c r="L954" i="1" s="1"/>
  <c r="E955" i="1"/>
  <c r="L955" i="1" s="1"/>
  <c r="E956" i="1"/>
  <c r="E957" i="1"/>
  <c r="E958" i="1"/>
  <c r="L958" i="1" s="1"/>
  <c r="E959" i="1"/>
  <c r="L959" i="1" s="1"/>
  <c r="E960" i="1"/>
  <c r="E961" i="1"/>
  <c r="E962" i="1"/>
  <c r="L962" i="1" s="1"/>
  <c r="E963" i="1"/>
  <c r="L963" i="1" s="1"/>
  <c r="E964" i="1"/>
  <c r="E965" i="1"/>
  <c r="E966" i="1"/>
  <c r="L966" i="1" s="1"/>
  <c r="E967" i="1"/>
  <c r="L967" i="1" s="1"/>
  <c r="E968" i="1"/>
  <c r="E969" i="1"/>
  <c r="E970" i="1"/>
  <c r="L970" i="1" s="1"/>
  <c r="E971" i="1"/>
  <c r="L971" i="1" s="1"/>
  <c r="E972" i="1"/>
  <c r="E973" i="1"/>
  <c r="E974" i="1"/>
  <c r="L974" i="1" s="1"/>
  <c r="E975" i="1"/>
  <c r="L975" i="1" s="1"/>
  <c r="E976" i="1"/>
  <c r="E978" i="1"/>
  <c r="E979" i="1"/>
  <c r="E980" i="1"/>
  <c r="E851" i="1"/>
  <c r="E852" i="1"/>
  <c r="E853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50" i="1"/>
  <c r="L850" i="1" s="1"/>
  <c r="E652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593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1" i="1"/>
  <c r="L591" i="1" s="1"/>
  <c r="E461" i="1"/>
  <c r="E458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396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198" i="1"/>
  <c r="E199" i="1"/>
  <c r="E200" i="1"/>
  <c r="E201" i="1"/>
  <c r="E197" i="1"/>
  <c r="E147" i="1"/>
  <c r="L147" i="1" s="1"/>
  <c r="E148" i="1"/>
  <c r="E149" i="1"/>
  <c r="E150" i="1"/>
  <c r="E151" i="1"/>
  <c r="L151" i="1" s="1"/>
  <c r="E152" i="1"/>
  <c r="E153" i="1"/>
  <c r="E154" i="1"/>
  <c r="E155" i="1"/>
  <c r="L155" i="1" s="1"/>
  <c r="E156" i="1"/>
  <c r="E157" i="1"/>
  <c r="E158" i="1"/>
  <c r="E159" i="1"/>
  <c r="L159" i="1" s="1"/>
  <c r="E160" i="1"/>
  <c r="E161" i="1"/>
  <c r="E162" i="1"/>
  <c r="E163" i="1"/>
  <c r="L163" i="1" s="1"/>
  <c r="E164" i="1"/>
  <c r="E165" i="1"/>
  <c r="E166" i="1"/>
  <c r="E167" i="1"/>
  <c r="L167" i="1" s="1"/>
  <c r="E168" i="1"/>
  <c r="E169" i="1"/>
  <c r="E170" i="1"/>
  <c r="E171" i="1"/>
  <c r="L171" i="1" s="1"/>
  <c r="E172" i="1"/>
  <c r="E173" i="1"/>
  <c r="E174" i="1"/>
  <c r="E175" i="1"/>
  <c r="L175" i="1" s="1"/>
  <c r="E176" i="1"/>
  <c r="E177" i="1"/>
  <c r="E178" i="1"/>
  <c r="E179" i="1"/>
  <c r="L179" i="1" s="1"/>
  <c r="E180" i="1"/>
  <c r="E181" i="1"/>
  <c r="E182" i="1"/>
  <c r="E183" i="1"/>
  <c r="E184" i="1"/>
  <c r="E185" i="1"/>
  <c r="E186" i="1"/>
  <c r="E187" i="1"/>
  <c r="L187" i="1" s="1"/>
  <c r="E188" i="1"/>
  <c r="E189" i="1"/>
  <c r="E190" i="1"/>
  <c r="E191" i="1"/>
  <c r="E192" i="1"/>
  <c r="E193" i="1"/>
  <c r="E194" i="1"/>
  <c r="E195" i="1"/>
  <c r="E139" i="1"/>
  <c r="L139" i="1" s="1"/>
  <c r="E140" i="1"/>
  <c r="E141" i="1"/>
  <c r="E142" i="1"/>
  <c r="L142" i="1" s="1"/>
  <c r="E143" i="1"/>
  <c r="L143" i="1" s="1"/>
  <c r="E144" i="1"/>
  <c r="E145" i="1"/>
  <c r="E146" i="1"/>
  <c r="L146" i="1" s="1"/>
  <c r="E138" i="1"/>
  <c r="E73" i="1"/>
  <c r="E74" i="1"/>
  <c r="E75" i="1"/>
  <c r="L75" i="1" s="1"/>
  <c r="E76" i="1"/>
  <c r="E77" i="1"/>
  <c r="E78" i="1"/>
  <c r="E79" i="1"/>
  <c r="L79" i="1" s="1"/>
  <c r="E80" i="1"/>
  <c r="E81" i="1"/>
  <c r="E82" i="1"/>
  <c r="E83" i="1"/>
  <c r="L83" i="1" s="1"/>
  <c r="E84" i="1"/>
  <c r="E85" i="1"/>
  <c r="E86" i="1"/>
  <c r="E87" i="1"/>
  <c r="L87" i="1" s="1"/>
  <c r="E88" i="1"/>
  <c r="E89" i="1"/>
  <c r="E90" i="1"/>
  <c r="E91" i="1"/>
  <c r="L91" i="1" s="1"/>
  <c r="E92" i="1"/>
  <c r="E93" i="1"/>
  <c r="E94" i="1"/>
  <c r="E95" i="1"/>
  <c r="L95" i="1" s="1"/>
  <c r="E96" i="1"/>
  <c r="E97" i="1"/>
  <c r="E98" i="1"/>
  <c r="E99" i="1"/>
  <c r="L99" i="1" s="1"/>
  <c r="E100" i="1"/>
  <c r="E101" i="1"/>
  <c r="E102" i="1"/>
  <c r="E103" i="1"/>
  <c r="L103" i="1" s="1"/>
  <c r="E104" i="1"/>
  <c r="E105" i="1"/>
  <c r="E106" i="1"/>
  <c r="E107" i="1"/>
  <c r="L107" i="1" s="1"/>
  <c r="AJ32" i="1" s="1" a="1"/>
  <c r="AJ32" i="1" s="1"/>
  <c r="E108" i="1"/>
  <c r="E109" i="1"/>
  <c r="E110" i="1"/>
  <c r="E111" i="1"/>
  <c r="L111" i="1" s="1"/>
  <c r="E112" i="1"/>
  <c r="E113" i="1"/>
  <c r="E114" i="1"/>
  <c r="E115" i="1"/>
  <c r="L115" i="1" s="1"/>
  <c r="E116" i="1"/>
  <c r="E117" i="1"/>
  <c r="E118" i="1"/>
  <c r="E119" i="1"/>
  <c r="L119" i="1" s="1"/>
  <c r="E120" i="1"/>
  <c r="E121" i="1"/>
  <c r="E122" i="1"/>
  <c r="E123" i="1"/>
  <c r="L123" i="1" s="1"/>
  <c r="E124" i="1"/>
  <c r="E125" i="1"/>
  <c r="E126" i="1"/>
  <c r="E127" i="1"/>
  <c r="L127" i="1" s="1"/>
  <c r="Z16" i="1" s="1" a="1"/>
  <c r="Z16" i="1" s="1"/>
  <c r="E128" i="1"/>
  <c r="E129" i="1"/>
  <c r="E130" i="1"/>
  <c r="E131" i="1"/>
  <c r="L131" i="1" s="1"/>
  <c r="E132" i="1"/>
  <c r="E133" i="1"/>
  <c r="E134" i="1"/>
  <c r="E135" i="1"/>
  <c r="L135" i="1" s="1"/>
  <c r="E136" i="1"/>
  <c r="E72" i="1"/>
  <c r="E69" i="1"/>
  <c r="E3" i="1"/>
  <c r="L3" i="1" s="1"/>
  <c r="E4" i="1"/>
  <c r="E5" i="1"/>
  <c r="E6" i="1"/>
  <c r="E7" i="1"/>
  <c r="L7" i="1" s="1"/>
  <c r="E8" i="1"/>
  <c r="E9" i="1"/>
  <c r="E10" i="1"/>
  <c r="E11" i="1"/>
  <c r="L11" i="1" s="1"/>
  <c r="E12" i="1"/>
  <c r="E13" i="1"/>
  <c r="E14" i="1"/>
  <c r="E15" i="1"/>
  <c r="L15" i="1" s="1"/>
  <c r="E16" i="1"/>
  <c r="E17" i="1"/>
  <c r="E18" i="1"/>
  <c r="E19" i="1"/>
  <c r="L19" i="1" s="1"/>
  <c r="E20" i="1"/>
  <c r="E21" i="1"/>
  <c r="E22" i="1"/>
  <c r="E23" i="1"/>
  <c r="L23" i="1" s="1"/>
  <c r="E24" i="1"/>
  <c r="E25" i="1"/>
  <c r="E26" i="1"/>
  <c r="E27" i="1"/>
  <c r="L27" i="1" s="1"/>
  <c r="E28" i="1"/>
  <c r="E29" i="1"/>
  <c r="E30" i="1"/>
  <c r="E31" i="1"/>
  <c r="L31" i="1" s="1"/>
  <c r="E32" i="1"/>
  <c r="E33" i="1"/>
  <c r="E34" i="1"/>
  <c r="E35" i="1"/>
  <c r="L35" i="1" s="1"/>
  <c r="E36" i="1"/>
  <c r="E37" i="1"/>
  <c r="E38" i="1"/>
  <c r="E39" i="1"/>
  <c r="L39" i="1" s="1"/>
  <c r="E40" i="1"/>
  <c r="E41" i="1"/>
  <c r="E42" i="1"/>
  <c r="E43" i="1"/>
  <c r="L43" i="1" s="1"/>
  <c r="E44" i="1"/>
  <c r="E45" i="1"/>
  <c r="E46" i="1"/>
  <c r="E47" i="1"/>
  <c r="L47" i="1" s="1"/>
  <c r="E48" i="1"/>
  <c r="E49" i="1"/>
  <c r="E50" i="1"/>
  <c r="E51" i="1"/>
  <c r="L51" i="1" s="1"/>
  <c r="E52" i="1"/>
  <c r="E53" i="1"/>
  <c r="E54" i="1"/>
  <c r="E55" i="1"/>
  <c r="L55" i="1" s="1"/>
  <c r="E56" i="1"/>
  <c r="E57" i="1"/>
  <c r="E58" i="1"/>
  <c r="E59" i="1"/>
  <c r="L59" i="1" s="1"/>
  <c r="E60" i="1"/>
  <c r="E61" i="1"/>
  <c r="E62" i="1"/>
  <c r="E63" i="1"/>
  <c r="L63" i="1" s="1"/>
  <c r="E64" i="1"/>
  <c r="E65" i="1"/>
  <c r="E66" i="1"/>
  <c r="E67" i="1"/>
  <c r="L67" i="1" s="1"/>
  <c r="E68" i="1"/>
  <c r="L195" i="1" l="1"/>
  <c r="L191" i="1"/>
  <c r="L183" i="1"/>
  <c r="L199" i="1"/>
  <c r="M199" i="1" s="1"/>
  <c r="L979" i="1"/>
  <c r="L65" i="1"/>
  <c r="L57" i="1"/>
  <c r="L49" i="1"/>
  <c r="M49" i="1" s="1"/>
  <c r="L41" i="1"/>
  <c r="AJ19" i="1" s="1" a="1"/>
  <c r="AJ19" i="1" s="1"/>
  <c r="AJ81" i="1" s="1"/>
  <c r="L33" i="1"/>
  <c r="L25" i="1"/>
  <c r="M25" i="1" s="1"/>
  <c r="L13" i="1"/>
  <c r="M13" i="1" s="1"/>
  <c r="L9" i="1"/>
  <c r="M9" i="1" s="1"/>
  <c r="L133" i="1"/>
  <c r="L125" i="1"/>
  <c r="M125" i="1" s="1"/>
  <c r="L117" i="1"/>
  <c r="M117" i="1" s="1"/>
  <c r="L109" i="1"/>
  <c r="M109" i="1" s="1"/>
  <c r="L101" i="1"/>
  <c r="L93" i="1"/>
  <c r="M93" i="1" s="1"/>
  <c r="L81" i="1"/>
  <c r="M81" i="1" s="1"/>
  <c r="L73" i="1"/>
  <c r="M73" i="1" s="1"/>
  <c r="L189" i="1"/>
  <c r="L181" i="1"/>
  <c r="L173" i="1"/>
  <c r="M173" i="1" s="1"/>
  <c r="L165" i="1"/>
  <c r="M165" i="1" s="1"/>
  <c r="L157" i="1"/>
  <c r="L149" i="1"/>
  <c r="L461" i="1"/>
  <c r="M461" i="1" s="1"/>
  <c r="L61" i="1"/>
  <c r="M61" i="1" s="1"/>
  <c r="L53" i="1"/>
  <c r="L45" i="1"/>
  <c r="L37" i="1"/>
  <c r="M37" i="1" s="1"/>
  <c r="L29" i="1"/>
  <c r="L21" i="1"/>
  <c r="L17" i="1"/>
  <c r="L5" i="1"/>
  <c r="M5" i="1" s="1"/>
  <c r="L129" i="1"/>
  <c r="L121" i="1"/>
  <c r="L113" i="1"/>
  <c r="L105" i="1"/>
  <c r="M105" i="1" s="1"/>
  <c r="L97" i="1"/>
  <c r="L89" i="1"/>
  <c r="L85" i="1"/>
  <c r="L77" i="1"/>
  <c r="M77" i="1" s="1"/>
  <c r="L193" i="1"/>
  <c r="M193" i="1" s="1"/>
  <c r="L185" i="1"/>
  <c r="L177" i="1"/>
  <c r="L169" i="1"/>
  <c r="M169" i="1" s="1"/>
  <c r="L161" i="1"/>
  <c r="M161" i="1" s="1"/>
  <c r="L153" i="1"/>
  <c r="L201" i="1"/>
  <c r="L138" i="1"/>
  <c r="M138" i="1" s="1"/>
  <c r="L454" i="1"/>
  <c r="M454" i="1" s="1"/>
  <c r="L450" i="1"/>
  <c r="L446" i="1"/>
  <c r="L442" i="1"/>
  <c r="M442" i="1" s="1"/>
  <c r="L438" i="1"/>
  <c r="Z9" i="1" s="1" a="1"/>
  <c r="Z9" i="1" s="1"/>
  <c r="L434" i="1"/>
  <c r="L430" i="1"/>
  <c r="L426" i="1"/>
  <c r="M426" i="1" s="1"/>
  <c r="L422" i="1"/>
  <c r="M422" i="1" s="1"/>
  <c r="L418" i="1"/>
  <c r="AJ41" i="1" s="1" a="1"/>
  <c r="AJ41" i="1" s="1"/>
  <c r="AI102" i="1" s="1"/>
  <c r="L414" i="1"/>
  <c r="M414" i="1" s="1"/>
  <c r="L410" i="1"/>
  <c r="M410" i="1" s="1"/>
  <c r="L406" i="1"/>
  <c r="M406" i="1" s="1"/>
  <c r="L402" i="1"/>
  <c r="L398" i="1"/>
  <c r="L586" i="1"/>
  <c r="M586" i="1" s="1"/>
  <c r="L582" i="1"/>
  <c r="L578" i="1"/>
  <c r="L574" i="1"/>
  <c r="L570" i="1"/>
  <c r="M570" i="1" s="1"/>
  <c r="L566" i="1"/>
  <c r="M566" i="1" s="1"/>
  <c r="L562" i="1"/>
  <c r="L558" i="1"/>
  <c r="L554" i="1"/>
  <c r="M554" i="1" s="1"/>
  <c r="L550" i="1"/>
  <c r="M550" i="1" s="1"/>
  <c r="L546" i="1"/>
  <c r="L542" i="1"/>
  <c r="L538" i="1"/>
  <c r="M538" i="1" s="1"/>
  <c r="L534" i="1"/>
  <c r="L834" i="1"/>
  <c r="L830" i="1"/>
  <c r="L826" i="1"/>
  <c r="M826" i="1" s="1"/>
  <c r="L822" i="1"/>
  <c r="M822" i="1" s="1"/>
  <c r="L818" i="1"/>
  <c r="L814" i="1"/>
  <c r="L810" i="1"/>
  <c r="M810" i="1" s="1"/>
  <c r="L806" i="1"/>
  <c r="M806" i="1" s="1"/>
  <c r="L802" i="1"/>
  <c r="L798" i="1"/>
  <c r="L794" i="1"/>
  <c r="M794" i="1" s="1"/>
  <c r="L790" i="1"/>
  <c r="M790" i="1" s="1"/>
  <c r="L786" i="1"/>
  <c r="Z12" i="1" s="1" a="1"/>
  <c r="Z12" i="1" s="1"/>
  <c r="L782" i="1"/>
  <c r="L778" i="1"/>
  <c r="M778" i="1" s="1"/>
  <c r="L774" i="1"/>
  <c r="M774" i="1" s="1"/>
  <c r="L770" i="1"/>
  <c r="L766" i="1"/>
  <c r="L762" i="1"/>
  <c r="M762" i="1" s="1"/>
  <c r="L758" i="1"/>
  <c r="AJ51" i="1" s="1" a="1"/>
  <c r="AJ51" i="1" s="1"/>
  <c r="AJ111" i="1" s="1"/>
  <c r="L754" i="1"/>
  <c r="L750" i="1"/>
  <c r="L746" i="1"/>
  <c r="M746" i="1" s="1"/>
  <c r="L742" i="1"/>
  <c r="L738" i="1"/>
  <c r="L734" i="1"/>
  <c r="L730" i="1"/>
  <c r="M730" i="1" s="1"/>
  <c r="L726" i="1"/>
  <c r="M726" i="1" s="1"/>
  <c r="L722" i="1"/>
  <c r="L62" i="1"/>
  <c r="L50" i="1"/>
  <c r="M50" i="1" s="1"/>
  <c r="L38" i="1"/>
  <c r="M38" i="1" s="1"/>
  <c r="L30" i="1"/>
  <c r="M30" i="1" s="1"/>
  <c r="L22" i="1"/>
  <c r="L10" i="1"/>
  <c r="M10" i="1" s="1"/>
  <c r="L134" i="1"/>
  <c r="L122" i="1"/>
  <c r="L114" i="1"/>
  <c r="L106" i="1"/>
  <c r="M106" i="1" s="1"/>
  <c r="L94" i="1"/>
  <c r="L86" i="1"/>
  <c r="M86" i="1" s="1"/>
  <c r="L78" i="1"/>
  <c r="L190" i="1"/>
  <c r="M190" i="1" s="1"/>
  <c r="L182" i="1"/>
  <c r="L170" i="1"/>
  <c r="M170" i="1" s="1"/>
  <c r="L150" i="1"/>
  <c r="M150" i="1" s="1"/>
  <c r="L66" i="1"/>
  <c r="M66" i="1" s="1"/>
  <c r="L58" i="1"/>
  <c r="L54" i="1"/>
  <c r="L46" i="1"/>
  <c r="L42" i="1"/>
  <c r="M42" i="1" s="1"/>
  <c r="L34" i="1"/>
  <c r="M34" i="1" s="1"/>
  <c r="L26" i="1"/>
  <c r="M26" i="1" s="1"/>
  <c r="L18" i="1"/>
  <c r="L14" i="1"/>
  <c r="M14" i="1" s="1"/>
  <c r="L6" i="1"/>
  <c r="M6" i="1" s="1"/>
  <c r="L130" i="1"/>
  <c r="M130" i="1" s="1"/>
  <c r="L126" i="1"/>
  <c r="M126" i="1" s="1"/>
  <c r="L118" i="1"/>
  <c r="M118" i="1" s="1"/>
  <c r="L110" i="1"/>
  <c r="M110" i="1" s="1"/>
  <c r="L102" i="1"/>
  <c r="M102" i="1" s="1"/>
  <c r="L98" i="1"/>
  <c r="L90" i="1"/>
  <c r="M90" i="1" s="1"/>
  <c r="L82" i="1"/>
  <c r="M82" i="1" s="1"/>
  <c r="L74" i="1"/>
  <c r="L194" i="1"/>
  <c r="M194" i="1" s="1"/>
  <c r="L186" i="1"/>
  <c r="M186" i="1" s="1"/>
  <c r="L178" i="1"/>
  <c r="M178" i="1" s="1"/>
  <c r="L174" i="1"/>
  <c r="M174" i="1" s="1"/>
  <c r="L166" i="1"/>
  <c r="L162" i="1"/>
  <c r="M162" i="1" s="1"/>
  <c r="L158" i="1"/>
  <c r="L154" i="1"/>
  <c r="M154" i="1" s="1"/>
  <c r="L198" i="1"/>
  <c r="L458" i="1"/>
  <c r="M458" i="1" s="1"/>
  <c r="L1341" i="1"/>
  <c r="M1341" i="1" s="1"/>
  <c r="L1337" i="1"/>
  <c r="M1337" i="1" s="1"/>
  <c r="L1333" i="1"/>
  <c r="L1329" i="1"/>
  <c r="M1329" i="1" s="1"/>
  <c r="L1325" i="1"/>
  <c r="L1321" i="1"/>
  <c r="M1321" i="1" s="1"/>
  <c r="L1317" i="1"/>
  <c r="M1317" i="1" s="1"/>
  <c r="L1313" i="1"/>
  <c r="M1313" i="1" s="1"/>
  <c r="L1309" i="1"/>
  <c r="M1309" i="1" s="1"/>
  <c r="L1305" i="1"/>
  <c r="M1305" i="1" s="1"/>
  <c r="AI94" i="1"/>
  <c r="AJ94" i="1"/>
  <c r="AI119" i="1"/>
  <c r="AJ119" i="1"/>
  <c r="L68" i="1"/>
  <c r="L64" i="1"/>
  <c r="M64" i="1" s="1"/>
  <c r="L60" i="1"/>
  <c r="L56" i="1"/>
  <c r="M56" i="1" s="1"/>
  <c r="L52" i="1"/>
  <c r="M52" i="1" s="1"/>
  <c r="L48" i="1"/>
  <c r="M48" i="1" s="1"/>
  <c r="L44" i="1"/>
  <c r="L40" i="1"/>
  <c r="M40" i="1" s="1"/>
  <c r="L36" i="1"/>
  <c r="L32" i="1"/>
  <c r="AJ14" i="1" s="1" a="1"/>
  <c r="AJ14" i="1" s="1"/>
  <c r="L28" i="1"/>
  <c r="L24" i="1"/>
  <c r="L20" i="1"/>
  <c r="M20" i="1" s="1"/>
  <c r="L16" i="1"/>
  <c r="M16" i="1" s="1"/>
  <c r="L12" i="1"/>
  <c r="L8" i="1"/>
  <c r="M8" i="1" s="1"/>
  <c r="L4" i="1"/>
  <c r="M4" i="1" s="1"/>
  <c r="L136" i="1"/>
  <c r="M136" i="1" s="1"/>
  <c r="L132" i="1"/>
  <c r="M132" i="1" s="1"/>
  <c r="L128" i="1"/>
  <c r="M128" i="1" s="1"/>
  <c r="L124" i="1"/>
  <c r="L120" i="1"/>
  <c r="M120" i="1" s="1"/>
  <c r="L116" i="1"/>
  <c r="L112" i="1"/>
  <c r="M112" i="1" s="1"/>
  <c r="L108" i="1"/>
  <c r="M108" i="1" s="1"/>
  <c r="L104" i="1"/>
  <c r="M104" i="1" s="1"/>
  <c r="L100" i="1"/>
  <c r="L96" i="1"/>
  <c r="M96" i="1" s="1"/>
  <c r="L92" i="1"/>
  <c r="M92" i="1" s="1"/>
  <c r="L88" i="1"/>
  <c r="M88" i="1" s="1"/>
  <c r="L84" i="1"/>
  <c r="L80" i="1"/>
  <c r="M80" i="1" s="1"/>
  <c r="L76" i="1"/>
  <c r="M76" i="1" s="1"/>
  <c r="L192" i="1"/>
  <c r="M192" i="1" s="1"/>
  <c r="L188" i="1"/>
  <c r="L184" i="1"/>
  <c r="M184" i="1" s="1"/>
  <c r="L180" i="1"/>
  <c r="M180" i="1" s="1"/>
  <c r="L176" i="1"/>
  <c r="M176" i="1" s="1"/>
  <c r="L172" i="1"/>
  <c r="L168" i="1"/>
  <c r="M168" i="1" s="1"/>
  <c r="L164" i="1"/>
  <c r="M164" i="1" s="1"/>
  <c r="L160" i="1"/>
  <c r="M160" i="1" s="1"/>
  <c r="L156" i="1"/>
  <c r="L152" i="1"/>
  <c r="M152" i="1" s="1"/>
  <c r="L148" i="1"/>
  <c r="M148" i="1" s="1"/>
  <c r="L200" i="1"/>
  <c r="M200" i="1" s="1"/>
  <c r="L396" i="1"/>
  <c r="L652" i="1"/>
  <c r="M652" i="1" s="1"/>
  <c r="L846" i="1"/>
  <c r="M846" i="1" s="1"/>
  <c r="L842" i="1"/>
  <c r="M842" i="1" s="1"/>
  <c r="L838" i="1"/>
  <c r="M838" i="1" s="1"/>
  <c r="L980" i="1"/>
  <c r="M980" i="1" s="1"/>
  <c r="L1162" i="1"/>
  <c r="M1162" i="1" s="1"/>
  <c r="L1158" i="1"/>
  <c r="L1154" i="1"/>
  <c r="L1150" i="1"/>
  <c r="M1150" i="1" s="1"/>
  <c r="L1146" i="1"/>
  <c r="M1146" i="1" s="1"/>
  <c r="L1142" i="1"/>
  <c r="M1142" i="1" s="1"/>
  <c r="L1138" i="1"/>
  <c r="M1138" i="1" s="1"/>
  <c r="L1134" i="1"/>
  <c r="M1134" i="1" s="1"/>
  <c r="L1130" i="1"/>
  <c r="M1130" i="1" s="1"/>
  <c r="L1126" i="1"/>
  <c r="M1126" i="1" s="1"/>
  <c r="L1122" i="1"/>
  <c r="L1118" i="1"/>
  <c r="M1118" i="1" s="1"/>
  <c r="L1114" i="1"/>
  <c r="M1114" i="1" s="1"/>
  <c r="L1110" i="1"/>
  <c r="M1110" i="1" s="1"/>
  <c r="L1106" i="1"/>
  <c r="L1102" i="1"/>
  <c r="M1102" i="1" s="1"/>
  <c r="L1098" i="1"/>
  <c r="M1098" i="1" s="1"/>
  <c r="L1094" i="1"/>
  <c r="M1094" i="1" s="1"/>
  <c r="L1090" i="1"/>
  <c r="L1086" i="1"/>
  <c r="L1082" i="1"/>
  <c r="M1082" i="1" s="1"/>
  <c r="L1078" i="1"/>
  <c r="M1078" i="1" s="1"/>
  <c r="L1074" i="1"/>
  <c r="L1070" i="1"/>
  <c r="M1070" i="1" s="1"/>
  <c r="L1066" i="1"/>
  <c r="M1066" i="1" s="1"/>
  <c r="L1062" i="1"/>
  <c r="M1062" i="1" s="1"/>
  <c r="L1058" i="1"/>
  <c r="L1054" i="1"/>
  <c r="M1054" i="1" s="1"/>
  <c r="L1050" i="1"/>
  <c r="M1050" i="1" s="1"/>
  <c r="L1046" i="1"/>
  <c r="L978" i="1"/>
  <c r="L1302" i="1"/>
  <c r="M1302" i="1" s="1"/>
  <c r="L1430" i="1"/>
  <c r="M1430" i="1" s="1"/>
  <c r="L1426" i="1"/>
  <c r="M1426" i="1" s="1"/>
  <c r="L1422" i="1"/>
  <c r="L1418" i="1"/>
  <c r="L1414" i="1"/>
  <c r="M1414" i="1" s="1"/>
  <c r="L1410" i="1"/>
  <c r="M1410" i="1" s="1"/>
  <c r="L1406" i="1"/>
  <c r="L1402" i="1"/>
  <c r="M1402" i="1" s="1"/>
  <c r="L1398" i="1"/>
  <c r="M1398" i="1" s="1"/>
  <c r="L1394" i="1"/>
  <c r="M1394" i="1" s="1"/>
  <c r="L1390" i="1"/>
  <c r="L1386" i="1"/>
  <c r="M1386" i="1" s="1"/>
  <c r="L1382" i="1"/>
  <c r="M1382" i="1" s="1"/>
  <c r="L1378" i="1"/>
  <c r="M1378" i="1" s="1"/>
  <c r="L1374" i="1"/>
  <c r="L1370" i="1"/>
  <c r="M1370" i="1" s="1"/>
  <c r="L1366" i="1"/>
  <c r="M1366" i="1" s="1"/>
  <c r="L1358" i="1"/>
  <c r="M1358" i="1" s="1"/>
  <c r="L1354" i="1"/>
  <c r="AJ60" i="1" s="1" a="1"/>
  <c r="AJ60" i="1" s="1"/>
  <c r="L1350" i="1"/>
  <c r="M1350" i="1" s="1"/>
  <c r="L1346" i="1"/>
  <c r="M1346" i="1" s="1"/>
  <c r="L1342" i="1"/>
  <c r="Z48" i="1" s="1" a="1"/>
  <c r="Z48" i="1" s="1"/>
  <c r="AB156" i="1" s="1"/>
  <c r="L1338" i="1"/>
  <c r="L1334" i="1"/>
  <c r="M1334" i="1" s="1"/>
  <c r="L1330" i="1"/>
  <c r="M1330" i="1" s="1"/>
  <c r="L1326" i="1"/>
  <c r="M1326" i="1" s="1"/>
  <c r="L1322" i="1"/>
  <c r="L1318" i="1"/>
  <c r="M1318" i="1" s="1"/>
  <c r="L1314" i="1"/>
  <c r="M1314" i="1" s="1"/>
  <c r="L1310" i="1"/>
  <c r="M1310" i="1" s="1"/>
  <c r="L1306" i="1"/>
  <c r="L1494" i="1"/>
  <c r="M1494" i="1" s="1"/>
  <c r="Y204" i="1"/>
  <c r="AB204" i="1"/>
  <c r="Y125" i="1"/>
  <c r="AB125" i="1"/>
  <c r="AB121" i="1"/>
  <c r="Y121" i="1"/>
  <c r="L1429" i="1"/>
  <c r="M1429" i="1" s="1"/>
  <c r="L1425" i="1"/>
  <c r="M1425" i="1" s="1"/>
  <c r="L1421" i="1"/>
  <c r="M1421" i="1" s="1"/>
  <c r="L1417" i="1"/>
  <c r="M1417" i="1" s="1"/>
  <c r="L1413" i="1"/>
  <c r="L1409" i="1"/>
  <c r="M1409" i="1" s="1"/>
  <c r="L1405" i="1"/>
  <c r="M1405" i="1" s="1"/>
  <c r="L1401" i="1"/>
  <c r="M1401" i="1" s="1"/>
  <c r="L1397" i="1"/>
  <c r="M1397" i="1" s="1"/>
  <c r="L1393" i="1"/>
  <c r="M1393" i="1" s="1"/>
  <c r="L1389" i="1"/>
  <c r="M1389" i="1" s="1"/>
  <c r="L1385" i="1"/>
  <c r="M1385" i="1" s="1"/>
  <c r="L1381" i="1"/>
  <c r="M1381" i="1" s="1"/>
  <c r="L1377" i="1"/>
  <c r="M1377" i="1" s="1"/>
  <c r="L1373" i="1"/>
  <c r="M1373" i="1" s="1"/>
  <c r="L1369" i="1"/>
  <c r="M1369" i="1" s="1"/>
  <c r="L1365" i="1"/>
  <c r="L1357" i="1"/>
  <c r="M1357" i="1" s="1"/>
  <c r="L1353" i="1"/>
  <c r="M1353" i="1" s="1"/>
  <c r="L1349" i="1"/>
  <c r="M1349" i="1" s="1"/>
  <c r="L1345" i="1"/>
  <c r="Z33" i="1" s="1" a="1"/>
  <c r="Z33" i="1" s="1"/>
  <c r="AA141" i="1" s="1"/>
  <c r="L1259" i="1"/>
  <c r="M1259" i="1" s="1"/>
  <c r="L1255" i="1"/>
  <c r="M1255" i="1" s="1"/>
  <c r="L1251" i="1"/>
  <c r="M1251" i="1" s="1"/>
  <c r="L1247" i="1"/>
  <c r="M1247" i="1" s="1"/>
  <c r="L1243" i="1"/>
  <c r="M1243" i="1" s="1"/>
  <c r="L1239" i="1"/>
  <c r="M1239" i="1" s="1"/>
  <c r="L1235" i="1"/>
  <c r="M1235" i="1" s="1"/>
  <c r="L1223" i="1"/>
  <c r="M1223" i="1" s="1"/>
  <c r="L1215" i="1"/>
  <c r="M1215" i="1" s="1"/>
  <c r="L1211" i="1"/>
  <c r="M1211" i="1" s="1"/>
  <c r="L1207" i="1"/>
  <c r="M1207" i="1" s="1"/>
  <c r="L1203" i="1"/>
  <c r="M1203" i="1" s="1"/>
  <c r="L1199" i="1"/>
  <c r="M1199" i="1" s="1"/>
  <c r="L1195" i="1"/>
  <c r="M1195" i="1" s="1"/>
  <c r="L1191" i="1"/>
  <c r="L1187" i="1"/>
  <c r="M1187" i="1" s="1"/>
  <c r="L1183" i="1"/>
  <c r="M1183" i="1" s="1"/>
  <c r="L1179" i="1"/>
  <c r="M1179" i="1" s="1"/>
  <c r="L1175" i="1"/>
  <c r="M1175" i="1" s="1"/>
  <c r="L1171" i="1"/>
  <c r="M1171" i="1" s="1"/>
  <c r="L1167" i="1"/>
  <c r="M1167" i="1" s="1"/>
  <c r="L1428" i="1"/>
  <c r="M1428" i="1" s="1"/>
  <c r="L1424" i="1"/>
  <c r="M1424" i="1" s="1"/>
  <c r="L1420" i="1"/>
  <c r="M1420" i="1" s="1"/>
  <c r="L1412" i="1"/>
  <c r="M1412" i="1" s="1"/>
  <c r="L1408" i="1"/>
  <c r="M1408" i="1" s="1"/>
  <c r="L1404" i="1"/>
  <c r="M1404" i="1" s="1"/>
  <c r="L1400" i="1"/>
  <c r="M1400" i="1" s="1"/>
  <c r="L1396" i="1"/>
  <c r="AJ61" i="1" s="1" a="1"/>
  <c r="AJ61" i="1" s="1"/>
  <c r="L1392" i="1"/>
  <c r="M1392" i="1" s="1"/>
  <c r="L1388" i="1"/>
  <c r="M1388" i="1" s="1"/>
  <c r="L1384" i="1"/>
  <c r="M1384" i="1" s="1"/>
  <c r="L1380" i="1"/>
  <c r="M1380" i="1" s="1"/>
  <c r="L1376" i="1"/>
  <c r="M1376" i="1" s="1"/>
  <c r="L1372" i="1"/>
  <c r="M1372" i="1" s="1"/>
  <c r="L1368" i="1"/>
  <c r="M1368" i="1" s="1"/>
  <c r="L1360" i="1"/>
  <c r="M1360" i="1" s="1"/>
  <c r="L1356" i="1"/>
  <c r="M1356" i="1" s="1"/>
  <c r="L1352" i="1"/>
  <c r="M1352" i="1" s="1"/>
  <c r="L1348" i="1"/>
  <c r="M1348" i="1" s="1"/>
  <c r="L1344" i="1"/>
  <c r="M1344" i="1" s="1"/>
  <c r="L1340" i="1"/>
  <c r="M1340" i="1" s="1"/>
  <c r="L1336" i="1"/>
  <c r="M1336" i="1" s="1"/>
  <c r="L1332" i="1"/>
  <c r="M1332" i="1" s="1"/>
  <c r="L1328" i="1"/>
  <c r="L1324" i="1"/>
  <c r="M1324" i="1" s="1"/>
  <c r="L1320" i="1"/>
  <c r="M1320" i="1" s="1"/>
  <c r="L1316" i="1"/>
  <c r="M1316" i="1" s="1"/>
  <c r="L1312" i="1"/>
  <c r="M1312" i="1" s="1"/>
  <c r="L1308" i="1"/>
  <c r="M1308" i="1" s="1"/>
  <c r="L1304" i="1"/>
  <c r="M1304" i="1" s="1"/>
  <c r="L1491" i="1"/>
  <c r="M1491" i="1" s="1"/>
  <c r="L1551" i="1"/>
  <c r="M1551" i="1" s="1"/>
  <c r="L1547" i="1"/>
  <c r="M1547" i="1" s="1"/>
  <c r="L1543" i="1"/>
  <c r="L1539" i="1"/>
  <c r="M1539" i="1" s="1"/>
  <c r="L1535" i="1"/>
  <c r="M1535" i="1" s="1"/>
  <c r="L1531" i="1"/>
  <c r="M1531" i="1" s="1"/>
  <c r="L1527" i="1"/>
  <c r="M1527" i="1" s="1"/>
  <c r="L1523" i="1"/>
  <c r="M1523" i="1" s="1"/>
  <c r="L1519" i="1"/>
  <c r="M1519" i="1" s="1"/>
  <c r="L1515" i="1"/>
  <c r="M1515" i="1" s="1"/>
  <c r="L1511" i="1"/>
  <c r="M1511" i="1" s="1"/>
  <c r="L1507" i="1"/>
  <c r="M1507" i="1" s="1"/>
  <c r="L1503" i="1"/>
  <c r="M1503" i="1" s="1"/>
  <c r="L1427" i="1"/>
  <c r="M1427" i="1" s="1"/>
  <c r="L1423" i="1"/>
  <c r="M1423" i="1" s="1"/>
  <c r="L1419" i="1"/>
  <c r="M1419" i="1" s="1"/>
  <c r="L1415" i="1"/>
  <c r="M1415" i="1" s="1"/>
  <c r="L1411" i="1"/>
  <c r="M1411" i="1" s="1"/>
  <c r="L1407" i="1"/>
  <c r="M1407" i="1" s="1"/>
  <c r="L1403" i="1"/>
  <c r="M1403" i="1" s="1"/>
  <c r="L1399" i="1"/>
  <c r="M1399" i="1" s="1"/>
  <c r="L1395" i="1"/>
  <c r="M1395" i="1" s="1"/>
  <c r="L1391" i="1"/>
  <c r="M1391" i="1" s="1"/>
  <c r="L1387" i="1"/>
  <c r="M1387" i="1" s="1"/>
  <c r="L1383" i="1"/>
  <c r="L1379" i="1"/>
  <c r="M1379" i="1" s="1"/>
  <c r="L1375" i="1"/>
  <c r="M1375" i="1" s="1"/>
  <c r="L1371" i="1"/>
  <c r="M1371" i="1" s="1"/>
  <c r="L1367" i="1"/>
  <c r="M1367" i="1" s="1"/>
  <c r="L1363" i="1"/>
  <c r="AJ55" i="1" s="1" a="1"/>
  <c r="AJ55" i="1" s="1"/>
  <c r="L1359" i="1"/>
  <c r="M1359" i="1" s="1"/>
  <c r="L1355" i="1"/>
  <c r="M1355" i="1" s="1"/>
  <c r="L1351" i="1"/>
  <c r="M1351" i="1" s="1"/>
  <c r="L1347" i="1"/>
  <c r="M1347" i="1" s="1"/>
  <c r="L1343" i="1"/>
  <c r="M1343" i="1" s="1"/>
  <c r="L1339" i="1"/>
  <c r="M1339" i="1" s="1"/>
  <c r="L1335" i="1"/>
  <c r="M1335" i="1" s="1"/>
  <c r="L1331" i="1"/>
  <c r="M1331" i="1" s="1"/>
  <c r="L1327" i="1"/>
  <c r="M1327" i="1" s="1"/>
  <c r="L1323" i="1"/>
  <c r="M1323" i="1" s="1"/>
  <c r="L1319" i="1"/>
  <c r="M1319" i="1" s="1"/>
  <c r="L1315" i="1"/>
  <c r="M1315" i="1" s="1"/>
  <c r="L1311" i="1"/>
  <c r="M1311" i="1" s="1"/>
  <c r="L1307" i="1"/>
  <c r="M1307" i="1" s="1"/>
  <c r="L1303" i="1"/>
  <c r="M1303" i="1" s="1"/>
  <c r="L1495" i="1"/>
  <c r="M1495" i="1" s="1"/>
  <c r="X121" i="1"/>
  <c r="AA121" i="1"/>
  <c r="AA204" i="1"/>
  <c r="X204" i="1"/>
  <c r="X156" i="1"/>
  <c r="AA125" i="1"/>
  <c r="X125" i="1"/>
  <c r="L1550" i="1"/>
  <c r="M1550" i="1" s="1"/>
  <c r="L1546" i="1"/>
  <c r="M1546" i="1" s="1"/>
  <c r="L1542" i="1"/>
  <c r="L1538" i="1"/>
  <c r="M1538" i="1" s="1"/>
  <c r="L1534" i="1"/>
  <c r="M1534" i="1" s="1"/>
  <c r="L1530" i="1"/>
  <c r="M1530" i="1" s="1"/>
  <c r="L1526" i="1"/>
  <c r="M1526" i="1" s="1"/>
  <c r="L1522" i="1"/>
  <c r="M1522" i="1" s="1"/>
  <c r="L1518" i="1"/>
  <c r="M1518" i="1" s="1"/>
  <c r="L1514" i="1"/>
  <c r="M1514" i="1" s="1"/>
  <c r="L1510" i="1"/>
  <c r="M1510" i="1" s="1"/>
  <c r="L1506" i="1"/>
  <c r="M1506" i="1" s="1"/>
  <c r="L1502" i="1"/>
  <c r="M1502" i="1" s="1"/>
  <c r="L1042" i="1"/>
  <c r="M1042" i="1" s="1"/>
  <c r="L1498" i="1"/>
  <c r="M1498" i="1" s="1"/>
  <c r="Z121" i="1"/>
  <c r="W121" i="1"/>
  <c r="Z125" i="1"/>
  <c r="W125" i="1"/>
  <c r="Z67" i="1" a="1"/>
  <c r="Z67" i="1" s="1"/>
  <c r="Z108" i="1" a="1"/>
  <c r="Z108" i="1" s="1"/>
  <c r="M2" i="1"/>
  <c r="Z86" i="1" a="1"/>
  <c r="Z86" i="1" s="1"/>
  <c r="Z17" i="1" a="1"/>
  <c r="Z17" i="1" s="1"/>
  <c r="L1499" i="1"/>
  <c r="M1499" i="1" s="1"/>
  <c r="M53" i="1"/>
  <c r="M60" i="1"/>
  <c r="M28" i="1"/>
  <c r="M116" i="1"/>
  <c r="M100" i="1"/>
  <c r="M172" i="1"/>
  <c r="M446" i="1"/>
  <c r="M434" i="1"/>
  <c r="M402" i="1"/>
  <c r="M574" i="1"/>
  <c r="M562" i="1"/>
  <c r="M546" i="1"/>
  <c r="M830" i="1"/>
  <c r="M818" i="1"/>
  <c r="M782" i="1"/>
  <c r="M750" i="1"/>
  <c r="M738" i="1"/>
  <c r="M971" i="1"/>
  <c r="M959" i="1"/>
  <c r="M951" i="1"/>
  <c r="M935" i="1"/>
  <c r="M927" i="1"/>
  <c r="M911" i="1"/>
  <c r="M907" i="1"/>
  <c r="M895" i="1"/>
  <c r="M883" i="1"/>
  <c r="M871" i="1"/>
  <c r="M859" i="1"/>
  <c r="M1295" i="1"/>
  <c r="M1283" i="1"/>
  <c r="M1275" i="1"/>
  <c r="M1263" i="1"/>
  <c r="M1158" i="1"/>
  <c r="M1122" i="1"/>
  <c r="M1106" i="1"/>
  <c r="M1090" i="1"/>
  <c r="M1074" i="1"/>
  <c r="M1058" i="1"/>
  <c r="M1046" i="1"/>
  <c r="M592" i="1"/>
  <c r="M532" i="1"/>
  <c r="M196" i="1"/>
  <c r="M29" i="1"/>
  <c r="M12" i="1"/>
  <c r="M124" i="1"/>
  <c r="M143" i="1"/>
  <c r="M188" i="1"/>
  <c r="M156" i="1"/>
  <c r="M450" i="1"/>
  <c r="M591" i="1"/>
  <c r="M578" i="1"/>
  <c r="M542" i="1"/>
  <c r="M814" i="1"/>
  <c r="M802" i="1"/>
  <c r="M786" i="1"/>
  <c r="M770" i="1"/>
  <c r="M754" i="1"/>
  <c r="M742" i="1"/>
  <c r="M975" i="1"/>
  <c r="M963" i="1"/>
  <c r="M943" i="1"/>
  <c r="M931" i="1"/>
  <c r="M919" i="1"/>
  <c r="M903" i="1"/>
  <c r="M887" i="1"/>
  <c r="M875" i="1"/>
  <c r="M863" i="1"/>
  <c r="M1299" i="1"/>
  <c r="M1287" i="1"/>
  <c r="M1267" i="1"/>
  <c r="M1191" i="1"/>
  <c r="M1154" i="1"/>
  <c r="M1086" i="1"/>
  <c r="M67" i="1"/>
  <c r="M59" i="1"/>
  <c r="M47" i="1"/>
  <c r="M39" i="1"/>
  <c r="M31" i="1"/>
  <c r="M19" i="1"/>
  <c r="M7" i="1"/>
  <c r="M135" i="1"/>
  <c r="M127" i="1"/>
  <c r="M119" i="1"/>
  <c r="M111" i="1"/>
  <c r="M99" i="1"/>
  <c r="M91" i="1"/>
  <c r="M79" i="1"/>
  <c r="M146" i="1"/>
  <c r="M195" i="1"/>
  <c r="M183" i="1"/>
  <c r="M175" i="1"/>
  <c r="M163" i="1"/>
  <c r="M155" i="1"/>
  <c r="M974" i="1"/>
  <c r="M966" i="1"/>
  <c r="M958" i="1"/>
  <c r="M946" i="1"/>
  <c r="M938" i="1"/>
  <c r="M930" i="1"/>
  <c r="M922" i="1"/>
  <c r="M910" i="1"/>
  <c r="M902" i="1"/>
  <c r="M894" i="1"/>
  <c r="M882" i="1"/>
  <c r="M874" i="1"/>
  <c r="M866" i="1"/>
  <c r="M858" i="1"/>
  <c r="M1298" i="1"/>
  <c r="M1286" i="1"/>
  <c r="M1278" i="1"/>
  <c r="M1270" i="1"/>
  <c r="M1262" i="1"/>
  <c r="M1250" i="1"/>
  <c r="M1242" i="1"/>
  <c r="M1234" i="1"/>
  <c r="M1222" i="1"/>
  <c r="M1214" i="1"/>
  <c r="M1206" i="1"/>
  <c r="M1194" i="1"/>
  <c r="M1186" i="1"/>
  <c r="M1178" i="1"/>
  <c r="M1170" i="1"/>
  <c r="M1431" i="1"/>
  <c r="M651" i="1"/>
  <c r="M395" i="1"/>
  <c r="M71" i="1"/>
  <c r="M65" i="1"/>
  <c r="M33" i="1"/>
  <c r="M17" i="1"/>
  <c r="M44" i="1"/>
  <c r="M84" i="1"/>
  <c r="M139" i="1"/>
  <c r="M396" i="1"/>
  <c r="M430" i="1"/>
  <c r="M418" i="1"/>
  <c r="M398" i="1"/>
  <c r="M582" i="1"/>
  <c r="M558" i="1"/>
  <c r="M534" i="1"/>
  <c r="M834" i="1"/>
  <c r="M798" i="1"/>
  <c r="M766" i="1"/>
  <c r="M758" i="1"/>
  <c r="M734" i="1"/>
  <c r="M722" i="1"/>
  <c r="M967" i="1"/>
  <c r="M955" i="1"/>
  <c r="M947" i="1"/>
  <c r="M939" i="1"/>
  <c r="M923" i="1"/>
  <c r="M915" i="1"/>
  <c r="M899" i="1"/>
  <c r="M891" i="1"/>
  <c r="M879" i="1"/>
  <c r="M867" i="1"/>
  <c r="M855" i="1"/>
  <c r="M1291" i="1"/>
  <c r="M1279" i="1"/>
  <c r="M1271" i="1"/>
  <c r="M1328" i="1"/>
  <c r="M1543" i="1"/>
  <c r="M63" i="1"/>
  <c r="M55" i="1"/>
  <c r="M51" i="1"/>
  <c r="M43" i="1"/>
  <c r="M35" i="1"/>
  <c r="M27" i="1"/>
  <c r="M23" i="1"/>
  <c r="M15" i="1"/>
  <c r="M11" i="1"/>
  <c r="M3" i="1"/>
  <c r="M131" i="1"/>
  <c r="M123" i="1"/>
  <c r="M115" i="1"/>
  <c r="M107" i="1"/>
  <c r="M103" i="1"/>
  <c r="M95" i="1"/>
  <c r="M87" i="1"/>
  <c r="M83" i="1"/>
  <c r="M75" i="1"/>
  <c r="M142" i="1"/>
  <c r="M191" i="1"/>
  <c r="M187" i="1"/>
  <c r="M179" i="1"/>
  <c r="M171" i="1"/>
  <c r="M167" i="1"/>
  <c r="M159" i="1"/>
  <c r="M151" i="1"/>
  <c r="M147" i="1"/>
  <c r="M850" i="1"/>
  <c r="M979" i="1"/>
  <c r="M970" i="1"/>
  <c r="M962" i="1"/>
  <c r="M954" i="1"/>
  <c r="M950" i="1"/>
  <c r="M942" i="1"/>
  <c r="M934" i="1"/>
  <c r="M926" i="1"/>
  <c r="M918" i="1"/>
  <c r="M914" i="1"/>
  <c r="M906" i="1"/>
  <c r="M898" i="1"/>
  <c r="M890" i="1"/>
  <c r="M886" i="1"/>
  <c r="M878" i="1"/>
  <c r="M870" i="1"/>
  <c r="M862" i="1"/>
  <c r="M854" i="1"/>
  <c r="M1294" i="1"/>
  <c r="M1290" i="1"/>
  <c r="M1282" i="1"/>
  <c r="M1274" i="1"/>
  <c r="M1266" i="1"/>
  <c r="M1258" i="1"/>
  <c r="M1254" i="1"/>
  <c r="M1246" i="1"/>
  <c r="M1238" i="1"/>
  <c r="M1230" i="1"/>
  <c r="M1226" i="1"/>
  <c r="M1218" i="1"/>
  <c r="M1210" i="1"/>
  <c r="M1202" i="1"/>
  <c r="M1198" i="1"/>
  <c r="M1190" i="1"/>
  <c r="M1182" i="1"/>
  <c r="M1174" i="1"/>
  <c r="M1166" i="1"/>
  <c r="M1383" i="1"/>
  <c r="M62" i="1"/>
  <c r="M58" i="1"/>
  <c r="M54" i="1"/>
  <c r="M46" i="1"/>
  <c r="M22" i="1"/>
  <c r="M18" i="1"/>
  <c r="M134" i="1"/>
  <c r="M122" i="1"/>
  <c r="M114" i="1"/>
  <c r="M98" i="1"/>
  <c r="M94" i="1"/>
  <c r="M78" i="1"/>
  <c r="M74" i="1"/>
  <c r="M182" i="1"/>
  <c r="M166" i="1"/>
  <c r="M158" i="1"/>
  <c r="M198" i="1"/>
  <c r="M978" i="1"/>
  <c r="M1422" i="1"/>
  <c r="M1418" i="1"/>
  <c r="M1406" i="1"/>
  <c r="M1390" i="1"/>
  <c r="M1374" i="1"/>
  <c r="M1354" i="1"/>
  <c r="M1338" i="1"/>
  <c r="M1322" i="1"/>
  <c r="M1306" i="1"/>
  <c r="M57" i="1"/>
  <c r="M45" i="1"/>
  <c r="M21" i="1"/>
  <c r="M133" i="1"/>
  <c r="M129" i="1"/>
  <c r="M121" i="1"/>
  <c r="M113" i="1"/>
  <c r="M101" i="1"/>
  <c r="M97" i="1"/>
  <c r="M89" i="1"/>
  <c r="M85" i="1"/>
  <c r="M189" i="1"/>
  <c r="M185" i="1"/>
  <c r="M181" i="1"/>
  <c r="M177" i="1"/>
  <c r="M157" i="1"/>
  <c r="M153" i="1"/>
  <c r="M149" i="1"/>
  <c r="M201" i="1"/>
  <c r="M1413" i="1"/>
  <c r="M1365" i="1"/>
  <c r="M1345" i="1"/>
  <c r="M1333" i="1"/>
  <c r="M1325" i="1"/>
  <c r="M1301" i="1"/>
  <c r="M977" i="1"/>
  <c r="M849" i="1"/>
  <c r="M137" i="1"/>
  <c r="L394" i="1"/>
  <c r="L390" i="1"/>
  <c r="L386" i="1"/>
  <c r="L382" i="1"/>
  <c r="L378" i="1"/>
  <c r="L374" i="1"/>
  <c r="L370" i="1"/>
  <c r="L366" i="1"/>
  <c r="L362" i="1"/>
  <c r="L358" i="1"/>
  <c r="L354" i="1"/>
  <c r="L350" i="1"/>
  <c r="L346" i="1"/>
  <c r="L342" i="1"/>
  <c r="L338" i="1"/>
  <c r="L334" i="1"/>
  <c r="L330" i="1"/>
  <c r="L326" i="1"/>
  <c r="L322" i="1"/>
  <c r="L318" i="1"/>
  <c r="L314" i="1"/>
  <c r="L310" i="1"/>
  <c r="L306" i="1"/>
  <c r="L302" i="1"/>
  <c r="L298" i="1"/>
  <c r="L294" i="1"/>
  <c r="L290" i="1"/>
  <c r="L286" i="1"/>
  <c r="L282" i="1"/>
  <c r="L278" i="1"/>
  <c r="L274" i="1"/>
  <c r="L270" i="1"/>
  <c r="L266" i="1"/>
  <c r="L262" i="1"/>
  <c r="L258" i="1"/>
  <c r="L254" i="1"/>
  <c r="L250" i="1"/>
  <c r="L246" i="1"/>
  <c r="L242" i="1"/>
  <c r="L238" i="1"/>
  <c r="L234" i="1"/>
  <c r="L230" i="1"/>
  <c r="L226" i="1"/>
  <c r="L222" i="1"/>
  <c r="L218" i="1"/>
  <c r="L214" i="1"/>
  <c r="L210" i="1"/>
  <c r="L206" i="1"/>
  <c r="L202" i="1"/>
  <c r="L530" i="1"/>
  <c r="L526" i="1"/>
  <c r="L522" i="1"/>
  <c r="L518" i="1"/>
  <c r="L514" i="1"/>
  <c r="L510" i="1"/>
  <c r="L506" i="1"/>
  <c r="L502" i="1"/>
  <c r="L498" i="1"/>
  <c r="L494" i="1"/>
  <c r="L490" i="1"/>
  <c r="L486" i="1"/>
  <c r="L482" i="1"/>
  <c r="L478" i="1"/>
  <c r="L474" i="1"/>
  <c r="L470" i="1"/>
  <c r="L466" i="1"/>
  <c r="L462" i="1"/>
  <c r="L646" i="1"/>
  <c r="L642" i="1"/>
  <c r="L638" i="1"/>
  <c r="L634" i="1"/>
  <c r="L630" i="1"/>
  <c r="L626" i="1"/>
  <c r="L622" i="1"/>
  <c r="L618" i="1"/>
  <c r="L614" i="1"/>
  <c r="L610" i="1"/>
  <c r="L606" i="1"/>
  <c r="L602" i="1"/>
  <c r="L598" i="1"/>
  <c r="L594" i="1"/>
  <c r="L718" i="1"/>
  <c r="L714" i="1"/>
  <c r="L710" i="1"/>
  <c r="Z71" i="1" s="1" a="1"/>
  <c r="Z71" i="1" s="1"/>
  <c r="L706" i="1"/>
  <c r="L702" i="1"/>
  <c r="L698" i="1"/>
  <c r="L694" i="1"/>
  <c r="L690" i="1"/>
  <c r="L686" i="1"/>
  <c r="L682" i="1"/>
  <c r="L678" i="1"/>
  <c r="L674" i="1"/>
  <c r="L670" i="1"/>
  <c r="L666" i="1"/>
  <c r="L662" i="1"/>
  <c r="L658" i="1"/>
  <c r="L654" i="1"/>
  <c r="L982" i="1"/>
  <c r="L1030" i="1"/>
  <c r="L1026" i="1"/>
  <c r="L1022" i="1"/>
  <c r="L1018" i="1"/>
  <c r="L1014" i="1"/>
  <c r="L1010" i="1"/>
  <c r="L1006" i="1"/>
  <c r="L1002" i="1"/>
  <c r="L998" i="1"/>
  <c r="L994" i="1"/>
  <c r="L990" i="1"/>
  <c r="L986" i="1"/>
  <c r="L455" i="1"/>
  <c r="L451" i="1"/>
  <c r="L447" i="1"/>
  <c r="L443" i="1"/>
  <c r="L439" i="1"/>
  <c r="L435" i="1"/>
  <c r="L431" i="1"/>
  <c r="L427" i="1"/>
  <c r="L423" i="1"/>
  <c r="L419" i="1"/>
  <c r="L415" i="1"/>
  <c r="L411" i="1"/>
  <c r="L407" i="1"/>
  <c r="L403" i="1"/>
  <c r="L399" i="1"/>
  <c r="L587" i="1"/>
  <c r="L583" i="1"/>
  <c r="L579" i="1"/>
  <c r="L575" i="1"/>
  <c r="L571" i="1"/>
  <c r="L567" i="1"/>
  <c r="L563" i="1"/>
  <c r="L559" i="1"/>
  <c r="L555" i="1"/>
  <c r="L551" i="1"/>
  <c r="L547" i="1"/>
  <c r="L543" i="1"/>
  <c r="L539" i="1"/>
  <c r="L535" i="1"/>
  <c r="L847" i="1"/>
  <c r="L843" i="1"/>
  <c r="L839" i="1"/>
  <c r="L835" i="1"/>
  <c r="L831" i="1"/>
  <c r="L827" i="1"/>
  <c r="L823" i="1"/>
  <c r="L819" i="1"/>
  <c r="L815" i="1"/>
  <c r="L811" i="1"/>
  <c r="L807" i="1"/>
  <c r="L803" i="1"/>
  <c r="L799" i="1"/>
  <c r="L795" i="1"/>
  <c r="L791" i="1"/>
  <c r="L787" i="1"/>
  <c r="L783" i="1"/>
  <c r="L779" i="1"/>
  <c r="L775" i="1"/>
  <c r="L771" i="1"/>
  <c r="L767" i="1"/>
  <c r="L763" i="1"/>
  <c r="L759" i="1"/>
  <c r="L755" i="1"/>
  <c r="L751" i="1"/>
  <c r="L747" i="1"/>
  <c r="L743" i="1"/>
  <c r="L739" i="1"/>
  <c r="L735" i="1"/>
  <c r="L731" i="1"/>
  <c r="L727" i="1"/>
  <c r="L723" i="1"/>
  <c r="L851" i="1"/>
  <c r="L1486" i="1"/>
  <c r="L1482" i="1"/>
  <c r="L1478" i="1"/>
  <c r="Z91" i="1" s="1" a="1"/>
  <c r="Z91" i="1" s="1"/>
  <c r="L1470" i="1"/>
  <c r="L1466" i="1"/>
  <c r="L1462" i="1"/>
  <c r="L1458" i="1"/>
  <c r="L1454" i="1"/>
  <c r="L1450" i="1"/>
  <c r="L1446" i="1"/>
  <c r="L1442" i="1"/>
  <c r="L1438" i="1"/>
  <c r="L1434" i="1"/>
  <c r="L391" i="1"/>
  <c r="L387" i="1"/>
  <c r="L383" i="1"/>
  <c r="L379" i="1"/>
  <c r="L375" i="1"/>
  <c r="L371" i="1"/>
  <c r="L367" i="1"/>
  <c r="L363" i="1"/>
  <c r="L359" i="1"/>
  <c r="L355" i="1"/>
  <c r="L351" i="1"/>
  <c r="L347" i="1"/>
  <c r="L343" i="1"/>
  <c r="L339" i="1"/>
  <c r="L335" i="1"/>
  <c r="L331" i="1"/>
  <c r="L327" i="1"/>
  <c r="L323" i="1"/>
  <c r="L319" i="1"/>
  <c r="L315" i="1"/>
  <c r="L311" i="1"/>
  <c r="L307" i="1"/>
  <c r="L303" i="1"/>
  <c r="L299" i="1"/>
  <c r="L295" i="1"/>
  <c r="L291" i="1"/>
  <c r="L287" i="1"/>
  <c r="L283" i="1"/>
  <c r="L279" i="1"/>
  <c r="L275" i="1"/>
  <c r="L271" i="1"/>
  <c r="L267" i="1"/>
  <c r="L263" i="1"/>
  <c r="L259" i="1"/>
  <c r="L255" i="1"/>
  <c r="L251" i="1"/>
  <c r="L247" i="1"/>
  <c r="L243" i="1"/>
  <c r="L239" i="1"/>
  <c r="L235" i="1"/>
  <c r="L231" i="1"/>
  <c r="L227" i="1"/>
  <c r="L223" i="1"/>
  <c r="L219" i="1"/>
  <c r="L215" i="1"/>
  <c r="L211" i="1"/>
  <c r="L207" i="1"/>
  <c r="L203" i="1"/>
  <c r="L531" i="1"/>
  <c r="L527" i="1"/>
  <c r="L523" i="1"/>
  <c r="L519" i="1"/>
  <c r="L515" i="1"/>
  <c r="L511" i="1"/>
  <c r="L507" i="1"/>
  <c r="L503" i="1"/>
  <c r="L499" i="1"/>
  <c r="L495" i="1"/>
  <c r="AJ43" i="1" s="1" a="1"/>
  <c r="AJ43" i="1" s="1"/>
  <c r="L491" i="1"/>
  <c r="L487" i="1"/>
  <c r="L483" i="1"/>
  <c r="L479" i="1"/>
  <c r="L475" i="1"/>
  <c r="L471" i="1"/>
  <c r="L467" i="1"/>
  <c r="L463" i="1"/>
  <c r="L647" i="1"/>
  <c r="L639" i="1"/>
  <c r="L635" i="1"/>
  <c r="L631" i="1"/>
  <c r="Z39" i="1" s="1" a="1"/>
  <c r="Z39" i="1" s="1"/>
  <c r="L627" i="1"/>
  <c r="L623" i="1"/>
  <c r="L619" i="1"/>
  <c r="L615" i="1"/>
  <c r="L611" i="1"/>
  <c r="L607" i="1"/>
  <c r="L603" i="1"/>
  <c r="L599" i="1"/>
  <c r="L595" i="1"/>
  <c r="L719" i="1"/>
  <c r="L715" i="1"/>
  <c r="L711" i="1"/>
  <c r="Z76" i="1" s="1" a="1"/>
  <c r="Z76" i="1" s="1"/>
  <c r="L707" i="1"/>
  <c r="L703" i="1"/>
  <c r="L699" i="1"/>
  <c r="L695" i="1"/>
  <c r="L691" i="1"/>
  <c r="L687" i="1"/>
  <c r="L683" i="1"/>
  <c r="L679" i="1"/>
  <c r="L675" i="1"/>
  <c r="L671" i="1"/>
  <c r="L667" i="1"/>
  <c r="L663" i="1"/>
  <c r="L659" i="1"/>
  <c r="L655" i="1"/>
  <c r="L983" i="1"/>
  <c r="L1031" i="1"/>
  <c r="L1027" i="1"/>
  <c r="L1023" i="1"/>
  <c r="Z55" i="1" s="1" a="1"/>
  <c r="Z55" i="1" s="1"/>
  <c r="L1019" i="1"/>
  <c r="L1015" i="1"/>
  <c r="L1011" i="1"/>
  <c r="L1007" i="1"/>
  <c r="L1003" i="1"/>
  <c r="L999" i="1"/>
  <c r="L995" i="1"/>
  <c r="L991" i="1"/>
  <c r="L987" i="1"/>
  <c r="L392" i="1"/>
  <c r="L384" i="1"/>
  <c r="L376" i="1"/>
  <c r="L368" i="1"/>
  <c r="L360" i="1"/>
  <c r="L352" i="1"/>
  <c r="L344" i="1"/>
  <c r="L332" i="1"/>
  <c r="L324" i="1"/>
  <c r="L316" i="1"/>
  <c r="L308" i="1"/>
  <c r="L300" i="1"/>
  <c r="L292" i="1"/>
  <c r="L284" i="1"/>
  <c r="L276" i="1"/>
  <c r="L268" i="1"/>
  <c r="L260" i="1"/>
  <c r="L256" i="1"/>
  <c r="L248" i="1"/>
  <c r="L236" i="1"/>
  <c r="L228" i="1"/>
  <c r="L220" i="1"/>
  <c r="L212" i="1"/>
  <c r="L204" i="1"/>
  <c r="L528" i="1"/>
  <c r="L520" i="1"/>
  <c r="L512" i="1"/>
  <c r="L504" i="1"/>
  <c r="L496" i="1"/>
  <c r="L488" i="1"/>
  <c r="L480" i="1"/>
  <c r="L472" i="1"/>
  <c r="L464" i="1"/>
  <c r="L640" i="1"/>
  <c r="L632" i="1"/>
  <c r="L624" i="1"/>
  <c r="L616" i="1"/>
  <c r="L608" i="1"/>
  <c r="L600" i="1"/>
  <c r="L596" i="1"/>
  <c r="L716" i="1"/>
  <c r="L704" i="1"/>
  <c r="L696" i="1"/>
  <c r="L688" i="1"/>
  <c r="L680" i="1"/>
  <c r="L672" i="1"/>
  <c r="L664" i="1"/>
  <c r="L656" i="1"/>
  <c r="L1032" i="1"/>
  <c r="L1024" i="1"/>
  <c r="L1016" i="1"/>
  <c r="L1008" i="1"/>
  <c r="L1000" i="1"/>
  <c r="L992" i="1"/>
  <c r="L1432" i="1"/>
  <c r="L1480" i="1"/>
  <c r="L1472" i="1"/>
  <c r="L1464" i="1"/>
  <c r="Z94" i="1" s="1" a="1"/>
  <c r="Z94" i="1" s="1"/>
  <c r="L1456" i="1"/>
  <c r="L1448" i="1"/>
  <c r="L1440" i="1"/>
  <c r="L456" i="1"/>
  <c r="L448" i="1"/>
  <c r="L440" i="1"/>
  <c r="L432" i="1"/>
  <c r="L424" i="1"/>
  <c r="L416" i="1"/>
  <c r="L408" i="1"/>
  <c r="L584" i="1"/>
  <c r="L560" i="1"/>
  <c r="L388" i="1"/>
  <c r="L380" i="1"/>
  <c r="L372" i="1"/>
  <c r="L364" i="1"/>
  <c r="L356" i="1"/>
  <c r="L348" i="1"/>
  <c r="L340" i="1"/>
  <c r="L336" i="1"/>
  <c r="L328" i="1"/>
  <c r="L320" i="1"/>
  <c r="L312" i="1"/>
  <c r="L304" i="1"/>
  <c r="L296" i="1"/>
  <c r="L288" i="1"/>
  <c r="L280" i="1"/>
  <c r="L272" i="1"/>
  <c r="L264" i="1"/>
  <c r="L252" i="1"/>
  <c r="L244" i="1"/>
  <c r="L240" i="1"/>
  <c r="L232" i="1"/>
  <c r="L224" i="1"/>
  <c r="L216" i="1"/>
  <c r="L208" i="1"/>
  <c r="L524" i="1"/>
  <c r="L516" i="1"/>
  <c r="L508" i="1"/>
  <c r="L500" i="1"/>
  <c r="L492" i="1"/>
  <c r="L484" i="1"/>
  <c r="L476" i="1"/>
  <c r="L468" i="1"/>
  <c r="L648" i="1"/>
  <c r="L644" i="1"/>
  <c r="L636" i="1"/>
  <c r="L628" i="1"/>
  <c r="L620" i="1"/>
  <c r="L612" i="1"/>
  <c r="L604" i="1"/>
  <c r="L720" i="1"/>
  <c r="L712" i="1"/>
  <c r="L708" i="1"/>
  <c r="L700" i="1"/>
  <c r="L692" i="1"/>
  <c r="L684" i="1"/>
  <c r="L676" i="1"/>
  <c r="L668" i="1"/>
  <c r="L660" i="1"/>
  <c r="L1028" i="1"/>
  <c r="L1020" i="1"/>
  <c r="L1012" i="1"/>
  <c r="L1004" i="1"/>
  <c r="L996" i="1"/>
  <c r="L988" i="1"/>
  <c r="L984" i="1"/>
  <c r="L1484" i="1"/>
  <c r="Z47" i="1" s="1" a="1"/>
  <c r="Z47" i="1" s="1"/>
  <c r="L1476" i="1"/>
  <c r="L1468" i="1"/>
  <c r="L1460" i="1"/>
  <c r="L1452" i="1"/>
  <c r="L1444" i="1"/>
  <c r="Z6" i="1" s="1" a="1"/>
  <c r="Z6" i="1" s="1"/>
  <c r="L1436" i="1"/>
  <c r="L452" i="1"/>
  <c r="L444" i="1"/>
  <c r="AJ42" i="1" s="1" a="1"/>
  <c r="AJ42" i="1" s="1"/>
  <c r="L436" i="1"/>
  <c r="L428" i="1"/>
  <c r="L420" i="1"/>
  <c r="L412" i="1"/>
  <c r="L404" i="1"/>
  <c r="L400" i="1"/>
  <c r="L588" i="1"/>
  <c r="L580" i="1"/>
  <c r="L576" i="1"/>
  <c r="L572" i="1"/>
  <c r="L568" i="1"/>
  <c r="L564" i="1"/>
  <c r="L556" i="1"/>
  <c r="L552" i="1"/>
  <c r="L548" i="1"/>
  <c r="L544" i="1"/>
  <c r="L540" i="1"/>
  <c r="L536" i="1"/>
  <c r="L848" i="1"/>
  <c r="L844" i="1"/>
  <c r="L840" i="1"/>
  <c r="L836" i="1"/>
  <c r="L832" i="1"/>
  <c r="L828" i="1"/>
  <c r="L824" i="1"/>
  <c r="L820" i="1"/>
  <c r="L816" i="1"/>
  <c r="L812" i="1"/>
  <c r="L808" i="1"/>
  <c r="L804" i="1"/>
  <c r="L800" i="1"/>
  <c r="L796" i="1"/>
  <c r="L792" i="1"/>
  <c r="L788" i="1"/>
  <c r="L784" i="1"/>
  <c r="L780" i="1"/>
  <c r="L776" i="1"/>
  <c r="Z106" i="1" s="1" a="1"/>
  <c r="Z106" i="1" s="1"/>
  <c r="L772" i="1"/>
  <c r="L768" i="1"/>
  <c r="L764" i="1"/>
  <c r="L760" i="1"/>
  <c r="L756" i="1"/>
  <c r="L752" i="1"/>
  <c r="L748" i="1"/>
  <c r="L744" i="1"/>
  <c r="L740" i="1"/>
  <c r="L736" i="1"/>
  <c r="L732" i="1"/>
  <c r="L728" i="1"/>
  <c r="L724" i="1"/>
  <c r="L852" i="1"/>
  <c r="L1040" i="1"/>
  <c r="L1036" i="1"/>
  <c r="L1160" i="1"/>
  <c r="L1156" i="1"/>
  <c r="L1152" i="1"/>
  <c r="L1148" i="1"/>
  <c r="L1144" i="1"/>
  <c r="L1140" i="1"/>
  <c r="L1136" i="1"/>
  <c r="L1132" i="1"/>
  <c r="L1128" i="1"/>
  <c r="L1124" i="1"/>
  <c r="L1120" i="1"/>
  <c r="L1116" i="1"/>
  <c r="L1112" i="1"/>
  <c r="L1108" i="1"/>
  <c r="L1104" i="1"/>
  <c r="L1100" i="1"/>
  <c r="L1096" i="1"/>
  <c r="L1092" i="1"/>
  <c r="L1088" i="1"/>
  <c r="L1084" i="1"/>
  <c r="AJ46" i="1" s="1" a="1"/>
  <c r="AJ46" i="1" s="1"/>
  <c r="L1080" i="1"/>
  <c r="L1076" i="1"/>
  <c r="L1072" i="1"/>
  <c r="L1068" i="1"/>
  <c r="L1064" i="1"/>
  <c r="L1060" i="1"/>
  <c r="L1056" i="1"/>
  <c r="L1052" i="1"/>
  <c r="L1048" i="1"/>
  <c r="L1044" i="1"/>
  <c r="L1488" i="1"/>
  <c r="L1483" i="1"/>
  <c r="L1479" i="1"/>
  <c r="L1475" i="1"/>
  <c r="L1471" i="1"/>
  <c r="L1467" i="1"/>
  <c r="L1463" i="1"/>
  <c r="L1459" i="1"/>
  <c r="L1455" i="1"/>
  <c r="L1451" i="1"/>
  <c r="L1447" i="1"/>
  <c r="L1443" i="1"/>
  <c r="L1439" i="1"/>
  <c r="Z57" i="1" s="1" a="1"/>
  <c r="Z57" i="1" s="1"/>
  <c r="L1435" i="1"/>
  <c r="L72" i="1"/>
  <c r="L144" i="1"/>
  <c r="L140" i="1"/>
  <c r="L976" i="1"/>
  <c r="L972" i="1"/>
  <c r="L968" i="1"/>
  <c r="L964" i="1"/>
  <c r="L960" i="1"/>
  <c r="L956" i="1"/>
  <c r="L952" i="1"/>
  <c r="L948" i="1"/>
  <c r="Z89" i="1" s="1" a="1"/>
  <c r="Z89" i="1" s="1"/>
  <c r="L944" i="1"/>
  <c r="L940" i="1"/>
  <c r="L936" i="1"/>
  <c r="L932" i="1"/>
  <c r="L928" i="1"/>
  <c r="L924" i="1"/>
  <c r="L920" i="1"/>
  <c r="L916" i="1"/>
  <c r="L912" i="1"/>
  <c r="L908" i="1"/>
  <c r="L904" i="1"/>
  <c r="L900" i="1"/>
  <c r="L896" i="1"/>
  <c r="L892" i="1"/>
  <c r="L888" i="1"/>
  <c r="L884" i="1"/>
  <c r="L880" i="1"/>
  <c r="L876" i="1"/>
  <c r="L872" i="1"/>
  <c r="L868" i="1"/>
  <c r="L864" i="1"/>
  <c r="L860" i="1"/>
  <c r="L856" i="1"/>
  <c r="L1039" i="1"/>
  <c r="L1035" i="1"/>
  <c r="L1300" i="1"/>
  <c r="L1296" i="1"/>
  <c r="L1292" i="1"/>
  <c r="L1288" i="1"/>
  <c r="L1284" i="1"/>
  <c r="Z8" i="1" s="1" a="1"/>
  <c r="Z8" i="1" s="1"/>
  <c r="L1280" i="1"/>
  <c r="L1276" i="1"/>
  <c r="L1272" i="1"/>
  <c r="L1268" i="1"/>
  <c r="L1264" i="1"/>
  <c r="L1260" i="1"/>
  <c r="L1256" i="1"/>
  <c r="L1252" i="1"/>
  <c r="L1244" i="1"/>
  <c r="L1240" i="1"/>
  <c r="L1236" i="1"/>
  <c r="L1232" i="1"/>
  <c r="L1228" i="1"/>
  <c r="L1224" i="1"/>
  <c r="L1220" i="1"/>
  <c r="L1216" i="1"/>
  <c r="L1212" i="1"/>
  <c r="Z2" i="1" s="1" a="1"/>
  <c r="Z2" i="1" s="1"/>
  <c r="L1208" i="1"/>
  <c r="L1204" i="1"/>
  <c r="L1200" i="1"/>
  <c r="L1196" i="1"/>
  <c r="L1192" i="1"/>
  <c r="L1188" i="1"/>
  <c r="L1184" i="1"/>
  <c r="L1180" i="1"/>
  <c r="L1176" i="1"/>
  <c r="L1172" i="1"/>
  <c r="L1168" i="1"/>
  <c r="L1163" i="1"/>
  <c r="L1155" i="1"/>
  <c r="L1151" i="1"/>
  <c r="L1147" i="1"/>
  <c r="L1143" i="1"/>
  <c r="L1139" i="1"/>
  <c r="L1135" i="1"/>
  <c r="L1131" i="1"/>
  <c r="L1127" i="1"/>
  <c r="L1123" i="1"/>
  <c r="L1119" i="1"/>
  <c r="L1115" i="1"/>
  <c r="L1111" i="1"/>
  <c r="L1107" i="1"/>
  <c r="L1103" i="1"/>
  <c r="L1099" i="1"/>
  <c r="Z100" i="1" s="1" a="1"/>
  <c r="Z100" i="1" s="1"/>
  <c r="L1095" i="1"/>
  <c r="L1091" i="1"/>
  <c r="L1087" i="1"/>
  <c r="L1083" i="1"/>
  <c r="L1079" i="1"/>
  <c r="L1075" i="1"/>
  <c r="L1071" i="1"/>
  <c r="L1067" i="1"/>
  <c r="L1063" i="1"/>
  <c r="L1059" i="1"/>
  <c r="L1055" i="1"/>
  <c r="L1051" i="1"/>
  <c r="L1047" i="1"/>
  <c r="L1043" i="1"/>
  <c r="L1492" i="1"/>
  <c r="L1552" i="1"/>
  <c r="L1548" i="1"/>
  <c r="L1544" i="1"/>
  <c r="L1540" i="1"/>
  <c r="L1536" i="1"/>
  <c r="L1532" i="1"/>
  <c r="L1528" i="1"/>
  <c r="L1524" i="1"/>
  <c r="L1520" i="1"/>
  <c r="L1516" i="1"/>
  <c r="L1512" i="1"/>
  <c r="L1508" i="1"/>
  <c r="L1504" i="1"/>
  <c r="L1500" i="1"/>
  <c r="L1496" i="1"/>
  <c r="P1493" i="1"/>
  <c r="L1493" i="1"/>
  <c r="L385" i="1"/>
  <c r="L373" i="1"/>
  <c r="L365" i="1"/>
  <c r="L353" i="1"/>
  <c r="L337" i="1"/>
  <c r="L325" i="1"/>
  <c r="L317" i="1"/>
  <c r="L301" i="1"/>
  <c r="L285" i="1"/>
  <c r="L273" i="1"/>
  <c r="Z34" i="1" s="1" a="1"/>
  <c r="Z34" i="1" s="1"/>
  <c r="L261" i="1"/>
  <c r="L249" i="1"/>
  <c r="L233" i="1"/>
  <c r="L221" i="1"/>
  <c r="L205" i="1"/>
  <c r="L525" i="1"/>
  <c r="L513" i="1"/>
  <c r="L505" i="1"/>
  <c r="L493" i="1"/>
  <c r="L477" i="1"/>
  <c r="L465" i="1"/>
  <c r="L645" i="1"/>
  <c r="L629" i="1"/>
  <c r="L617" i="1"/>
  <c r="L609" i="1"/>
  <c r="L601" i="1"/>
  <c r="L717" i="1"/>
  <c r="L705" i="1"/>
  <c r="L693" i="1"/>
  <c r="L689" i="1"/>
  <c r="L677" i="1"/>
  <c r="L665" i="1"/>
  <c r="L657" i="1"/>
  <c r="L981" i="1"/>
  <c r="L1029" i="1"/>
  <c r="L1013" i="1"/>
  <c r="L1001" i="1"/>
  <c r="L993" i="1"/>
  <c r="L985" i="1"/>
  <c r="L1477" i="1"/>
  <c r="L1465" i="1"/>
  <c r="L1453" i="1"/>
  <c r="L1445" i="1"/>
  <c r="P1164" i="1"/>
  <c r="L1164" i="1"/>
  <c r="P460" i="1"/>
  <c r="L460" i="1"/>
  <c r="P721" i="1"/>
  <c r="L721" i="1"/>
  <c r="P649" i="1"/>
  <c r="L649" i="1"/>
  <c r="L393" i="1"/>
  <c r="L381" i="1"/>
  <c r="L369" i="1"/>
  <c r="L357" i="1"/>
  <c r="L345" i="1"/>
  <c r="L341" i="1"/>
  <c r="L329" i="1"/>
  <c r="L313" i="1"/>
  <c r="L305" i="1"/>
  <c r="L293" i="1"/>
  <c r="L277" i="1"/>
  <c r="L265" i="1"/>
  <c r="L257" i="1"/>
  <c r="L245" i="1"/>
  <c r="L237" i="1"/>
  <c r="L225" i="1"/>
  <c r="L213" i="1"/>
  <c r="L521" i="1"/>
  <c r="AJ45" i="1" s="1" a="1"/>
  <c r="AJ45" i="1" s="1"/>
  <c r="L501" i="1"/>
  <c r="L489" i="1"/>
  <c r="L481" i="1"/>
  <c r="L473" i="1"/>
  <c r="L641" i="1"/>
  <c r="L637" i="1"/>
  <c r="L625" i="1"/>
  <c r="L613" i="1"/>
  <c r="L713" i="1"/>
  <c r="L701" i="1"/>
  <c r="L681" i="1"/>
  <c r="L669" i="1"/>
  <c r="L1033" i="1"/>
  <c r="L1021" i="1"/>
  <c r="L1009" i="1"/>
  <c r="L997" i="1"/>
  <c r="L1481" i="1"/>
  <c r="L1469" i="1"/>
  <c r="L1457" i="1"/>
  <c r="L1441" i="1"/>
  <c r="L457" i="1"/>
  <c r="L453" i="1"/>
  <c r="L449" i="1"/>
  <c r="Z83" i="1" s="1" a="1"/>
  <c r="Z83" i="1" s="1"/>
  <c r="L445" i="1"/>
  <c r="L441" i="1"/>
  <c r="AJ56" i="1" s="1" a="1"/>
  <c r="AJ56" i="1" s="1"/>
  <c r="L437" i="1"/>
  <c r="L433" i="1"/>
  <c r="L429" i="1"/>
  <c r="L425" i="1"/>
  <c r="L421" i="1"/>
  <c r="L417" i="1"/>
  <c r="L413" i="1"/>
  <c r="L409" i="1"/>
  <c r="L405" i="1"/>
  <c r="L401" i="1"/>
  <c r="L397" i="1"/>
  <c r="L589" i="1"/>
  <c r="L585" i="1"/>
  <c r="L581" i="1"/>
  <c r="L577" i="1"/>
  <c r="L573" i="1"/>
  <c r="L569" i="1"/>
  <c r="L565" i="1"/>
  <c r="L561" i="1"/>
  <c r="L557" i="1"/>
  <c r="L553" i="1"/>
  <c r="L549" i="1"/>
  <c r="L545" i="1"/>
  <c r="L541" i="1"/>
  <c r="L537" i="1"/>
  <c r="L533" i="1"/>
  <c r="L845" i="1"/>
  <c r="L841" i="1"/>
  <c r="L837" i="1"/>
  <c r="L833" i="1"/>
  <c r="L829" i="1"/>
  <c r="L825" i="1"/>
  <c r="L821" i="1"/>
  <c r="L817" i="1"/>
  <c r="L813" i="1"/>
  <c r="L809" i="1"/>
  <c r="L805" i="1"/>
  <c r="L801" i="1"/>
  <c r="L797" i="1"/>
  <c r="L793" i="1"/>
  <c r="L789" i="1"/>
  <c r="L785" i="1"/>
  <c r="L781" i="1"/>
  <c r="L777" i="1"/>
  <c r="L773" i="1"/>
  <c r="L769" i="1"/>
  <c r="L765" i="1"/>
  <c r="L761" i="1"/>
  <c r="L757" i="1"/>
  <c r="L753" i="1"/>
  <c r="L749" i="1"/>
  <c r="L745" i="1"/>
  <c r="L741" i="1"/>
  <c r="L737" i="1"/>
  <c r="L733" i="1"/>
  <c r="L729" i="1"/>
  <c r="L725" i="1"/>
  <c r="L853" i="1"/>
  <c r="L1041" i="1"/>
  <c r="L1037" i="1"/>
  <c r="L1161" i="1"/>
  <c r="L1157" i="1"/>
  <c r="L1153" i="1"/>
  <c r="L1149" i="1"/>
  <c r="L1145" i="1"/>
  <c r="L1141" i="1"/>
  <c r="L1137" i="1"/>
  <c r="L1133" i="1"/>
  <c r="L1129" i="1"/>
  <c r="AJ57" i="1" s="1" a="1"/>
  <c r="AJ57" i="1" s="1"/>
  <c r="L1125" i="1"/>
  <c r="L1121" i="1"/>
  <c r="L1117" i="1"/>
  <c r="L1113" i="1"/>
  <c r="L1109" i="1"/>
  <c r="L1105" i="1"/>
  <c r="L1101" i="1"/>
  <c r="L1097" i="1"/>
  <c r="L1093" i="1"/>
  <c r="L1089" i="1"/>
  <c r="L1085" i="1"/>
  <c r="L1081" i="1"/>
  <c r="L1077" i="1"/>
  <c r="L1073" i="1"/>
  <c r="L1069" i="1"/>
  <c r="L1065" i="1"/>
  <c r="L1061" i="1"/>
  <c r="L1057" i="1"/>
  <c r="L1053" i="1"/>
  <c r="L1049" i="1"/>
  <c r="L1045" i="1"/>
  <c r="P1487" i="1"/>
  <c r="L1487" i="1"/>
  <c r="P459" i="1"/>
  <c r="L459" i="1"/>
  <c r="L389" i="1"/>
  <c r="L377" i="1"/>
  <c r="L361" i="1"/>
  <c r="L349" i="1"/>
  <c r="L333" i="1"/>
  <c r="L321" i="1"/>
  <c r="AJ38" i="1" s="1" a="1"/>
  <c r="AJ38" i="1" s="1"/>
  <c r="L309" i="1"/>
  <c r="L297" i="1"/>
  <c r="L289" i="1"/>
  <c r="L281" i="1"/>
  <c r="L269" i="1"/>
  <c r="L253" i="1"/>
  <c r="L241" i="1"/>
  <c r="L229" i="1"/>
  <c r="L217" i="1"/>
  <c r="L209" i="1"/>
  <c r="L529" i="1"/>
  <c r="L517" i="1"/>
  <c r="L509" i="1"/>
  <c r="L497" i="1"/>
  <c r="L485" i="1"/>
  <c r="L469" i="1"/>
  <c r="L593" i="1"/>
  <c r="L633" i="1"/>
  <c r="L621" i="1"/>
  <c r="L605" i="1"/>
  <c r="L597" i="1"/>
  <c r="L709" i="1"/>
  <c r="L697" i="1"/>
  <c r="L685" i="1"/>
  <c r="L673" i="1"/>
  <c r="L661" i="1"/>
  <c r="L653" i="1"/>
  <c r="L1025" i="1"/>
  <c r="L1017" i="1"/>
  <c r="L1005" i="1"/>
  <c r="L989" i="1"/>
  <c r="L1485" i="1"/>
  <c r="L1473" i="1"/>
  <c r="L1461" i="1"/>
  <c r="L1449" i="1"/>
  <c r="L1437" i="1"/>
  <c r="L1433" i="1"/>
  <c r="L69" i="1"/>
  <c r="L145" i="1"/>
  <c r="L141" i="1"/>
  <c r="L197" i="1"/>
  <c r="L973" i="1"/>
  <c r="L969" i="1"/>
  <c r="L965" i="1"/>
  <c r="L961" i="1"/>
  <c r="L957" i="1"/>
  <c r="L953" i="1"/>
  <c r="L949" i="1"/>
  <c r="L945" i="1"/>
  <c r="L941" i="1"/>
  <c r="L937" i="1"/>
  <c r="L933" i="1"/>
  <c r="L929" i="1"/>
  <c r="L925" i="1"/>
  <c r="L921" i="1"/>
  <c r="L917" i="1"/>
  <c r="L913" i="1"/>
  <c r="L909" i="1"/>
  <c r="L901" i="1"/>
  <c r="AJ50" i="1" s="1" a="1"/>
  <c r="AJ50" i="1" s="1"/>
  <c r="L897" i="1"/>
  <c r="L893" i="1"/>
  <c r="L889" i="1"/>
  <c r="AJ48" i="1" s="1" a="1"/>
  <c r="AJ48" i="1" s="1"/>
  <c r="L885" i="1"/>
  <c r="L881" i="1"/>
  <c r="L877" i="1"/>
  <c r="L873" i="1"/>
  <c r="L869" i="1"/>
  <c r="L865" i="1"/>
  <c r="L861" i="1"/>
  <c r="L857" i="1"/>
  <c r="L1297" i="1"/>
  <c r="L1293" i="1"/>
  <c r="L1289" i="1"/>
  <c r="L1285" i="1"/>
  <c r="L1281" i="1"/>
  <c r="L1277" i="1"/>
  <c r="L1273" i="1"/>
  <c r="L1269" i="1"/>
  <c r="L1265" i="1"/>
  <c r="L1261" i="1"/>
  <c r="L1257" i="1"/>
  <c r="L1253" i="1"/>
  <c r="AJ33" i="1" s="1" a="1"/>
  <c r="AJ33" i="1" s="1"/>
  <c r="L1249" i="1"/>
  <c r="L1245" i="1"/>
  <c r="L1241" i="1"/>
  <c r="L1237" i="1"/>
  <c r="L1233" i="1"/>
  <c r="L1229" i="1"/>
  <c r="L1225" i="1"/>
  <c r="L1221" i="1"/>
  <c r="L1217" i="1"/>
  <c r="L1213" i="1"/>
  <c r="L1209" i="1"/>
  <c r="L1205" i="1"/>
  <c r="L1201" i="1"/>
  <c r="AJ58" i="1" s="1" a="1"/>
  <c r="AJ58" i="1" s="1"/>
  <c r="L1197" i="1"/>
  <c r="L1193" i="1"/>
  <c r="L1189" i="1"/>
  <c r="L1185" i="1"/>
  <c r="L1181" i="1"/>
  <c r="L1177" i="1"/>
  <c r="L1173" i="1"/>
  <c r="L1169" i="1"/>
  <c r="L1165" i="1"/>
  <c r="L1553" i="1"/>
  <c r="L1549" i="1"/>
  <c r="L1545" i="1"/>
  <c r="L1541" i="1"/>
  <c r="L1537" i="1"/>
  <c r="L1533" i="1"/>
  <c r="L1529" i="1"/>
  <c r="L1525" i="1"/>
  <c r="L1521" i="1"/>
  <c r="L1517" i="1"/>
  <c r="L1513" i="1"/>
  <c r="L1509" i="1"/>
  <c r="L1505" i="1"/>
  <c r="L1501" i="1"/>
  <c r="L1497" i="1"/>
  <c r="P1490" i="1"/>
  <c r="L1490" i="1"/>
  <c r="P1034" i="1"/>
  <c r="L1034" i="1"/>
  <c r="P650" i="1"/>
  <c r="L650" i="1"/>
  <c r="P590" i="1"/>
  <c r="L590" i="1"/>
  <c r="P70" i="1"/>
  <c r="L70" i="1"/>
  <c r="P1452" i="1"/>
  <c r="P1424" i="1"/>
  <c r="P600" i="1"/>
  <c r="P592" i="1"/>
  <c r="P332" i="1"/>
  <c r="P196" i="1"/>
  <c r="P132" i="1"/>
  <c r="P88" i="1"/>
  <c r="P64" i="1"/>
  <c r="P1416" i="1"/>
  <c r="P1364" i="1"/>
  <c r="P1084" i="1"/>
  <c r="P1048" i="1"/>
  <c r="P820" i="1"/>
  <c r="P532" i="1"/>
  <c r="P528" i="1"/>
  <c r="P1435" i="1"/>
  <c r="P1431" i="1"/>
  <c r="P1259" i="1"/>
  <c r="P1231" i="1"/>
  <c r="P1227" i="1"/>
  <c r="P1219" i="1"/>
  <c r="P1159" i="1"/>
  <c r="P971" i="1"/>
  <c r="P959" i="1"/>
  <c r="P651" i="1"/>
  <c r="P643" i="1"/>
  <c r="P455" i="1"/>
  <c r="P395" i="1"/>
  <c r="P391" i="1"/>
  <c r="P239" i="1"/>
  <c r="P131" i="1"/>
  <c r="P71" i="1"/>
  <c r="P1248" i="1"/>
  <c r="P1502" i="1"/>
  <c r="P1474" i="1"/>
  <c r="P1362" i="1"/>
  <c r="P1266" i="1"/>
  <c r="P1262" i="1"/>
  <c r="P1158" i="1"/>
  <c r="P1038" i="1"/>
  <c r="P1018" i="1"/>
  <c r="P986" i="1"/>
  <c r="P902" i="1"/>
  <c r="P786" i="1"/>
  <c r="P662" i="1"/>
  <c r="P478" i="1"/>
  <c r="P458" i="1"/>
  <c r="P438" i="1"/>
  <c r="P394" i="1"/>
  <c r="P354" i="1"/>
  <c r="P326" i="1"/>
  <c r="P146" i="1"/>
  <c r="P130" i="1"/>
  <c r="P126" i="1"/>
  <c r="P1532" i="1"/>
  <c r="P1489" i="1"/>
  <c r="P1485" i="1"/>
  <c r="P1421" i="1"/>
  <c r="P1413" i="1"/>
  <c r="P1389" i="1"/>
  <c r="P1369" i="1"/>
  <c r="P1361" i="1"/>
  <c r="P1325" i="1"/>
  <c r="P1313" i="1"/>
  <c r="P1301" i="1"/>
  <c r="P1261" i="1"/>
  <c r="P1257" i="1"/>
  <c r="P977" i="1"/>
  <c r="P941" i="1"/>
  <c r="P937" i="1"/>
  <c r="P917" i="1"/>
  <c r="P905" i="1"/>
  <c r="P849" i="1"/>
  <c r="P697" i="1"/>
  <c r="P665" i="1"/>
  <c r="P589" i="1"/>
  <c r="P525" i="1"/>
  <c r="P477" i="1"/>
  <c r="P321" i="1"/>
  <c r="P137" i="1"/>
  <c r="P61" i="1"/>
  <c r="R1360" i="1"/>
  <c r="R64" i="1"/>
  <c r="R60" i="1"/>
  <c r="R48" i="1"/>
  <c r="R36" i="1"/>
  <c r="R24" i="1"/>
  <c r="R12" i="1"/>
  <c r="R136" i="1"/>
  <c r="R120" i="1"/>
  <c r="R104" i="1"/>
  <c r="R84" i="1"/>
  <c r="R138" i="1"/>
  <c r="R188" i="1"/>
  <c r="R164" i="1"/>
  <c r="R200" i="1"/>
  <c r="R385" i="1"/>
  <c r="R369" i="1"/>
  <c r="R357" i="1"/>
  <c r="R345" i="1"/>
  <c r="R333" i="1"/>
  <c r="R321" i="1"/>
  <c r="R301" i="1"/>
  <c r="R285" i="1"/>
  <c r="R273" i="1"/>
  <c r="R269" i="1"/>
  <c r="R257" i="1"/>
  <c r="R241" i="1"/>
  <c r="R229" i="1"/>
  <c r="R221" i="1"/>
  <c r="R209" i="1"/>
  <c r="R396" i="1"/>
  <c r="R450" i="1"/>
  <c r="R434" i="1"/>
  <c r="R418" i="1"/>
  <c r="R402" i="1"/>
  <c r="R578" i="1"/>
  <c r="R566" i="1"/>
  <c r="R558" i="1"/>
  <c r="R550" i="1"/>
  <c r="R538" i="1"/>
  <c r="R529" i="1"/>
  <c r="R521" i="1"/>
  <c r="R501" i="1"/>
  <c r="R481" i="1"/>
  <c r="R645" i="1"/>
  <c r="R633" i="1"/>
  <c r="R621" i="1"/>
  <c r="R601" i="1"/>
  <c r="R834" i="1"/>
  <c r="R818" i="1"/>
  <c r="R810" i="1"/>
  <c r="R794" i="1"/>
  <c r="R782" i="1"/>
  <c r="R770" i="1"/>
  <c r="R754" i="1"/>
  <c r="R742" i="1"/>
  <c r="R726" i="1"/>
  <c r="R709" i="1"/>
  <c r="R697" i="1"/>
  <c r="R677" i="1"/>
  <c r="R665" i="1"/>
  <c r="R653" i="1"/>
  <c r="R971" i="1"/>
  <c r="R955" i="1"/>
  <c r="R935" i="1"/>
  <c r="R887" i="1"/>
  <c r="R1291" i="1"/>
  <c r="R1352" i="1"/>
  <c r="R56" i="1"/>
  <c r="R44" i="1"/>
  <c r="R28" i="1"/>
  <c r="R16" i="1"/>
  <c r="R8" i="1"/>
  <c r="R128" i="1"/>
  <c r="R116" i="1"/>
  <c r="R108" i="1"/>
  <c r="R96" i="1"/>
  <c r="R88" i="1"/>
  <c r="R76" i="1"/>
  <c r="R139" i="1"/>
  <c r="R184" i="1"/>
  <c r="R176" i="1"/>
  <c r="R168" i="1"/>
  <c r="R160" i="1"/>
  <c r="R152" i="1"/>
  <c r="R393" i="1"/>
  <c r="R381" i="1"/>
  <c r="R373" i="1"/>
  <c r="R365" i="1"/>
  <c r="R353" i="1"/>
  <c r="R337" i="1"/>
  <c r="R325" i="1"/>
  <c r="R313" i="1"/>
  <c r="R305" i="1"/>
  <c r="R289" i="1"/>
  <c r="R277" i="1"/>
  <c r="R261" i="1"/>
  <c r="R253" i="1"/>
  <c r="R245" i="1"/>
  <c r="R237" i="1"/>
  <c r="R225" i="1"/>
  <c r="R213" i="1"/>
  <c r="R454" i="1"/>
  <c r="R446" i="1"/>
  <c r="R438" i="1"/>
  <c r="R426" i="1"/>
  <c r="R414" i="1"/>
  <c r="R410" i="1"/>
  <c r="R398" i="1"/>
  <c r="R586" i="1"/>
  <c r="R574" i="1"/>
  <c r="R554" i="1"/>
  <c r="R542" i="1"/>
  <c r="R525" i="1"/>
  <c r="R517" i="1"/>
  <c r="R509" i="1"/>
  <c r="R497" i="1"/>
  <c r="R489" i="1"/>
  <c r="R477" i="1"/>
  <c r="R469" i="1"/>
  <c r="R593" i="1"/>
  <c r="R637" i="1"/>
  <c r="R625" i="1"/>
  <c r="R613" i="1"/>
  <c r="R605" i="1"/>
  <c r="R652" i="1"/>
  <c r="R842" i="1"/>
  <c r="R830" i="1"/>
  <c r="R826" i="1"/>
  <c r="R814" i="1"/>
  <c r="R802" i="1"/>
  <c r="R786" i="1"/>
  <c r="R774" i="1"/>
  <c r="R762" i="1"/>
  <c r="R750" i="1"/>
  <c r="R738" i="1"/>
  <c r="R730" i="1"/>
  <c r="R717" i="1"/>
  <c r="R701" i="1"/>
  <c r="R689" i="1"/>
  <c r="R685" i="1"/>
  <c r="R673" i="1"/>
  <c r="R661" i="1"/>
  <c r="R980" i="1"/>
  <c r="R967" i="1"/>
  <c r="R959" i="1"/>
  <c r="R951" i="1"/>
  <c r="R939" i="1"/>
  <c r="R927" i="1"/>
  <c r="R919" i="1"/>
  <c r="R911" i="1"/>
  <c r="R903" i="1"/>
  <c r="R895" i="1"/>
  <c r="R883" i="1"/>
  <c r="R875" i="1"/>
  <c r="R871" i="1"/>
  <c r="R859" i="1"/>
  <c r="R981" i="1"/>
  <c r="R1033" i="1"/>
  <c r="R1025" i="1"/>
  <c r="R1017" i="1"/>
  <c r="R1009" i="1"/>
  <c r="R1001" i="1"/>
  <c r="R993" i="1"/>
  <c r="R985" i="1"/>
  <c r="R1295" i="1"/>
  <c r="R1283" i="1"/>
  <c r="R1275" i="1"/>
  <c r="R1267" i="1"/>
  <c r="R1259" i="1"/>
  <c r="R1251" i="1"/>
  <c r="R1243" i="1"/>
  <c r="R1235" i="1"/>
  <c r="R1227" i="1"/>
  <c r="R1219" i="1"/>
  <c r="R1207" i="1"/>
  <c r="R1183" i="1"/>
  <c r="R1368" i="1"/>
  <c r="R68" i="1"/>
  <c r="R52" i="1"/>
  <c r="R40" i="1"/>
  <c r="R32" i="1"/>
  <c r="R20" i="1"/>
  <c r="R4" i="1"/>
  <c r="R132" i="1"/>
  <c r="R124" i="1"/>
  <c r="R112" i="1"/>
  <c r="R100" i="1"/>
  <c r="R92" i="1"/>
  <c r="R80" i="1"/>
  <c r="R143" i="1"/>
  <c r="R192" i="1"/>
  <c r="R180" i="1"/>
  <c r="R172" i="1"/>
  <c r="R156" i="1"/>
  <c r="R148" i="1"/>
  <c r="R389" i="1"/>
  <c r="R377" i="1"/>
  <c r="R361" i="1"/>
  <c r="R349" i="1"/>
  <c r="R341" i="1"/>
  <c r="R329" i="1"/>
  <c r="R317" i="1"/>
  <c r="R309" i="1"/>
  <c r="R297" i="1"/>
  <c r="R293" i="1"/>
  <c r="R281" i="1"/>
  <c r="R265" i="1"/>
  <c r="R249" i="1"/>
  <c r="R233" i="1"/>
  <c r="R217" i="1"/>
  <c r="R205" i="1"/>
  <c r="R442" i="1"/>
  <c r="R430" i="1"/>
  <c r="R422" i="1"/>
  <c r="R406" i="1"/>
  <c r="R591" i="1"/>
  <c r="R582" i="1"/>
  <c r="R570" i="1"/>
  <c r="R562" i="1"/>
  <c r="R546" i="1"/>
  <c r="R534" i="1"/>
  <c r="R513" i="1"/>
  <c r="R505" i="1"/>
  <c r="R493" i="1"/>
  <c r="R485" i="1"/>
  <c r="R473" i="1"/>
  <c r="R465" i="1"/>
  <c r="R641" i="1"/>
  <c r="R629" i="1"/>
  <c r="R617" i="1"/>
  <c r="R609" i="1"/>
  <c r="R597" i="1"/>
  <c r="R846" i="1"/>
  <c r="R838" i="1"/>
  <c r="R822" i="1"/>
  <c r="R806" i="1"/>
  <c r="R798" i="1"/>
  <c r="R790" i="1"/>
  <c r="R778" i="1"/>
  <c r="R766" i="1"/>
  <c r="R758" i="1"/>
  <c r="R746" i="1"/>
  <c r="R734" i="1"/>
  <c r="R722" i="1"/>
  <c r="R713" i="1"/>
  <c r="R705" i="1"/>
  <c r="R693" i="1"/>
  <c r="R681" i="1"/>
  <c r="R669" i="1"/>
  <c r="R657" i="1"/>
  <c r="R975" i="1"/>
  <c r="R963" i="1"/>
  <c r="R947" i="1"/>
  <c r="R943" i="1"/>
  <c r="R931" i="1"/>
  <c r="R923" i="1"/>
  <c r="R915" i="1"/>
  <c r="R907" i="1"/>
  <c r="R899" i="1"/>
  <c r="R891" i="1"/>
  <c r="R879" i="1"/>
  <c r="R867" i="1"/>
  <c r="R863" i="1"/>
  <c r="R855" i="1"/>
  <c r="R1038" i="1"/>
  <c r="R1029" i="1"/>
  <c r="R1021" i="1"/>
  <c r="R1013" i="1"/>
  <c r="R1005" i="1"/>
  <c r="R997" i="1"/>
  <c r="R989" i="1"/>
  <c r="R1299" i="1"/>
  <c r="R1287" i="1"/>
  <c r="R1279" i="1"/>
  <c r="R1271" i="1"/>
  <c r="R1263" i="1"/>
  <c r="R1255" i="1"/>
  <c r="R1247" i="1"/>
  <c r="R1239" i="1"/>
  <c r="R1231" i="1"/>
  <c r="R1223" i="1"/>
  <c r="R1215" i="1"/>
  <c r="R1211" i="1"/>
  <c r="R1203" i="1"/>
  <c r="R1199" i="1"/>
  <c r="R1195" i="1"/>
  <c r="R1191" i="1"/>
  <c r="R1187" i="1"/>
  <c r="R1179" i="1"/>
  <c r="R1175" i="1"/>
  <c r="R1171" i="1"/>
  <c r="R1167" i="1"/>
  <c r="R1162" i="1"/>
  <c r="R1158" i="1"/>
  <c r="R1154" i="1"/>
  <c r="R1150" i="1"/>
  <c r="R1146" i="1"/>
  <c r="R1142" i="1"/>
  <c r="R1138" i="1"/>
  <c r="R1134" i="1"/>
  <c r="R1130" i="1"/>
  <c r="R1126" i="1"/>
  <c r="R1122" i="1"/>
  <c r="R1118" i="1"/>
  <c r="R1114" i="1"/>
  <c r="R1110" i="1"/>
  <c r="R1106" i="1"/>
  <c r="R1102" i="1"/>
  <c r="R1098" i="1"/>
  <c r="R1094" i="1"/>
  <c r="R1090" i="1"/>
  <c r="R1086" i="1"/>
  <c r="R1082" i="1"/>
  <c r="R1078" i="1"/>
  <c r="R1074" i="1"/>
  <c r="R1070" i="1"/>
  <c r="R1066" i="1"/>
  <c r="R1062" i="1"/>
  <c r="R1058" i="1"/>
  <c r="R1054" i="1"/>
  <c r="R1050" i="1"/>
  <c r="R1046" i="1"/>
  <c r="R1042" i="1"/>
  <c r="R1428" i="1"/>
  <c r="R1424" i="1"/>
  <c r="R1420" i="1"/>
  <c r="R1416" i="1"/>
  <c r="R1412" i="1"/>
  <c r="R1408" i="1"/>
  <c r="R1404" i="1"/>
  <c r="R1400" i="1"/>
  <c r="R1396" i="1"/>
  <c r="R1392" i="1"/>
  <c r="R1388" i="1"/>
  <c r="R1384" i="1"/>
  <c r="R1380" i="1"/>
  <c r="R1376" i="1"/>
  <c r="R1372" i="1"/>
  <c r="R1364" i="1"/>
  <c r="R1348" i="1"/>
  <c r="R1336" i="1"/>
  <c r="R1324" i="1"/>
  <c r="R1312" i="1"/>
  <c r="R1491" i="1"/>
  <c r="R1477" i="1"/>
  <c r="R1465" i="1"/>
  <c r="R1453" i="1"/>
  <c r="R1441" i="1"/>
  <c r="R1551" i="1"/>
  <c r="R1539" i="1"/>
  <c r="R1527" i="1"/>
  <c r="R1515" i="1"/>
  <c r="R1511" i="1"/>
  <c r="R1499" i="1"/>
  <c r="R2" i="1"/>
  <c r="R1344" i="1"/>
  <c r="R1332" i="1"/>
  <c r="R1320" i="1"/>
  <c r="R1308" i="1"/>
  <c r="R1485" i="1"/>
  <c r="R1473" i="1"/>
  <c r="R1461" i="1"/>
  <c r="R1449" i="1"/>
  <c r="R1437" i="1"/>
  <c r="R1547" i="1"/>
  <c r="R1531" i="1"/>
  <c r="R1519" i="1"/>
  <c r="R1507" i="1"/>
  <c r="R59" i="1"/>
  <c r="R55" i="1"/>
  <c r="R43" i="1"/>
  <c r="R27" i="1"/>
  <c r="R15" i="1"/>
  <c r="R135" i="1"/>
  <c r="R127" i="1"/>
  <c r="R115" i="1"/>
  <c r="R107" i="1"/>
  <c r="R95" i="1"/>
  <c r="R83" i="1"/>
  <c r="R146" i="1"/>
  <c r="R195" i="1"/>
  <c r="R183" i="1"/>
  <c r="R171" i="1"/>
  <c r="R155" i="1"/>
  <c r="R392" i="1"/>
  <c r="R380" i="1"/>
  <c r="R364" i="1"/>
  <c r="R352" i="1"/>
  <c r="R340" i="1"/>
  <c r="R332" i="1"/>
  <c r="R320" i="1"/>
  <c r="R308" i="1"/>
  <c r="R296" i="1"/>
  <c r="R284" i="1"/>
  <c r="R272" i="1"/>
  <c r="R264" i="1"/>
  <c r="R252" i="1"/>
  <c r="R244" i="1"/>
  <c r="R232" i="1"/>
  <c r="R216" i="1"/>
  <c r="R204" i="1"/>
  <c r="R453" i="1"/>
  <c r="R441" i="1"/>
  <c r="R429" i="1"/>
  <c r="R417" i="1"/>
  <c r="R405" i="1"/>
  <c r="R581" i="1"/>
  <c r="R569" i="1"/>
  <c r="R553" i="1"/>
  <c r="R541" i="1"/>
  <c r="R528" i="1"/>
  <c r="R516" i="1"/>
  <c r="R504" i="1"/>
  <c r="R496" i="1"/>
  <c r="R480" i="1"/>
  <c r="R472" i="1"/>
  <c r="R464" i="1"/>
  <c r="R644" i="1"/>
  <c r="R636" i="1"/>
  <c r="R628" i="1"/>
  <c r="R616" i="1"/>
  <c r="R608" i="1"/>
  <c r="R600" i="1"/>
  <c r="R850" i="1"/>
  <c r="R837" i="1"/>
  <c r="R825" i="1"/>
  <c r="R813" i="1"/>
  <c r="R805" i="1"/>
  <c r="R797" i="1"/>
  <c r="R785" i="1"/>
  <c r="R777" i="1"/>
  <c r="R769" i="1"/>
  <c r="R761" i="1"/>
  <c r="R753" i="1"/>
  <c r="R745" i="1"/>
  <c r="R733" i="1"/>
  <c r="R725" i="1"/>
  <c r="R720" i="1"/>
  <c r="R708" i="1"/>
  <c r="R700" i="1"/>
  <c r="R688" i="1"/>
  <c r="R680" i="1"/>
  <c r="R668" i="1"/>
  <c r="R660" i="1"/>
  <c r="R979" i="1"/>
  <c r="R970" i="1"/>
  <c r="R962" i="1"/>
  <c r="R954" i="1"/>
  <c r="R946" i="1"/>
  <c r="R938" i="1"/>
  <c r="R934" i="1"/>
  <c r="R926" i="1"/>
  <c r="R922" i="1"/>
  <c r="R918" i="1"/>
  <c r="R910" i="1"/>
  <c r="R906" i="1"/>
  <c r="R902" i="1"/>
  <c r="R898" i="1"/>
  <c r="R894" i="1"/>
  <c r="R890" i="1"/>
  <c r="R886" i="1"/>
  <c r="R882" i="1"/>
  <c r="R878" i="1"/>
  <c r="R874" i="1"/>
  <c r="R870" i="1"/>
  <c r="R866" i="1"/>
  <c r="R862" i="1"/>
  <c r="R858" i="1"/>
  <c r="R854" i="1"/>
  <c r="R1041" i="1"/>
  <c r="R1037" i="1"/>
  <c r="R1032" i="1"/>
  <c r="R1028" i="1"/>
  <c r="R1024" i="1"/>
  <c r="R1020" i="1"/>
  <c r="R1016" i="1"/>
  <c r="R1012" i="1"/>
  <c r="R1008" i="1"/>
  <c r="R1004" i="1"/>
  <c r="R1000" i="1"/>
  <c r="R996" i="1"/>
  <c r="R992" i="1"/>
  <c r="R988" i="1"/>
  <c r="R984" i="1"/>
  <c r="R1298" i="1"/>
  <c r="R1294" i="1"/>
  <c r="R1290" i="1"/>
  <c r="R1282" i="1"/>
  <c r="R1278" i="1"/>
  <c r="R1274" i="1"/>
  <c r="R1270" i="1"/>
  <c r="R1266" i="1"/>
  <c r="R1262" i="1"/>
  <c r="R1258" i="1"/>
  <c r="R1254" i="1"/>
  <c r="R1250" i="1"/>
  <c r="R1246" i="1"/>
  <c r="R1242" i="1"/>
  <c r="R1238" i="1"/>
  <c r="R1234" i="1"/>
  <c r="R1230" i="1"/>
  <c r="R1226" i="1"/>
  <c r="R1222" i="1"/>
  <c r="R1218" i="1"/>
  <c r="R1214" i="1"/>
  <c r="R1210" i="1"/>
  <c r="R1206" i="1"/>
  <c r="R1202" i="1"/>
  <c r="R1198" i="1"/>
  <c r="R1194" i="1"/>
  <c r="R1190" i="1"/>
  <c r="R1186" i="1"/>
  <c r="R1182" i="1"/>
  <c r="R1178" i="1"/>
  <c r="R1174" i="1"/>
  <c r="R1170" i="1"/>
  <c r="R1166" i="1"/>
  <c r="R1161" i="1"/>
  <c r="R1157" i="1"/>
  <c r="R1153" i="1"/>
  <c r="R1149" i="1"/>
  <c r="R1145" i="1"/>
  <c r="R1141" i="1"/>
  <c r="R1137" i="1"/>
  <c r="R1133" i="1"/>
  <c r="R1129" i="1"/>
  <c r="R1125" i="1"/>
  <c r="R1121" i="1"/>
  <c r="R1117" i="1"/>
  <c r="R1113" i="1"/>
  <c r="R1109" i="1"/>
  <c r="R1105" i="1"/>
  <c r="R1101" i="1"/>
  <c r="R1097" i="1"/>
  <c r="R1093" i="1"/>
  <c r="R1089" i="1"/>
  <c r="R1085" i="1"/>
  <c r="R1081" i="1"/>
  <c r="R1077" i="1"/>
  <c r="R1073" i="1"/>
  <c r="R1069" i="1"/>
  <c r="R1065" i="1"/>
  <c r="R1061" i="1"/>
  <c r="R1057" i="1"/>
  <c r="R1053" i="1"/>
  <c r="R1049" i="1"/>
  <c r="R1045" i="1"/>
  <c r="R1432" i="1"/>
  <c r="R1427" i="1"/>
  <c r="R1423" i="1"/>
  <c r="R1419" i="1"/>
  <c r="R1415" i="1"/>
  <c r="R1411" i="1"/>
  <c r="R1407" i="1"/>
  <c r="R1403" i="1"/>
  <c r="R1399" i="1"/>
  <c r="R1395" i="1"/>
  <c r="R1391" i="1"/>
  <c r="R1387" i="1"/>
  <c r="R1383" i="1"/>
  <c r="R1379" i="1"/>
  <c r="R1375" i="1"/>
  <c r="R1371" i="1"/>
  <c r="R1367" i="1"/>
  <c r="R1363" i="1"/>
  <c r="R1359" i="1"/>
  <c r="R1355" i="1"/>
  <c r="R1351" i="1"/>
  <c r="R1347" i="1"/>
  <c r="R1343" i="1"/>
  <c r="R1339" i="1"/>
  <c r="R1335" i="1"/>
  <c r="R1331" i="1"/>
  <c r="R1327" i="1"/>
  <c r="R1323" i="1"/>
  <c r="R1319" i="1"/>
  <c r="R1315" i="1"/>
  <c r="R1311" i="1"/>
  <c r="R1307" i="1"/>
  <c r="R1303" i="1"/>
  <c r="R1489" i="1"/>
  <c r="R1484" i="1"/>
  <c r="R1480" i="1"/>
  <c r="R1476" i="1"/>
  <c r="R1472" i="1"/>
  <c r="R1468" i="1"/>
  <c r="R1464" i="1"/>
  <c r="R1460" i="1"/>
  <c r="R1456" i="1"/>
  <c r="R1452" i="1"/>
  <c r="R1448" i="1"/>
  <c r="R1444" i="1"/>
  <c r="R1440" i="1"/>
  <c r="R1436" i="1"/>
  <c r="R1495" i="1"/>
  <c r="R1550" i="1"/>
  <c r="R1546" i="1"/>
  <c r="R1542" i="1"/>
  <c r="R1538" i="1"/>
  <c r="R1534" i="1"/>
  <c r="R1530" i="1"/>
  <c r="R1526" i="1"/>
  <c r="R1522" i="1"/>
  <c r="R1518" i="1"/>
  <c r="R1514" i="1"/>
  <c r="R1510" i="1"/>
  <c r="R1506" i="1"/>
  <c r="R1502" i="1"/>
  <c r="R1498" i="1"/>
  <c r="R67" i="1"/>
  <c r="R51" i="1"/>
  <c r="R35" i="1"/>
  <c r="R19" i="1"/>
  <c r="R7" i="1"/>
  <c r="R123" i="1"/>
  <c r="R103" i="1"/>
  <c r="R79" i="1"/>
  <c r="R142" i="1"/>
  <c r="R187" i="1"/>
  <c r="R175" i="1"/>
  <c r="R163" i="1"/>
  <c r="R147" i="1"/>
  <c r="R388" i="1"/>
  <c r="R376" i="1"/>
  <c r="R372" i="1"/>
  <c r="R360" i="1"/>
  <c r="R348" i="1"/>
  <c r="R336" i="1"/>
  <c r="R328" i="1"/>
  <c r="R316" i="1"/>
  <c r="R304" i="1"/>
  <c r="R292" i="1"/>
  <c r="R280" i="1"/>
  <c r="R268" i="1"/>
  <c r="R256" i="1"/>
  <c r="R248" i="1"/>
  <c r="R236" i="1"/>
  <c r="R224" i="1"/>
  <c r="R212" i="1"/>
  <c r="R457" i="1"/>
  <c r="R445" i="1"/>
  <c r="R433" i="1"/>
  <c r="R421" i="1"/>
  <c r="R409" i="1"/>
  <c r="R397" i="1"/>
  <c r="R589" i="1"/>
  <c r="R577" i="1"/>
  <c r="R565" i="1"/>
  <c r="R557" i="1"/>
  <c r="R545" i="1"/>
  <c r="R533" i="1"/>
  <c r="R520" i="1"/>
  <c r="R508" i="1"/>
  <c r="R500" i="1"/>
  <c r="R492" i="1"/>
  <c r="R484" i="1"/>
  <c r="R476" i="1"/>
  <c r="R468" i="1"/>
  <c r="R648" i="1"/>
  <c r="R640" i="1"/>
  <c r="R632" i="1"/>
  <c r="R624" i="1"/>
  <c r="R620" i="1"/>
  <c r="R612" i="1"/>
  <c r="R604" i="1"/>
  <c r="R596" i="1"/>
  <c r="R845" i="1"/>
  <c r="R841" i="1"/>
  <c r="R833" i="1"/>
  <c r="R821" i="1"/>
  <c r="R817" i="1"/>
  <c r="R809" i="1"/>
  <c r="R801" i="1"/>
  <c r="R793" i="1"/>
  <c r="R789" i="1"/>
  <c r="R781" i="1"/>
  <c r="R773" i="1"/>
  <c r="R765" i="1"/>
  <c r="R757" i="1"/>
  <c r="R749" i="1"/>
  <c r="R741" i="1"/>
  <c r="R737" i="1"/>
  <c r="R729" i="1"/>
  <c r="R716" i="1"/>
  <c r="R712" i="1"/>
  <c r="R704" i="1"/>
  <c r="R696" i="1"/>
  <c r="R692" i="1"/>
  <c r="R684" i="1"/>
  <c r="R676" i="1"/>
  <c r="R672" i="1"/>
  <c r="R664" i="1"/>
  <c r="R656" i="1"/>
  <c r="R853" i="1"/>
  <c r="R974" i="1"/>
  <c r="R966" i="1"/>
  <c r="R958" i="1"/>
  <c r="R950" i="1"/>
  <c r="R942" i="1"/>
  <c r="R930" i="1"/>
  <c r="R914" i="1"/>
  <c r="R1286" i="1"/>
  <c r="R66" i="1"/>
  <c r="R62" i="1"/>
  <c r="R58" i="1"/>
  <c r="R54" i="1"/>
  <c r="R50" i="1"/>
  <c r="R46" i="1"/>
  <c r="R42" i="1"/>
  <c r="R38" i="1"/>
  <c r="R34" i="1"/>
  <c r="R30" i="1"/>
  <c r="R26" i="1"/>
  <c r="R22" i="1"/>
  <c r="R18" i="1"/>
  <c r="R14" i="1"/>
  <c r="R10" i="1"/>
  <c r="R6" i="1"/>
  <c r="R69" i="1"/>
  <c r="R134" i="1"/>
  <c r="R130" i="1"/>
  <c r="R126" i="1"/>
  <c r="R122" i="1"/>
  <c r="R118" i="1"/>
  <c r="R114" i="1"/>
  <c r="R110" i="1"/>
  <c r="R106" i="1"/>
  <c r="R102" i="1"/>
  <c r="R98" i="1"/>
  <c r="R94" i="1"/>
  <c r="R90" i="1"/>
  <c r="R86" i="1"/>
  <c r="R82" i="1"/>
  <c r="R78" i="1"/>
  <c r="R74" i="1"/>
  <c r="R145" i="1"/>
  <c r="R141" i="1"/>
  <c r="R194" i="1"/>
  <c r="R190" i="1"/>
  <c r="R186" i="1"/>
  <c r="R182" i="1"/>
  <c r="R178" i="1"/>
  <c r="R174" i="1"/>
  <c r="R170" i="1"/>
  <c r="R166" i="1"/>
  <c r="R162" i="1"/>
  <c r="R158" i="1"/>
  <c r="R154" i="1"/>
  <c r="R150" i="1"/>
  <c r="R197" i="1"/>
  <c r="R198" i="1"/>
  <c r="R391" i="1"/>
  <c r="R387" i="1"/>
  <c r="R383" i="1"/>
  <c r="R379" i="1"/>
  <c r="R375" i="1"/>
  <c r="R371" i="1"/>
  <c r="R367" i="1"/>
  <c r="R363" i="1"/>
  <c r="R359" i="1"/>
  <c r="R355" i="1"/>
  <c r="R351" i="1"/>
  <c r="R347" i="1"/>
  <c r="R343" i="1"/>
  <c r="R339" i="1"/>
  <c r="R335" i="1"/>
  <c r="R331" i="1"/>
  <c r="R327" i="1"/>
  <c r="R323" i="1"/>
  <c r="R319" i="1"/>
  <c r="R315" i="1"/>
  <c r="R311" i="1"/>
  <c r="R307" i="1"/>
  <c r="R303" i="1"/>
  <c r="R299" i="1"/>
  <c r="R295" i="1"/>
  <c r="R291" i="1"/>
  <c r="R287" i="1"/>
  <c r="R283" i="1"/>
  <c r="R279" i="1"/>
  <c r="R275" i="1"/>
  <c r="R271" i="1"/>
  <c r="R267" i="1"/>
  <c r="R263" i="1"/>
  <c r="R259" i="1"/>
  <c r="R255" i="1"/>
  <c r="R251" i="1"/>
  <c r="R247" i="1"/>
  <c r="R243" i="1"/>
  <c r="R239" i="1"/>
  <c r="R235" i="1"/>
  <c r="R231" i="1"/>
  <c r="R227" i="1"/>
  <c r="R223" i="1"/>
  <c r="R219" i="1"/>
  <c r="R215" i="1"/>
  <c r="R211" i="1"/>
  <c r="R207" i="1"/>
  <c r="R203" i="1"/>
  <c r="R456" i="1"/>
  <c r="R452" i="1"/>
  <c r="R448" i="1"/>
  <c r="R444" i="1"/>
  <c r="R440" i="1"/>
  <c r="R436" i="1"/>
  <c r="R432" i="1"/>
  <c r="R428" i="1"/>
  <c r="R424" i="1"/>
  <c r="R420" i="1"/>
  <c r="R416" i="1"/>
  <c r="R412" i="1"/>
  <c r="R408" i="1"/>
  <c r="R404" i="1"/>
  <c r="R400" i="1"/>
  <c r="R458" i="1"/>
  <c r="R588" i="1"/>
  <c r="R584" i="1"/>
  <c r="R580" i="1"/>
  <c r="R576" i="1"/>
  <c r="R572" i="1"/>
  <c r="R568" i="1"/>
  <c r="R564" i="1"/>
  <c r="R560" i="1"/>
  <c r="R556" i="1"/>
  <c r="R552" i="1"/>
  <c r="R548" i="1"/>
  <c r="R544" i="1"/>
  <c r="R540" i="1"/>
  <c r="R536" i="1"/>
  <c r="R531" i="1"/>
  <c r="R527" i="1"/>
  <c r="R523" i="1"/>
  <c r="R519" i="1"/>
  <c r="R515" i="1"/>
  <c r="R511" i="1"/>
  <c r="R507" i="1"/>
  <c r="R503" i="1"/>
  <c r="R499" i="1"/>
  <c r="R495" i="1"/>
  <c r="R491" i="1"/>
  <c r="R487" i="1"/>
  <c r="R483" i="1"/>
  <c r="R479" i="1"/>
  <c r="R475" i="1"/>
  <c r="R471" i="1"/>
  <c r="R467" i="1"/>
  <c r="R463" i="1"/>
  <c r="R647" i="1"/>
  <c r="R643" i="1"/>
  <c r="R639" i="1"/>
  <c r="R635" i="1"/>
  <c r="R631" i="1"/>
  <c r="R627" i="1"/>
  <c r="R623" i="1"/>
  <c r="R619" i="1"/>
  <c r="R615" i="1"/>
  <c r="R611" i="1"/>
  <c r="R607" i="1"/>
  <c r="R603" i="1"/>
  <c r="R599" i="1"/>
  <c r="R595" i="1"/>
  <c r="R848" i="1"/>
  <c r="R844" i="1"/>
  <c r="R840" i="1"/>
  <c r="R836" i="1"/>
  <c r="R832" i="1"/>
  <c r="R828" i="1"/>
  <c r="R824" i="1"/>
  <c r="R820" i="1"/>
  <c r="R816" i="1"/>
  <c r="R812" i="1"/>
  <c r="R808" i="1"/>
  <c r="R804" i="1"/>
  <c r="R800" i="1"/>
  <c r="R796" i="1"/>
  <c r="R792" i="1"/>
  <c r="R788" i="1"/>
  <c r="R784" i="1"/>
  <c r="R780" i="1"/>
  <c r="R776" i="1"/>
  <c r="R772" i="1"/>
  <c r="R768" i="1"/>
  <c r="R764" i="1"/>
  <c r="R760" i="1"/>
  <c r="R756" i="1"/>
  <c r="R752" i="1"/>
  <c r="R748" i="1"/>
  <c r="R744" i="1"/>
  <c r="R740" i="1"/>
  <c r="R736" i="1"/>
  <c r="R732" i="1"/>
  <c r="R728" i="1"/>
  <c r="R724" i="1"/>
  <c r="R719" i="1"/>
  <c r="R715" i="1"/>
  <c r="R711" i="1"/>
  <c r="R707" i="1"/>
  <c r="R703" i="1"/>
  <c r="R699" i="1"/>
  <c r="R695" i="1"/>
  <c r="R691" i="1"/>
  <c r="R687" i="1"/>
  <c r="R683" i="1"/>
  <c r="R679" i="1"/>
  <c r="R675" i="1"/>
  <c r="R671" i="1"/>
  <c r="R667" i="1"/>
  <c r="R663" i="1"/>
  <c r="R659" i="1"/>
  <c r="R655" i="1"/>
  <c r="R852" i="1"/>
  <c r="R978" i="1"/>
  <c r="R973" i="1"/>
  <c r="R969" i="1"/>
  <c r="R965" i="1"/>
  <c r="R961" i="1"/>
  <c r="R957" i="1"/>
  <c r="R953" i="1"/>
  <c r="R949" i="1"/>
  <c r="R945" i="1"/>
  <c r="R941" i="1"/>
  <c r="R937" i="1"/>
  <c r="R933" i="1"/>
  <c r="R929" i="1"/>
  <c r="R925" i="1"/>
  <c r="R921" i="1"/>
  <c r="R917" i="1"/>
  <c r="R913" i="1"/>
  <c r="R909" i="1"/>
  <c r="R905" i="1"/>
  <c r="R901" i="1"/>
  <c r="R897" i="1"/>
  <c r="R893" i="1"/>
  <c r="R889" i="1"/>
  <c r="R885" i="1"/>
  <c r="R881" i="1"/>
  <c r="R877" i="1"/>
  <c r="R873" i="1"/>
  <c r="R869" i="1"/>
  <c r="R865" i="1"/>
  <c r="R861" i="1"/>
  <c r="R857" i="1"/>
  <c r="R983" i="1"/>
  <c r="R1040" i="1"/>
  <c r="R1036" i="1"/>
  <c r="R1031" i="1"/>
  <c r="R1027" i="1"/>
  <c r="R1023" i="1"/>
  <c r="R1019" i="1"/>
  <c r="R1015" i="1"/>
  <c r="R1011" i="1"/>
  <c r="R1007" i="1"/>
  <c r="R1003" i="1"/>
  <c r="R999" i="1"/>
  <c r="R995" i="1"/>
  <c r="R991" i="1"/>
  <c r="R987" i="1"/>
  <c r="R1302" i="1"/>
  <c r="R1297" i="1"/>
  <c r="R1293" i="1"/>
  <c r="R1289" i="1"/>
  <c r="R1285" i="1"/>
  <c r="R1281" i="1"/>
  <c r="R1277" i="1"/>
  <c r="R1273" i="1"/>
  <c r="R1269" i="1"/>
  <c r="R1265" i="1"/>
  <c r="R1261" i="1"/>
  <c r="R1257" i="1"/>
  <c r="R1253" i="1"/>
  <c r="R1249" i="1"/>
  <c r="R1245" i="1"/>
  <c r="R1241" i="1"/>
  <c r="R1237" i="1"/>
  <c r="R1233" i="1"/>
  <c r="R1229" i="1"/>
  <c r="R1225" i="1"/>
  <c r="R1221" i="1"/>
  <c r="R1217" i="1"/>
  <c r="R1213" i="1"/>
  <c r="R1209" i="1"/>
  <c r="R1205" i="1"/>
  <c r="R1201" i="1"/>
  <c r="R1197" i="1"/>
  <c r="R1193" i="1"/>
  <c r="R1189" i="1"/>
  <c r="R1185" i="1"/>
  <c r="R1181" i="1"/>
  <c r="R1177" i="1"/>
  <c r="R1173" i="1"/>
  <c r="R1169" i="1"/>
  <c r="R1165" i="1"/>
  <c r="R1160" i="1"/>
  <c r="R1156" i="1"/>
  <c r="R1152" i="1"/>
  <c r="R1148" i="1"/>
  <c r="R1144" i="1"/>
  <c r="R1140" i="1"/>
  <c r="R1136" i="1"/>
  <c r="R1132" i="1"/>
  <c r="R1128" i="1"/>
  <c r="R1124" i="1"/>
  <c r="R1120" i="1"/>
  <c r="R1116" i="1"/>
  <c r="R1112" i="1"/>
  <c r="R1108" i="1"/>
  <c r="R1104" i="1"/>
  <c r="R1100" i="1"/>
  <c r="R1096" i="1"/>
  <c r="R1092" i="1"/>
  <c r="R1088" i="1"/>
  <c r="R1084" i="1"/>
  <c r="R1080" i="1"/>
  <c r="R1076" i="1"/>
  <c r="R1072" i="1"/>
  <c r="R1068" i="1"/>
  <c r="R1064" i="1"/>
  <c r="R1060" i="1"/>
  <c r="R1056" i="1"/>
  <c r="R1052" i="1"/>
  <c r="R1048" i="1"/>
  <c r="R1044" i="1"/>
  <c r="R1430" i="1"/>
  <c r="R1426" i="1"/>
  <c r="R1422" i="1"/>
  <c r="R1418" i="1"/>
  <c r="R1414" i="1"/>
  <c r="R1410" i="1"/>
  <c r="R1406" i="1"/>
  <c r="R1402" i="1"/>
  <c r="R1398" i="1"/>
  <c r="R1394" i="1"/>
  <c r="R1390" i="1"/>
  <c r="R1386" i="1"/>
  <c r="R1382" i="1"/>
  <c r="R1378" i="1"/>
  <c r="R1374" i="1"/>
  <c r="R1370" i="1"/>
  <c r="R1366" i="1"/>
  <c r="R1362" i="1"/>
  <c r="R1358" i="1"/>
  <c r="R1354" i="1"/>
  <c r="R1350" i="1"/>
  <c r="R1346" i="1"/>
  <c r="R1342" i="1"/>
  <c r="R1338" i="1"/>
  <c r="R1334" i="1"/>
  <c r="R1330" i="1"/>
  <c r="R1326" i="1"/>
  <c r="R1322" i="1"/>
  <c r="R1318" i="1"/>
  <c r="R1314" i="1"/>
  <c r="R1310" i="1"/>
  <c r="R1306" i="1"/>
  <c r="R1494" i="1"/>
  <c r="R1488" i="1"/>
  <c r="R1483" i="1"/>
  <c r="R1479" i="1"/>
  <c r="R1475" i="1"/>
  <c r="R1471" i="1"/>
  <c r="R1467" i="1"/>
  <c r="R1463" i="1"/>
  <c r="R1459" i="1"/>
  <c r="R1455" i="1"/>
  <c r="R1451" i="1"/>
  <c r="R1447" i="1"/>
  <c r="R1443" i="1"/>
  <c r="R1439" i="1"/>
  <c r="R1435" i="1"/>
  <c r="R1553" i="1"/>
  <c r="R1549" i="1"/>
  <c r="R1545" i="1"/>
  <c r="R1541" i="1"/>
  <c r="R1537" i="1"/>
  <c r="R1533" i="1"/>
  <c r="R1529" i="1"/>
  <c r="R1525" i="1"/>
  <c r="R1521" i="1"/>
  <c r="R1517" i="1"/>
  <c r="R1513" i="1"/>
  <c r="R1509" i="1"/>
  <c r="R1505" i="1"/>
  <c r="R1501" i="1"/>
  <c r="R1497" i="1"/>
  <c r="R1356" i="1"/>
  <c r="R1340" i="1"/>
  <c r="R1328" i="1"/>
  <c r="R1316" i="1"/>
  <c r="R1304" i="1"/>
  <c r="R1481" i="1"/>
  <c r="R1469" i="1"/>
  <c r="R1457" i="1"/>
  <c r="R1445" i="1"/>
  <c r="R1433" i="1"/>
  <c r="R1543" i="1"/>
  <c r="R1535" i="1"/>
  <c r="R1523" i="1"/>
  <c r="R1503" i="1"/>
  <c r="R63" i="1"/>
  <c r="R47" i="1"/>
  <c r="R39" i="1"/>
  <c r="R31" i="1"/>
  <c r="R23" i="1"/>
  <c r="R11" i="1"/>
  <c r="R3" i="1"/>
  <c r="R131" i="1"/>
  <c r="R119" i="1"/>
  <c r="R111" i="1"/>
  <c r="R99" i="1"/>
  <c r="R91" i="1"/>
  <c r="R87" i="1"/>
  <c r="R75" i="1"/>
  <c r="R191" i="1"/>
  <c r="R179" i="1"/>
  <c r="R167" i="1"/>
  <c r="R159" i="1"/>
  <c r="R151" i="1"/>
  <c r="R199" i="1"/>
  <c r="R384" i="1"/>
  <c r="R368" i="1"/>
  <c r="R356" i="1"/>
  <c r="R344" i="1"/>
  <c r="R324" i="1"/>
  <c r="R312" i="1"/>
  <c r="R300" i="1"/>
  <c r="R288" i="1"/>
  <c r="R276" i="1"/>
  <c r="R260" i="1"/>
  <c r="R240" i="1"/>
  <c r="R228" i="1"/>
  <c r="R220" i="1"/>
  <c r="R208" i="1"/>
  <c r="R449" i="1"/>
  <c r="R437" i="1"/>
  <c r="R425" i="1"/>
  <c r="R413" i="1"/>
  <c r="R401" i="1"/>
  <c r="R585" i="1"/>
  <c r="R573" i="1"/>
  <c r="R561" i="1"/>
  <c r="R549" i="1"/>
  <c r="R537" i="1"/>
  <c r="R524" i="1"/>
  <c r="R512" i="1"/>
  <c r="R488" i="1"/>
  <c r="R829" i="1"/>
  <c r="R65" i="1"/>
  <c r="R61" i="1"/>
  <c r="R57" i="1"/>
  <c r="R53" i="1"/>
  <c r="R49" i="1"/>
  <c r="R45" i="1"/>
  <c r="R41" i="1"/>
  <c r="R37" i="1"/>
  <c r="R33" i="1"/>
  <c r="R29" i="1"/>
  <c r="R25" i="1"/>
  <c r="R21" i="1"/>
  <c r="R17" i="1"/>
  <c r="R13" i="1"/>
  <c r="R9" i="1"/>
  <c r="R5" i="1"/>
  <c r="R72" i="1"/>
  <c r="R133" i="1"/>
  <c r="R129" i="1"/>
  <c r="R125" i="1"/>
  <c r="R121" i="1"/>
  <c r="R117" i="1"/>
  <c r="R113" i="1"/>
  <c r="R109" i="1"/>
  <c r="R105" i="1"/>
  <c r="R101" i="1"/>
  <c r="R97" i="1"/>
  <c r="R93" i="1"/>
  <c r="R89" i="1"/>
  <c r="R85" i="1"/>
  <c r="R81" i="1"/>
  <c r="R77" i="1"/>
  <c r="R73" i="1"/>
  <c r="R144" i="1"/>
  <c r="R140" i="1"/>
  <c r="R193" i="1"/>
  <c r="R189" i="1"/>
  <c r="R185" i="1"/>
  <c r="R181" i="1"/>
  <c r="R177" i="1"/>
  <c r="R173" i="1"/>
  <c r="R169" i="1"/>
  <c r="R165" i="1"/>
  <c r="R161" i="1"/>
  <c r="R157" i="1"/>
  <c r="R153" i="1"/>
  <c r="R149" i="1"/>
  <c r="R201" i="1"/>
  <c r="R394" i="1"/>
  <c r="R390" i="1"/>
  <c r="R386" i="1"/>
  <c r="R382" i="1"/>
  <c r="R378" i="1"/>
  <c r="R374" i="1"/>
  <c r="R370" i="1"/>
  <c r="R366" i="1"/>
  <c r="R362" i="1"/>
  <c r="R358" i="1"/>
  <c r="R354" i="1"/>
  <c r="R350" i="1"/>
  <c r="R346" i="1"/>
  <c r="R342" i="1"/>
  <c r="R338" i="1"/>
  <c r="R334" i="1"/>
  <c r="R330" i="1"/>
  <c r="R326" i="1"/>
  <c r="R322" i="1"/>
  <c r="R318" i="1"/>
  <c r="R314" i="1"/>
  <c r="R310" i="1"/>
  <c r="R306" i="1"/>
  <c r="R302" i="1"/>
  <c r="R298" i="1"/>
  <c r="R294" i="1"/>
  <c r="R290" i="1"/>
  <c r="R286" i="1"/>
  <c r="R282" i="1"/>
  <c r="R278" i="1"/>
  <c r="R274" i="1"/>
  <c r="R270" i="1"/>
  <c r="R266" i="1"/>
  <c r="R262" i="1"/>
  <c r="R258" i="1"/>
  <c r="R254" i="1"/>
  <c r="R250" i="1"/>
  <c r="R246" i="1"/>
  <c r="R242" i="1"/>
  <c r="R238" i="1"/>
  <c r="R234" i="1"/>
  <c r="R230" i="1"/>
  <c r="R226" i="1"/>
  <c r="R222" i="1"/>
  <c r="R218" i="1"/>
  <c r="R214" i="1"/>
  <c r="R210" i="1"/>
  <c r="R206" i="1"/>
  <c r="R202" i="1"/>
  <c r="R455" i="1"/>
  <c r="R451" i="1"/>
  <c r="R447" i="1"/>
  <c r="R443" i="1"/>
  <c r="R439" i="1"/>
  <c r="R435" i="1"/>
  <c r="R431" i="1"/>
  <c r="R427" i="1"/>
  <c r="R423" i="1"/>
  <c r="R419" i="1"/>
  <c r="R415" i="1"/>
  <c r="R411" i="1"/>
  <c r="R407" i="1"/>
  <c r="R403" i="1"/>
  <c r="R399" i="1"/>
  <c r="R461" i="1"/>
  <c r="R587" i="1"/>
  <c r="R583" i="1"/>
  <c r="R579" i="1"/>
  <c r="R575" i="1"/>
  <c r="R571" i="1"/>
  <c r="R567" i="1"/>
  <c r="R563" i="1"/>
  <c r="R559" i="1"/>
  <c r="R555" i="1"/>
  <c r="R551" i="1"/>
  <c r="R547" i="1"/>
  <c r="R543" i="1"/>
  <c r="R539" i="1"/>
  <c r="R535" i="1"/>
  <c r="R530" i="1"/>
  <c r="R526" i="1"/>
  <c r="R522" i="1"/>
  <c r="R518" i="1"/>
  <c r="R514" i="1"/>
  <c r="R510" i="1"/>
  <c r="R506" i="1"/>
  <c r="R502" i="1"/>
  <c r="R498" i="1"/>
  <c r="R494" i="1"/>
  <c r="R490" i="1"/>
  <c r="R486" i="1"/>
  <c r="R482" i="1"/>
  <c r="R478" i="1"/>
  <c r="R474" i="1"/>
  <c r="R470" i="1"/>
  <c r="R466" i="1"/>
  <c r="R462" i="1"/>
  <c r="R646" i="1"/>
  <c r="R642" i="1"/>
  <c r="R638" i="1"/>
  <c r="R634" i="1"/>
  <c r="R630" i="1"/>
  <c r="R626" i="1"/>
  <c r="R622" i="1"/>
  <c r="R618" i="1"/>
  <c r="R614" i="1"/>
  <c r="R610" i="1"/>
  <c r="R606" i="1"/>
  <c r="R602" i="1"/>
  <c r="R598" i="1"/>
  <c r="R594" i="1"/>
  <c r="R847" i="1"/>
  <c r="R843" i="1"/>
  <c r="R839" i="1"/>
  <c r="R835" i="1"/>
  <c r="R831" i="1"/>
  <c r="R827" i="1"/>
  <c r="R823" i="1"/>
  <c r="R819" i="1"/>
  <c r="R815" i="1"/>
  <c r="R811" i="1"/>
  <c r="R807" i="1"/>
  <c r="R803" i="1"/>
  <c r="R799" i="1"/>
  <c r="R795" i="1"/>
  <c r="R791" i="1"/>
  <c r="R787" i="1"/>
  <c r="R783" i="1"/>
  <c r="R779" i="1"/>
  <c r="R775" i="1"/>
  <c r="R771" i="1"/>
  <c r="R767" i="1"/>
  <c r="R763" i="1"/>
  <c r="R759" i="1"/>
  <c r="R755" i="1"/>
  <c r="R751" i="1"/>
  <c r="R747" i="1"/>
  <c r="R743" i="1"/>
  <c r="R739" i="1"/>
  <c r="R735" i="1"/>
  <c r="R731" i="1"/>
  <c r="R727" i="1"/>
  <c r="R723" i="1"/>
  <c r="R718" i="1"/>
  <c r="R714" i="1"/>
  <c r="R710" i="1"/>
  <c r="R706" i="1"/>
  <c r="R702" i="1"/>
  <c r="R698" i="1"/>
  <c r="R694" i="1"/>
  <c r="R690" i="1"/>
  <c r="R686" i="1"/>
  <c r="R682" i="1"/>
  <c r="R678" i="1"/>
  <c r="R674" i="1"/>
  <c r="R670" i="1"/>
  <c r="R666" i="1"/>
  <c r="R662" i="1"/>
  <c r="R658" i="1"/>
  <c r="R654" i="1"/>
  <c r="R851" i="1"/>
  <c r="R976" i="1"/>
  <c r="R972" i="1"/>
  <c r="R968" i="1"/>
  <c r="R964" i="1"/>
  <c r="R960" i="1"/>
  <c r="R956" i="1"/>
  <c r="R952" i="1"/>
  <c r="R948" i="1"/>
  <c r="R944" i="1"/>
  <c r="R940" i="1"/>
  <c r="R936" i="1"/>
  <c r="R932" i="1"/>
  <c r="R928" i="1"/>
  <c r="R924" i="1"/>
  <c r="R920" i="1"/>
  <c r="R916" i="1"/>
  <c r="R912" i="1"/>
  <c r="R908" i="1"/>
  <c r="R904" i="1"/>
  <c r="R900" i="1"/>
  <c r="R896" i="1"/>
  <c r="R892" i="1"/>
  <c r="R888" i="1"/>
  <c r="R884" i="1"/>
  <c r="R880" i="1"/>
  <c r="R876" i="1"/>
  <c r="R872" i="1"/>
  <c r="R868" i="1"/>
  <c r="R864" i="1"/>
  <c r="R860" i="1"/>
  <c r="R856" i="1"/>
  <c r="R982" i="1"/>
  <c r="R1039" i="1"/>
  <c r="R1035" i="1"/>
  <c r="R1030" i="1"/>
  <c r="R1026" i="1"/>
  <c r="R1022" i="1"/>
  <c r="R1018" i="1"/>
  <c r="R1014" i="1"/>
  <c r="R1010" i="1"/>
  <c r="R1006" i="1"/>
  <c r="R1002" i="1"/>
  <c r="R998" i="1"/>
  <c r="R994" i="1"/>
  <c r="R990" i="1"/>
  <c r="R986" i="1"/>
  <c r="R1300" i="1"/>
  <c r="R1296" i="1"/>
  <c r="R1292" i="1"/>
  <c r="R1288" i="1"/>
  <c r="R1284" i="1"/>
  <c r="R1280" i="1"/>
  <c r="R1276" i="1"/>
  <c r="R1272" i="1"/>
  <c r="R1268" i="1"/>
  <c r="R1264" i="1"/>
  <c r="R1260" i="1"/>
  <c r="R1256" i="1"/>
  <c r="R1252" i="1"/>
  <c r="R1248" i="1"/>
  <c r="R1244" i="1"/>
  <c r="R1240" i="1"/>
  <c r="R1236" i="1"/>
  <c r="R1232" i="1"/>
  <c r="R1228" i="1"/>
  <c r="R1224" i="1"/>
  <c r="R1220" i="1"/>
  <c r="R1216" i="1"/>
  <c r="R1212" i="1"/>
  <c r="R1208" i="1"/>
  <c r="R1204" i="1"/>
  <c r="R1200" i="1"/>
  <c r="R1196" i="1"/>
  <c r="R1192" i="1"/>
  <c r="R1188" i="1"/>
  <c r="R1184" i="1"/>
  <c r="R1180" i="1"/>
  <c r="R1176" i="1"/>
  <c r="R1172" i="1"/>
  <c r="R1168" i="1"/>
  <c r="R1163" i="1"/>
  <c r="R1159" i="1"/>
  <c r="R1155" i="1"/>
  <c r="R1151" i="1"/>
  <c r="R1147" i="1"/>
  <c r="R1143" i="1"/>
  <c r="R1139" i="1"/>
  <c r="R1135" i="1"/>
  <c r="R1131" i="1"/>
  <c r="R1127" i="1"/>
  <c r="R1123" i="1"/>
  <c r="R1119" i="1"/>
  <c r="R1115" i="1"/>
  <c r="R1111" i="1"/>
  <c r="R1107" i="1"/>
  <c r="R1103" i="1"/>
  <c r="R1099" i="1"/>
  <c r="R1095" i="1"/>
  <c r="R1091" i="1"/>
  <c r="R1087" i="1"/>
  <c r="R1083" i="1"/>
  <c r="R1079" i="1"/>
  <c r="R1075" i="1"/>
  <c r="R1071" i="1"/>
  <c r="R1067" i="1"/>
  <c r="R1063" i="1"/>
  <c r="R1059" i="1"/>
  <c r="R1055" i="1"/>
  <c r="R1051" i="1"/>
  <c r="R1047" i="1"/>
  <c r="R1043" i="1"/>
  <c r="R1429" i="1"/>
  <c r="R1425" i="1"/>
  <c r="R1421" i="1"/>
  <c r="R1417" i="1"/>
  <c r="R1413" i="1"/>
  <c r="R1409" i="1"/>
  <c r="R1405" i="1"/>
  <c r="R1401" i="1"/>
  <c r="R1397" i="1"/>
  <c r="R1393" i="1"/>
  <c r="R1389" i="1"/>
  <c r="R1385" i="1"/>
  <c r="R1381" i="1"/>
  <c r="R1377" i="1"/>
  <c r="R1373" i="1"/>
  <c r="R1369" i="1"/>
  <c r="R1365" i="1"/>
  <c r="R1361" i="1"/>
  <c r="R1357" i="1"/>
  <c r="R1353" i="1"/>
  <c r="R1349" i="1"/>
  <c r="R1345" i="1"/>
  <c r="R1341" i="1"/>
  <c r="R1337" i="1"/>
  <c r="R1333" i="1"/>
  <c r="R1329" i="1"/>
  <c r="R1325" i="1"/>
  <c r="R1321" i="1"/>
  <c r="R1317" i="1"/>
  <c r="R1313" i="1"/>
  <c r="R1309" i="1"/>
  <c r="R1305" i="1"/>
  <c r="R1492" i="1"/>
  <c r="R1486" i="1"/>
  <c r="R1482" i="1"/>
  <c r="R1478" i="1"/>
  <c r="R1474" i="1"/>
  <c r="R1470" i="1"/>
  <c r="R1466" i="1"/>
  <c r="R1462" i="1"/>
  <c r="R1458" i="1"/>
  <c r="R1454" i="1"/>
  <c r="R1450" i="1"/>
  <c r="R1446" i="1"/>
  <c r="R1442" i="1"/>
  <c r="R1438" i="1"/>
  <c r="R1434" i="1"/>
  <c r="R1552" i="1"/>
  <c r="R1548" i="1"/>
  <c r="R1544" i="1"/>
  <c r="R1540" i="1"/>
  <c r="R1536" i="1"/>
  <c r="R1532" i="1"/>
  <c r="R1528" i="1"/>
  <c r="R1524" i="1"/>
  <c r="R1520" i="1"/>
  <c r="R1516" i="1"/>
  <c r="R1512" i="1"/>
  <c r="R1508" i="1"/>
  <c r="R1504" i="1"/>
  <c r="R1500" i="1"/>
  <c r="R1496" i="1"/>
  <c r="AJ102" i="1" l="1"/>
  <c r="M1363" i="1"/>
  <c r="AJ5" i="1" a="1"/>
  <c r="AJ5" i="1" s="1"/>
  <c r="M41" i="1"/>
  <c r="AI81" i="1"/>
  <c r="AI111" i="1"/>
  <c r="AJ47" i="1" a="1"/>
  <c r="AJ47" i="1" s="1"/>
  <c r="Z105" i="1" a="1"/>
  <c r="Z105" i="1" s="1"/>
  <c r="W203" i="1" s="1"/>
  <c r="M438" i="1"/>
  <c r="M1396" i="1"/>
  <c r="Z80" i="1" a="1"/>
  <c r="Z80" i="1" s="1"/>
  <c r="Y187" i="1" s="1"/>
  <c r="Z22" i="1" a="1"/>
  <c r="Z22" i="1" s="1"/>
  <c r="X131" i="1" s="1"/>
  <c r="AJ23" i="1" a="1"/>
  <c r="AJ23" i="1" s="1"/>
  <c r="AJ85" i="1" s="1"/>
  <c r="AJ6" i="1" a="1"/>
  <c r="AJ6" i="1" s="1"/>
  <c r="AI68" i="1" s="1"/>
  <c r="AJ31" i="1" a="1"/>
  <c r="AJ31" i="1" s="1"/>
  <c r="AJ93" i="1" s="1"/>
  <c r="AJ26" i="1" a="1"/>
  <c r="AJ26" i="1" s="1"/>
  <c r="AJ88" i="1" s="1"/>
  <c r="AJ3" i="1" a="1"/>
  <c r="AJ3" i="1" s="1"/>
  <c r="AJ65" i="1" s="1"/>
  <c r="AJ11" i="1" a="1"/>
  <c r="AJ11" i="1" s="1"/>
  <c r="AJ73" i="1" s="1"/>
  <c r="AJ44" i="1" a="1"/>
  <c r="AJ44" i="1" s="1"/>
  <c r="AJ105" i="1" s="1"/>
  <c r="AJ27" i="1" a="1"/>
  <c r="AJ27" i="1" s="1"/>
  <c r="AI89" i="1" s="1"/>
  <c r="Z69" i="1" a="1"/>
  <c r="Z69" i="1" s="1"/>
  <c r="X176" i="1" s="1"/>
  <c r="M32" i="1"/>
  <c r="AJ34" i="1" a="1"/>
  <c r="AJ34" i="1" s="1"/>
  <c r="AJ96" i="1" s="1"/>
  <c r="AJ29" i="1" a="1"/>
  <c r="AJ29" i="1" s="1"/>
  <c r="AI91" i="1" s="1"/>
  <c r="AJ21" i="1" a="1"/>
  <c r="AJ21" i="1" s="1"/>
  <c r="AJ83" i="1" s="1"/>
  <c r="AJ20" i="1" a="1"/>
  <c r="AJ20" i="1" s="1"/>
  <c r="AI82" i="1" s="1"/>
  <c r="AJ7" i="1" a="1"/>
  <c r="AJ7" i="1" s="1"/>
  <c r="AJ69" i="1" s="1"/>
  <c r="AJ15" i="1" a="1"/>
  <c r="AJ15" i="1" s="1"/>
  <c r="AJ77" i="1" s="1"/>
  <c r="AJ10" i="1" a="1"/>
  <c r="AJ10" i="1" s="1"/>
  <c r="AJ72" i="1" s="1"/>
  <c r="AJ18" i="1" a="1"/>
  <c r="AJ18" i="1" s="1"/>
  <c r="AI80" i="1" s="1"/>
  <c r="AJ17" i="1" a="1"/>
  <c r="AJ17" i="1" s="1"/>
  <c r="AI79" i="1" s="1"/>
  <c r="AJ53" i="1" a="1"/>
  <c r="AJ53" i="1" s="1"/>
  <c r="AJ113" i="1" s="1"/>
  <c r="AJ9" i="1" a="1"/>
  <c r="AJ9" i="1" s="1"/>
  <c r="AI71" i="1" s="1"/>
  <c r="M1342" i="1"/>
  <c r="AJ8" i="1" a="1"/>
  <c r="AJ8" i="1" s="1"/>
  <c r="AI70" i="1" s="1"/>
  <c r="AJ108" i="1"/>
  <c r="AI108" i="1"/>
  <c r="AI88" i="1"/>
  <c r="AJ89" i="1"/>
  <c r="AI115" i="1"/>
  <c r="AJ115" i="1"/>
  <c r="AI95" i="1"/>
  <c r="AJ95" i="1"/>
  <c r="AI67" i="1"/>
  <c r="AJ67" i="1"/>
  <c r="AI77" i="1"/>
  <c r="AJ39" i="1" a="1"/>
  <c r="AJ39" i="1" s="1"/>
  <c r="AJ4" i="1" a="1"/>
  <c r="AJ4" i="1" s="1"/>
  <c r="AJ16" i="1" a="1"/>
  <c r="AJ16" i="1" s="1"/>
  <c r="AJ22" i="1" a="1"/>
  <c r="AJ22" i="1" s="1"/>
  <c r="AJ25" i="1" a="1"/>
  <c r="AJ25" i="1" s="1"/>
  <c r="AI117" i="1"/>
  <c r="AJ117" i="1"/>
  <c r="AI107" i="1"/>
  <c r="AJ107" i="1"/>
  <c r="AJ49" i="1" a="1"/>
  <c r="AJ49" i="1" s="1"/>
  <c r="AJ36" i="1" a="1"/>
  <c r="AJ36" i="1" s="1"/>
  <c r="AJ52" i="1" a="1"/>
  <c r="AJ52" i="1" s="1"/>
  <c r="M68" i="1"/>
  <c r="AJ121" i="1"/>
  <c r="AI121" i="1"/>
  <c r="M24" i="1"/>
  <c r="AJ12" i="1" a="1"/>
  <c r="AJ12" i="1" s="1"/>
  <c r="AJ24" i="1" a="1"/>
  <c r="AJ24" i="1" s="1"/>
  <c r="AJ116" i="1"/>
  <c r="AI116" i="1"/>
  <c r="AI103" i="1"/>
  <c r="AJ103" i="1"/>
  <c r="AI105" i="1"/>
  <c r="AJ54" i="1" a="1"/>
  <c r="AJ54" i="1" s="1"/>
  <c r="Z85" i="1" a="1"/>
  <c r="Z85" i="1" s="1"/>
  <c r="AB192" i="1" s="1"/>
  <c r="AJ62" i="1" a="1"/>
  <c r="AJ62" i="1" s="1"/>
  <c r="AJ120" i="1"/>
  <c r="AI120" i="1"/>
  <c r="AJ28" i="1" a="1"/>
  <c r="AJ28" i="1" s="1"/>
  <c r="AJ13" i="1" a="1"/>
  <c r="AJ13" i="1" s="1"/>
  <c r="AJ2" i="1" a="1"/>
  <c r="AJ2" i="1" s="1"/>
  <c r="AJ40" i="1" a="1"/>
  <c r="AJ40" i="1" s="1"/>
  <c r="AI118" i="1"/>
  <c r="AJ118" i="1"/>
  <c r="AI110" i="1"/>
  <c r="AJ110" i="1"/>
  <c r="AI106" i="1"/>
  <c r="AJ106" i="1"/>
  <c r="AJ104" i="1"/>
  <c r="AI104" i="1"/>
  <c r="AJ35" i="1" a="1"/>
  <c r="AJ35" i="1" s="1"/>
  <c r="AJ37" i="1" a="1"/>
  <c r="AJ37" i="1" s="1"/>
  <c r="M36" i="1"/>
  <c r="AJ30" i="1" a="1"/>
  <c r="AJ30" i="1" s="1"/>
  <c r="AI76" i="1"/>
  <c r="AJ76" i="1"/>
  <c r="X141" i="1"/>
  <c r="AA156" i="1"/>
  <c r="Y156" i="1"/>
  <c r="Z19" i="1" a="1"/>
  <c r="Z19" i="1" s="1"/>
  <c r="X128" i="1" s="1"/>
  <c r="Y119" i="1"/>
  <c r="AB119" i="1"/>
  <c r="AB211" i="1"/>
  <c r="Y211" i="1"/>
  <c r="Y117" i="1"/>
  <c r="AB117" i="1"/>
  <c r="AB163" i="1"/>
  <c r="Y163" i="1"/>
  <c r="Y213" i="1"/>
  <c r="AB213" i="1"/>
  <c r="Y190" i="1"/>
  <c r="AB190" i="1"/>
  <c r="Y142" i="1"/>
  <c r="AB142" i="1"/>
  <c r="Y195" i="1"/>
  <c r="AB195" i="1"/>
  <c r="AB165" i="1"/>
  <c r="Y165" i="1"/>
  <c r="AB155" i="1"/>
  <c r="Y155" i="1"/>
  <c r="AB200" i="1"/>
  <c r="Y200" i="1"/>
  <c r="AB176" i="1"/>
  <c r="Y126" i="1"/>
  <c r="AB126" i="1"/>
  <c r="Y131" i="1"/>
  <c r="AB131" i="1"/>
  <c r="Z139" i="1"/>
  <c r="Y206" i="1"/>
  <c r="AB206" i="1"/>
  <c r="X113" i="1"/>
  <c r="Y113" i="1"/>
  <c r="AB113" i="1"/>
  <c r="AA113" i="1"/>
  <c r="Y183" i="1"/>
  <c r="AB183" i="1"/>
  <c r="AB147" i="1"/>
  <c r="Y147" i="1"/>
  <c r="AB197" i="1"/>
  <c r="Y197" i="1"/>
  <c r="Y178" i="1"/>
  <c r="AB178" i="1"/>
  <c r="Y174" i="1"/>
  <c r="AB174" i="1"/>
  <c r="W139" i="1"/>
  <c r="Y193" i="1"/>
  <c r="AB193" i="1"/>
  <c r="Y192" i="1"/>
  <c r="AB141" i="1"/>
  <c r="Y141" i="1"/>
  <c r="AA211" i="1"/>
  <c r="X211" i="1"/>
  <c r="AA117" i="1"/>
  <c r="X117" i="1"/>
  <c r="X163" i="1"/>
  <c r="AA163" i="1"/>
  <c r="AA213" i="1"/>
  <c r="X213" i="1"/>
  <c r="AA142" i="1"/>
  <c r="X142" i="1"/>
  <c r="X195" i="1"/>
  <c r="AA195" i="1"/>
  <c r="X165" i="1"/>
  <c r="AA165" i="1"/>
  <c r="X155" i="1"/>
  <c r="AA155" i="1"/>
  <c r="AA200" i="1"/>
  <c r="X200" i="1"/>
  <c r="AA176" i="1"/>
  <c r="AA126" i="1"/>
  <c r="X126" i="1"/>
  <c r="AA131" i="1"/>
  <c r="W113" i="1"/>
  <c r="Z113" i="1"/>
  <c r="AA183" i="1"/>
  <c r="X183" i="1"/>
  <c r="X147" i="1"/>
  <c r="AA147" i="1"/>
  <c r="X197" i="1"/>
  <c r="AA197" i="1"/>
  <c r="AA178" i="1"/>
  <c r="X178" i="1"/>
  <c r="AA174" i="1"/>
  <c r="X174" i="1"/>
  <c r="AA190" i="1"/>
  <c r="X190" i="1"/>
  <c r="AA206" i="1"/>
  <c r="X206" i="1"/>
  <c r="AA119" i="1"/>
  <c r="X119" i="1"/>
  <c r="AA193" i="1"/>
  <c r="X193" i="1"/>
  <c r="Z74" i="1" a="1"/>
  <c r="Z74" i="1" s="1"/>
  <c r="M1542" i="1"/>
  <c r="N1542" i="1" s="1"/>
  <c r="Z101" i="1" a="1"/>
  <c r="Z101" i="1" s="1"/>
  <c r="W173" i="1"/>
  <c r="Z173" i="1"/>
  <c r="W169" i="1"/>
  <c r="Z169" i="1"/>
  <c r="Z77" i="1" a="1"/>
  <c r="Z77" i="1" s="1"/>
  <c r="Z103" i="1" a="1"/>
  <c r="Z103" i="1" s="1"/>
  <c r="W184" i="1"/>
  <c r="Z184" i="1"/>
  <c r="Z79" i="1" a="1"/>
  <c r="Z79" i="1" s="1"/>
  <c r="Z198" i="1"/>
  <c r="W198" i="1"/>
  <c r="W119" i="1"/>
  <c r="Z119" i="1"/>
  <c r="W187" i="1"/>
  <c r="Z187" i="1"/>
  <c r="W145" i="1"/>
  <c r="Z145" i="1"/>
  <c r="W191" i="1"/>
  <c r="Z191" i="1"/>
  <c r="Z87" i="1" a="1"/>
  <c r="Z87" i="1" s="1"/>
  <c r="W117" i="1"/>
  <c r="Z117" i="1"/>
  <c r="W159" i="1"/>
  <c r="Z159" i="1"/>
  <c r="Z205" i="1"/>
  <c r="W205" i="1"/>
  <c r="Z181" i="1"/>
  <c r="W140" i="1"/>
  <c r="Z140" i="1"/>
  <c r="Z96" i="1" a="1"/>
  <c r="Z96" i="1" s="1"/>
  <c r="W189" i="1"/>
  <c r="Z189" i="1"/>
  <c r="Z49" i="1" a="1"/>
  <c r="Z49" i="1" s="1"/>
  <c r="W152" i="1"/>
  <c r="Z152" i="1"/>
  <c r="Z193" i="1"/>
  <c r="W193" i="1"/>
  <c r="Z171" i="1"/>
  <c r="W126" i="1"/>
  <c r="Z126" i="1"/>
  <c r="Z97" i="1" a="1"/>
  <c r="Z97" i="1" s="1"/>
  <c r="Z31" i="1" a="1"/>
  <c r="Z31" i="1" s="1"/>
  <c r="Z3" i="1" a="1"/>
  <c r="Z3" i="1" s="1"/>
  <c r="Z65" i="1" a="1"/>
  <c r="Z65" i="1" s="1"/>
  <c r="Z99" i="1" a="1"/>
  <c r="Z99" i="1" s="1"/>
  <c r="Z15" i="1" a="1"/>
  <c r="Z15" i="1" s="1"/>
  <c r="Z38" i="1" a="1"/>
  <c r="Z38" i="1" s="1"/>
  <c r="Z75" i="1" a="1"/>
  <c r="Z75" i="1" s="1"/>
  <c r="Z10" i="1" a="1"/>
  <c r="Z10" i="1" s="1"/>
  <c r="Z93" i="1" a="1"/>
  <c r="Z93" i="1" s="1"/>
  <c r="Z84" i="1" a="1"/>
  <c r="Z84" i="1" s="1"/>
  <c r="Z81" i="1" a="1"/>
  <c r="Z81" i="1" s="1"/>
  <c r="Z58" i="1" a="1"/>
  <c r="Z58" i="1" s="1"/>
  <c r="Z50" i="1" a="1"/>
  <c r="Z50" i="1" s="1"/>
  <c r="Z5" i="1" a="1"/>
  <c r="Z5" i="1" s="1"/>
  <c r="Z41" i="1" a="1"/>
  <c r="Z41" i="1" s="1"/>
  <c r="Z78" i="1" a="1"/>
  <c r="Z78" i="1" s="1"/>
  <c r="Z7" i="1" a="1"/>
  <c r="Z7" i="1" s="1"/>
  <c r="Z29" i="1" a="1"/>
  <c r="Z29" i="1" s="1"/>
  <c r="Z28" i="1" a="1"/>
  <c r="Z28" i="1" s="1"/>
  <c r="Z13" i="1" a="1"/>
  <c r="Z13" i="1" s="1"/>
  <c r="Z26" i="1" a="1"/>
  <c r="Z26" i="1" s="1"/>
  <c r="Z109" i="1" a="1"/>
  <c r="Z109" i="1" s="1"/>
  <c r="W206" i="1" s="1"/>
  <c r="Z51" i="1" a="1"/>
  <c r="Z51" i="1" s="1"/>
  <c r="Z107" i="1" a="1"/>
  <c r="Z107" i="1" s="1"/>
  <c r="Z59" i="1" a="1"/>
  <c r="Z59" i="1" s="1"/>
  <c r="Z82" i="1" a="1"/>
  <c r="Z82" i="1" s="1"/>
  <c r="Z14" i="1" a="1"/>
  <c r="Z14" i="1" s="1"/>
  <c r="Z21" i="1" a="1"/>
  <c r="Z21" i="1" s="1"/>
  <c r="Z63" i="1" a="1"/>
  <c r="Z63" i="1" s="1"/>
  <c r="Z72" i="1" a="1"/>
  <c r="Z72" i="1" s="1"/>
  <c r="Z27" i="1" a="1"/>
  <c r="Z27" i="1" s="1"/>
  <c r="Z53" i="1" a="1"/>
  <c r="Z53" i="1" s="1"/>
  <c r="Z56" i="1" a="1"/>
  <c r="Z56" i="1" s="1"/>
  <c r="Z40" i="1" a="1"/>
  <c r="Z40" i="1" s="1"/>
  <c r="Z20" i="1" a="1"/>
  <c r="Z20" i="1" s="1"/>
  <c r="Z64" i="1" a="1"/>
  <c r="Z64" i="1" s="1"/>
  <c r="Z45" i="1" a="1"/>
  <c r="Z45" i="1" s="1"/>
  <c r="Z54" i="1" a="1"/>
  <c r="Z54" i="1" s="1"/>
  <c r="Z61" i="1" a="1"/>
  <c r="Z61" i="1" s="1"/>
  <c r="Z68" i="1" a="1"/>
  <c r="Z68" i="1" s="1"/>
  <c r="Z23" i="1" a="1"/>
  <c r="Z23" i="1" s="1"/>
  <c r="Z60" i="1" a="1"/>
  <c r="Z60" i="1" s="1"/>
  <c r="Z32" i="1" a="1"/>
  <c r="Z32" i="1" s="1"/>
  <c r="Z4" i="1" a="1"/>
  <c r="Z4" i="1" s="1"/>
  <c r="Z102" i="1" a="1"/>
  <c r="Z102" i="1" s="1"/>
  <c r="Z43" i="1" a="1"/>
  <c r="Z43" i="1" s="1"/>
  <c r="Z95" i="1" a="1"/>
  <c r="Z95" i="1" s="1"/>
  <c r="Z62" i="1" a="1"/>
  <c r="Z62" i="1" s="1"/>
  <c r="Z42" i="1" a="1"/>
  <c r="Z42" i="1" s="1"/>
  <c r="Z35" i="1" a="1"/>
  <c r="Z35" i="1" s="1"/>
  <c r="Z44" i="1" a="1"/>
  <c r="Z44" i="1" s="1"/>
  <c r="Z18" i="1" a="1"/>
  <c r="Z18" i="1" s="1"/>
  <c r="Z30" i="1" a="1"/>
  <c r="Z30" i="1" s="1"/>
  <c r="Z46" i="1" a="1"/>
  <c r="Z46" i="1" s="1"/>
  <c r="Z92" i="1" a="1"/>
  <c r="Z92" i="1" s="1"/>
  <c r="Z90" i="1" a="1"/>
  <c r="Z90" i="1" s="1"/>
  <c r="Z70" i="1" a="1"/>
  <c r="Z70" i="1" s="1"/>
  <c r="Z52" i="1" a="1"/>
  <c r="Z52" i="1" s="1"/>
  <c r="Z104" i="1" a="1"/>
  <c r="Z104" i="1" s="1"/>
  <c r="Z88" i="1" a="1"/>
  <c r="Z88" i="1" s="1"/>
  <c r="Z25" i="1" a="1"/>
  <c r="Z25" i="1" s="1"/>
  <c r="Z73" i="1" a="1"/>
  <c r="Z73" i="1" s="1"/>
  <c r="Z24" i="1" a="1"/>
  <c r="Z24" i="1" s="1"/>
  <c r="Z66" i="1" a="1"/>
  <c r="Z66" i="1" s="1"/>
  <c r="Z36" i="1" a="1"/>
  <c r="Z36" i="1" s="1"/>
  <c r="Z37" i="1" a="1"/>
  <c r="Z37" i="1" s="1"/>
  <c r="M590" i="1"/>
  <c r="M1034" i="1"/>
  <c r="M1497" i="1"/>
  <c r="M1513" i="1"/>
  <c r="M1529" i="1"/>
  <c r="M1545" i="1"/>
  <c r="M1169" i="1"/>
  <c r="M1185" i="1"/>
  <c r="M1201" i="1"/>
  <c r="N1201" i="1" s="1"/>
  <c r="M1217" i="1"/>
  <c r="M1233" i="1"/>
  <c r="M1249" i="1"/>
  <c r="M1265" i="1"/>
  <c r="M1281" i="1"/>
  <c r="M1297" i="1"/>
  <c r="M869" i="1"/>
  <c r="M885" i="1"/>
  <c r="M901" i="1"/>
  <c r="M921" i="1"/>
  <c r="M937" i="1"/>
  <c r="M953" i="1"/>
  <c r="M969" i="1"/>
  <c r="M145" i="1"/>
  <c r="M1449" i="1"/>
  <c r="M989" i="1"/>
  <c r="M653" i="1"/>
  <c r="M697" i="1"/>
  <c r="M621" i="1"/>
  <c r="M485" i="1"/>
  <c r="M529" i="1"/>
  <c r="M241" i="1"/>
  <c r="M289" i="1"/>
  <c r="M333" i="1"/>
  <c r="M389" i="1"/>
  <c r="M1057" i="1"/>
  <c r="M1073" i="1"/>
  <c r="M1089" i="1"/>
  <c r="M1105" i="1"/>
  <c r="M1121" i="1"/>
  <c r="M1137" i="1"/>
  <c r="M1153" i="1"/>
  <c r="M1041" i="1"/>
  <c r="M733" i="1"/>
  <c r="M749" i="1"/>
  <c r="M765" i="1"/>
  <c r="M781" i="1"/>
  <c r="M797" i="1"/>
  <c r="M813" i="1"/>
  <c r="M829" i="1"/>
  <c r="M845" i="1"/>
  <c r="M545" i="1"/>
  <c r="M561" i="1"/>
  <c r="M577" i="1"/>
  <c r="M397" i="1"/>
  <c r="M413" i="1"/>
  <c r="M429" i="1"/>
  <c r="M445" i="1"/>
  <c r="M1441" i="1"/>
  <c r="M997" i="1"/>
  <c r="M669" i="1"/>
  <c r="M613" i="1"/>
  <c r="M473" i="1"/>
  <c r="M521" i="1"/>
  <c r="M245" i="1"/>
  <c r="M293" i="1"/>
  <c r="M341" i="1"/>
  <c r="M381" i="1"/>
  <c r="M721" i="1"/>
  <c r="M1164" i="1"/>
  <c r="M1465" i="1"/>
  <c r="M1001" i="1"/>
  <c r="M657" i="1"/>
  <c r="M693" i="1"/>
  <c r="M609" i="1"/>
  <c r="M465" i="1"/>
  <c r="M513" i="1"/>
  <c r="M233" i="1"/>
  <c r="M285" i="1"/>
  <c r="M337" i="1"/>
  <c r="M385" i="1"/>
  <c r="M1500" i="1"/>
  <c r="M1516" i="1"/>
  <c r="M1532" i="1"/>
  <c r="M1548" i="1"/>
  <c r="M1047" i="1"/>
  <c r="M1063" i="1"/>
  <c r="M1079" i="1"/>
  <c r="M1095" i="1"/>
  <c r="M1111" i="1"/>
  <c r="M1127" i="1"/>
  <c r="M1143" i="1"/>
  <c r="M1163" i="1"/>
  <c r="M1180" i="1"/>
  <c r="M1196" i="1"/>
  <c r="M1212" i="1"/>
  <c r="M1228" i="1"/>
  <c r="M1244" i="1"/>
  <c r="M1264" i="1"/>
  <c r="M1280" i="1"/>
  <c r="M1296" i="1"/>
  <c r="M856" i="1"/>
  <c r="M872" i="1"/>
  <c r="M888" i="1"/>
  <c r="M904" i="1"/>
  <c r="M920" i="1"/>
  <c r="M936" i="1"/>
  <c r="M952" i="1"/>
  <c r="M968" i="1"/>
  <c r="M144" i="1"/>
  <c r="M1443" i="1"/>
  <c r="M1459" i="1"/>
  <c r="M1475" i="1"/>
  <c r="M1044" i="1"/>
  <c r="M1060" i="1"/>
  <c r="M1076" i="1"/>
  <c r="M1092" i="1"/>
  <c r="M1108" i="1"/>
  <c r="M1124" i="1"/>
  <c r="M1140" i="1"/>
  <c r="M1156" i="1"/>
  <c r="M852" i="1"/>
  <c r="M736" i="1"/>
  <c r="M752" i="1"/>
  <c r="M768" i="1"/>
  <c r="M784" i="1"/>
  <c r="M800" i="1"/>
  <c r="M816" i="1"/>
  <c r="M832" i="1"/>
  <c r="M848" i="1"/>
  <c r="M548" i="1"/>
  <c r="M568" i="1"/>
  <c r="M588" i="1"/>
  <c r="M420" i="1"/>
  <c r="M452" i="1"/>
  <c r="M1460" i="1"/>
  <c r="M984" i="1"/>
  <c r="M1012" i="1"/>
  <c r="M668" i="1"/>
  <c r="M700" i="1"/>
  <c r="M604" i="1"/>
  <c r="M636" i="1"/>
  <c r="M476" i="1"/>
  <c r="M508" i="1"/>
  <c r="M216" i="1"/>
  <c r="M244" i="1"/>
  <c r="M280" i="1"/>
  <c r="M312" i="1"/>
  <c r="N312" i="1" s="1"/>
  <c r="M340" i="1"/>
  <c r="M372" i="1"/>
  <c r="M584" i="1"/>
  <c r="M432" i="1"/>
  <c r="M1440" i="1"/>
  <c r="N1440" i="1" s="1"/>
  <c r="M1472" i="1"/>
  <c r="M1000" i="1"/>
  <c r="M1032" i="1"/>
  <c r="M680" i="1"/>
  <c r="M716" i="1"/>
  <c r="M616" i="1"/>
  <c r="M464" i="1"/>
  <c r="M496" i="1"/>
  <c r="M528" i="1"/>
  <c r="M228" i="1"/>
  <c r="M260" i="1"/>
  <c r="M292" i="1"/>
  <c r="M324" i="1"/>
  <c r="M360" i="1"/>
  <c r="M392" i="1"/>
  <c r="M999" i="1"/>
  <c r="M1015" i="1"/>
  <c r="M1031" i="1"/>
  <c r="M663" i="1"/>
  <c r="M679" i="1"/>
  <c r="M695" i="1"/>
  <c r="M711" i="1"/>
  <c r="M599" i="1"/>
  <c r="M615" i="1"/>
  <c r="M631" i="1"/>
  <c r="M463" i="1"/>
  <c r="M479" i="1"/>
  <c r="M495" i="1"/>
  <c r="M511" i="1"/>
  <c r="M527" i="1"/>
  <c r="M211" i="1"/>
  <c r="M227" i="1"/>
  <c r="M243" i="1"/>
  <c r="M259" i="1"/>
  <c r="M275" i="1"/>
  <c r="M291" i="1"/>
  <c r="M307" i="1"/>
  <c r="M323" i="1"/>
  <c r="M339" i="1"/>
  <c r="M355" i="1"/>
  <c r="M371" i="1"/>
  <c r="M387" i="1"/>
  <c r="M1442" i="1"/>
  <c r="M1458" i="1"/>
  <c r="M1478" i="1"/>
  <c r="M723" i="1"/>
  <c r="M739" i="1"/>
  <c r="M755" i="1"/>
  <c r="M771" i="1"/>
  <c r="M787" i="1"/>
  <c r="M803" i="1"/>
  <c r="M819" i="1"/>
  <c r="M835" i="1"/>
  <c r="M535" i="1"/>
  <c r="M551" i="1"/>
  <c r="M567" i="1"/>
  <c r="M583" i="1"/>
  <c r="M407" i="1"/>
  <c r="M423" i="1"/>
  <c r="M439" i="1"/>
  <c r="M455" i="1"/>
  <c r="M998" i="1"/>
  <c r="M1014" i="1"/>
  <c r="M1030" i="1"/>
  <c r="M662" i="1"/>
  <c r="M678" i="1"/>
  <c r="M694" i="1"/>
  <c r="M710" i="1"/>
  <c r="M598" i="1"/>
  <c r="M614" i="1"/>
  <c r="M630" i="1"/>
  <c r="M646" i="1"/>
  <c r="M474" i="1"/>
  <c r="M490" i="1"/>
  <c r="M506" i="1"/>
  <c r="M522" i="1"/>
  <c r="M206" i="1"/>
  <c r="M222" i="1"/>
  <c r="M238" i="1"/>
  <c r="M254" i="1"/>
  <c r="M270" i="1"/>
  <c r="M286" i="1"/>
  <c r="M302" i="1"/>
  <c r="M318" i="1"/>
  <c r="M334" i="1"/>
  <c r="M350" i="1"/>
  <c r="M366" i="1"/>
  <c r="M382" i="1"/>
  <c r="M1501" i="1"/>
  <c r="M1517" i="1"/>
  <c r="M1533" i="1"/>
  <c r="M1549" i="1"/>
  <c r="M1173" i="1"/>
  <c r="M1189" i="1"/>
  <c r="M1205" i="1"/>
  <c r="M1221" i="1"/>
  <c r="M1237" i="1"/>
  <c r="M1253" i="1"/>
  <c r="N1253" i="1" s="1"/>
  <c r="M1269" i="1"/>
  <c r="M1285" i="1"/>
  <c r="M857" i="1"/>
  <c r="M873" i="1"/>
  <c r="M889" i="1"/>
  <c r="M909" i="1"/>
  <c r="M925" i="1"/>
  <c r="M941" i="1"/>
  <c r="M957" i="1"/>
  <c r="M973" i="1"/>
  <c r="M69" i="1"/>
  <c r="M1461" i="1"/>
  <c r="M1005" i="1"/>
  <c r="M661" i="1"/>
  <c r="M709" i="1"/>
  <c r="M633" i="1"/>
  <c r="M497" i="1"/>
  <c r="M209" i="1"/>
  <c r="M253" i="1"/>
  <c r="M297" i="1"/>
  <c r="M349" i="1"/>
  <c r="M459" i="1"/>
  <c r="M1045" i="1"/>
  <c r="M1061" i="1"/>
  <c r="M1077" i="1"/>
  <c r="M1093" i="1"/>
  <c r="M1109" i="1"/>
  <c r="M1125" i="1"/>
  <c r="M1141" i="1"/>
  <c r="M1157" i="1"/>
  <c r="M853" i="1"/>
  <c r="M737" i="1"/>
  <c r="M753" i="1"/>
  <c r="M769" i="1"/>
  <c r="M785" i="1"/>
  <c r="M801" i="1"/>
  <c r="M817" i="1"/>
  <c r="M833" i="1"/>
  <c r="M533" i="1"/>
  <c r="M549" i="1"/>
  <c r="M565" i="1"/>
  <c r="M581" i="1"/>
  <c r="M401" i="1"/>
  <c r="M417" i="1"/>
  <c r="M433" i="1"/>
  <c r="M449" i="1"/>
  <c r="M1457" i="1"/>
  <c r="M1009" i="1"/>
  <c r="M681" i="1"/>
  <c r="M625" i="1"/>
  <c r="M481" i="1"/>
  <c r="M213" i="1"/>
  <c r="M257" i="1"/>
  <c r="M305" i="1"/>
  <c r="M345" i="1"/>
  <c r="M393" i="1"/>
  <c r="M1477" i="1"/>
  <c r="M1013" i="1"/>
  <c r="M665" i="1"/>
  <c r="M705" i="1"/>
  <c r="M617" i="1"/>
  <c r="M477" i="1"/>
  <c r="N477" i="1" s="1"/>
  <c r="M525" i="1"/>
  <c r="M249" i="1"/>
  <c r="M301" i="1"/>
  <c r="M353" i="1"/>
  <c r="M1493" i="1"/>
  <c r="M1504" i="1"/>
  <c r="M1520" i="1"/>
  <c r="M1536" i="1"/>
  <c r="M1552" i="1"/>
  <c r="M1051" i="1"/>
  <c r="M1067" i="1"/>
  <c r="M1083" i="1"/>
  <c r="M1099" i="1"/>
  <c r="M1115" i="1"/>
  <c r="M1131" i="1"/>
  <c r="M1147" i="1"/>
  <c r="M1168" i="1"/>
  <c r="M1184" i="1"/>
  <c r="M1200" i="1"/>
  <c r="M1216" i="1"/>
  <c r="M1232" i="1"/>
  <c r="M1252" i="1"/>
  <c r="M1268" i="1"/>
  <c r="M1284" i="1"/>
  <c r="N1284" i="1" s="1"/>
  <c r="M1300" i="1"/>
  <c r="M860" i="1"/>
  <c r="M876" i="1"/>
  <c r="M892" i="1"/>
  <c r="M908" i="1"/>
  <c r="M924" i="1"/>
  <c r="M940" i="1"/>
  <c r="M956" i="1"/>
  <c r="M972" i="1"/>
  <c r="M72" i="1"/>
  <c r="M1447" i="1"/>
  <c r="M1463" i="1"/>
  <c r="M1479" i="1"/>
  <c r="M1048" i="1"/>
  <c r="M1064" i="1"/>
  <c r="M1080" i="1"/>
  <c r="M1096" i="1"/>
  <c r="M1112" i="1"/>
  <c r="M1128" i="1"/>
  <c r="M1144" i="1"/>
  <c r="M1160" i="1"/>
  <c r="M724" i="1"/>
  <c r="M740" i="1"/>
  <c r="M756" i="1"/>
  <c r="M772" i="1"/>
  <c r="M788" i="1"/>
  <c r="M804" i="1"/>
  <c r="M820" i="1"/>
  <c r="M836" i="1"/>
  <c r="M536" i="1"/>
  <c r="M552" i="1"/>
  <c r="M572" i="1"/>
  <c r="M400" i="1"/>
  <c r="M428" i="1"/>
  <c r="M1436" i="1"/>
  <c r="M1468" i="1"/>
  <c r="M988" i="1"/>
  <c r="M1020" i="1"/>
  <c r="M676" i="1"/>
  <c r="M708" i="1"/>
  <c r="M612" i="1"/>
  <c r="M644" i="1"/>
  <c r="M484" i="1"/>
  <c r="M516" i="1"/>
  <c r="M224" i="1"/>
  <c r="M252" i="1"/>
  <c r="M288" i="1"/>
  <c r="M320" i="1"/>
  <c r="M348" i="1"/>
  <c r="M380" i="1"/>
  <c r="M408" i="1"/>
  <c r="M440" i="1"/>
  <c r="M1448" i="1"/>
  <c r="M1480" i="1"/>
  <c r="M1008" i="1"/>
  <c r="M656" i="1"/>
  <c r="M688" i="1"/>
  <c r="M596" i="1"/>
  <c r="M624" i="1"/>
  <c r="M472" i="1"/>
  <c r="M504" i="1"/>
  <c r="M204" i="1"/>
  <c r="M236" i="1"/>
  <c r="M268" i="1"/>
  <c r="M300" i="1"/>
  <c r="M332" i="1"/>
  <c r="M368" i="1"/>
  <c r="M987" i="1"/>
  <c r="M1003" i="1"/>
  <c r="M1019" i="1"/>
  <c r="M983" i="1"/>
  <c r="M667" i="1"/>
  <c r="M683" i="1"/>
  <c r="M699" i="1"/>
  <c r="M715" i="1"/>
  <c r="M603" i="1"/>
  <c r="M619" i="1"/>
  <c r="M635" i="1"/>
  <c r="M467" i="1"/>
  <c r="M483" i="1"/>
  <c r="M499" i="1"/>
  <c r="M515" i="1"/>
  <c r="M531" i="1"/>
  <c r="M215" i="1"/>
  <c r="M231" i="1"/>
  <c r="M247" i="1"/>
  <c r="M263" i="1"/>
  <c r="M279" i="1"/>
  <c r="M295" i="1"/>
  <c r="M311" i="1"/>
  <c r="M327" i="1"/>
  <c r="M343" i="1"/>
  <c r="M359" i="1"/>
  <c r="M375" i="1"/>
  <c r="M391" i="1"/>
  <c r="M1446" i="1"/>
  <c r="M1462" i="1"/>
  <c r="M1482" i="1"/>
  <c r="M727" i="1"/>
  <c r="M743" i="1"/>
  <c r="M759" i="1"/>
  <c r="M775" i="1"/>
  <c r="M791" i="1"/>
  <c r="M807" i="1"/>
  <c r="M823" i="1"/>
  <c r="M839" i="1"/>
  <c r="M539" i="1"/>
  <c r="M555" i="1"/>
  <c r="M571" i="1"/>
  <c r="M587" i="1"/>
  <c r="M411" i="1"/>
  <c r="M427" i="1"/>
  <c r="M443" i="1"/>
  <c r="M986" i="1"/>
  <c r="M1002" i="1"/>
  <c r="M1018" i="1"/>
  <c r="M982" i="1"/>
  <c r="M666" i="1"/>
  <c r="M682" i="1"/>
  <c r="M698" i="1"/>
  <c r="M714" i="1"/>
  <c r="M602" i="1"/>
  <c r="M618" i="1"/>
  <c r="M634" i="1"/>
  <c r="M462" i="1"/>
  <c r="M478" i="1"/>
  <c r="M494" i="1"/>
  <c r="M510" i="1"/>
  <c r="M526" i="1"/>
  <c r="M210" i="1"/>
  <c r="M226" i="1"/>
  <c r="M242" i="1"/>
  <c r="M258" i="1"/>
  <c r="M274" i="1"/>
  <c r="N274" i="1" s="1"/>
  <c r="M290" i="1"/>
  <c r="M306" i="1"/>
  <c r="M322" i="1"/>
  <c r="M338" i="1"/>
  <c r="M354" i="1"/>
  <c r="M370" i="1"/>
  <c r="M386" i="1"/>
  <c r="M70" i="1"/>
  <c r="M650" i="1"/>
  <c r="M1490" i="1"/>
  <c r="M1505" i="1"/>
  <c r="M1521" i="1"/>
  <c r="M1537" i="1"/>
  <c r="M1553" i="1"/>
  <c r="M1177" i="1"/>
  <c r="M1193" i="1"/>
  <c r="M1209" i="1"/>
  <c r="M1225" i="1"/>
  <c r="M1241" i="1"/>
  <c r="M1257" i="1"/>
  <c r="M1273" i="1"/>
  <c r="M1289" i="1"/>
  <c r="M861" i="1"/>
  <c r="M877" i="1"/>
  <c r="M893" i="1"/>
  <c r="M913" i="1"/>
  <c r="M929" i="1"/>
  <c r="M945" i="1"/>
  <c r="M961" i="1"/>
  <c r="M197" i="1"/>
  <c r="M1433" i="1"/>
  <c r="M1473" i="1"/>
  <c r="M1017" i="1"/>
  <c r="M673" i="1"/>
  <c r="M597" i="1"/>
  <c r="M593" i="1"/>
  <c r="M509" i="1"/>
  <c r="M217" i="1"/>
  <c r="M269" i="1"/>
  <c r="M309" i="1"/>
  <c r="M361" i="1"/>
  <c r="M1049" i="1"/>
  <c r="M1065" i="1"/>
  <c r="M1081" i="1"/>
  <c r="M1097" i="1"/>
  <c r="M1113" i="1"/>
  <c r="M1129" i="1"/>
  <c r="N1129" i="1" s="1"/>
  <c r="M1145" i="1"/>
  <c r="M1161" i="1"/>
  <c r="M725" i="1"/>
  <c r="M741" i="1"/>
  <c r="M757" i="1"/>
  <c r="M773" i="1"/>
  <c r="M789" i="1"/>
  <c r="M805" i="1"/>
  <c r="M821" i="1"/>
  <c r="M837" i="1"/>
  <c r="M537" i="1"/>
  <c r="M553" i="1"/>
  <c r="M569" i="1"/>
  <c r="M585" i="1"/>
  <c r="M405" i="1"/>
  <c r="M421" i="1"/>
  <c r="M437" i="1"/>
  <c r="M453" i="1"/>
  <c r="M1469" i="1"/>
  <c r="M1021" i="1"/>
  <c r="M701" i="1"/>
  <c r="M637" i="1"/>
  <c r="M489" i="1"/>
  <c r="M225" i="1"/>
  <c r="M265" i="1"/>
  <c r="M313" i="1"/>
  <c r="M357" i="1"/>
  <c r="M649" i="1"/>
  <c r="M460" i="1"/>
  <c r="M1445" i="1"/>
  <c r="M985" i="1"/>
  <c r="M1029" i="1"/>
  <c r="M677" i="1"/>
  <c r="M717" i="1"/>
  <c r="M629" i="1"/>
  <c r="M493" i="1"/>
  <c r="M205" i="1"/>
  <c r="M261" i="1"/>
  <c r="M317" i="1"/>
  <c r="M365" i="1"/>
  <c r="M1508" i="1"/>
  <c r="M1524" i="1"/>
  <c r="M1540" i="1"/>
  <c r="M1492" i="1"/>
  <c r="M1055" i="1"/>
  <c r="M1071" i="1"/>
  <c r="M1087" i="1"/>
  <c r="M1103" i="1"/>
  <c r="M1119" i="1"/>
  <c r="M1135" i="1"/>
  <c r="M1151" i="1"/>
  <c r="M1172" i="1"/>
  <c r="M1188" i="1"/>
  <c r="M1204" i="1"/>
  <c r="M1220" i="1"/>
  <c r="M1236" i="1"/>
  <c r="M1256" i="1"/>
  <c r="M1272" i="1"/>
  <c r="M1288" i="1"/>
  <c r="M1035" i="1"/>
  <c r="M864" i="1"/>
  <c r="M880" i="1"/>
  <c r="M896" i="1"/>
  <c r="M912" i="1"/>
  <c r="M928" i="1"/>
  <c r="M944" i="1"/>
  <c r="M960" i="1"/>
  <c r="M976" i="1"/>
  <c r="M1435" i="1"/>
  <c r="M1451" i="1"/>
  <c r="M1467" i="1"/>
  <c r="M1483" i="1"/>
  <c r="M1052" i="1"/>
  <c r="M1068" i="1"/>
  <c r="M1084" i="1"/>
  <c r="N1084" i="1" s="1"/>
  <c r="M1100" i="1"/>
  <c r="M1116" i="1"/>
  <c r="M1132" i="1"/>
  <c r="M1148" i="1"/>
  <c r="M1036" i="1"/>
  <c r="M728" i="1"/>
  <c r="M744" i="1"/>
  <c r="M760" i="1"/>
  <c r="M776" i="1"/>
  <c r="M792" i="1"/>
  <c r="M808" i="1"/>
  <c r="M824" i="1"/>
  <c r="M840" i="1"/>
  <c r="M540" i="1"/>
  <c r="M556" i="1"/>
  <c r="M576" i="1"/>
  <c r="M404" i="1"/>
  <c r="M436" i="1"/>
  <c r="M1444" i="1"/>
  <c r="N1444" i="1" s="1"/>
  <c r="M1476" i="1"/>
  <c r="M996" i="1"/>
  <c r="M1028" i="1"/>
  <c r="M684" i="1"/>
  <c r="M712" i="1"/>
  <c r="M620" i="1"/>
  <c r="M648" i="1"/>
  <c r="M492" i="1"/>
  <c r="M524" i="1"/>
  <c r="M232" i="1"/>
  <c r="M264" i="1"/>
  <c r="M296" i="1"/>
  <c r="M328" i="1"/>
  <c r="M356" i="1"/>
  <c r="M388" i="1"/>
  <c r="M416" i="1"/>
  <c r="M448" i="1"/>
  <c r="M1456" i="1"/>
  <c r="M1432" i="1"/>
  <c r="M1016" i="1"/>
  <c r="M664" i="1"/>
  <c r="M696" i="1"/>
  <c r="M600" i="1"/>
  <c r="M632" i="1"/>
  <c r="M480" i="1"/>
  <c r="M512" i="1"/>
  <c r="M212" i="1"/>
  <c r="M248" i="1"/>
  <c r="M276" i="1"/>
  <c r="M308" i="1"/>
  <c r="M344" i="1"/>
  <c r="M376" i="1"/>
  <c r="M991" i="1"/>
  <c r="M1007" i="1"/>
  <c r="M1023" i="1"/>
  <c r="M655" i="1"/>
  <c r="M671" i="1"/>
  <c r="M687" i="1"/>
  <c r="M703" i="1"/>
  <c r="M719" i="1"/>
  <c r="M607" i="1"/>
  <c r="M623" i="1"/>
  <c r="M639" i="1"/>
  <c r="M471" i="1"/>
  <c r="M487" i="1"/>
  <c r="M503" i="1"/>
  <c r="M519" i="1"/>
  <c r="M203" i="1"/>
  <c r="M219" i="1"/>
  <c r="M235" i="1"/>
  <c r="M251" i="1"/>
  <c r="M267" i="1"/>
  <c r="M283" i="1"/>
  <c r="M299" i="1"/>
  <c r="M315" i="1"/>
  <c r="M331" i="1"/>
  <c r="M347" i="1"/>
  <c r="M363" i="1"/>
  <c r="M379" i="1"/>
  <c r="M1434" i="1"/>
  <c r="M1450" i="1"/>
  <c r="M1466" i="1"/>
  <c r="M1486" i="1"/>
  <c r="M731" i="1"/>
  <c r="M747" i="1"/>
  <c r="M763" i="1"/>
  <c r="M779" i="1"/>
  <c r="M795" i="1"/>
  <c r="M811" i="1"/>
  <c r="M827" i="1"/>
  <c r="M843" i="1"/>
  <c r="M543" i="1"/>
  <c r="M559" i="1"/>
  <c r="M575" i="1"/>
  <c r="M399" i="1"/>
  <c r="M415" i="1"/>
  <c r="M431" i="1"/>
  <c r="M447" i="1"/>
  <c r="M990" i="1"/>
  <c r="M1006" i="1"/>
  <c r="M1022" i="1"/>
  <c r="M654" i="1"/>
  <c r="M670" i="1"/>
  <c r="M686" i="1"/>
  <c r="M702" i="1"/>
  <c r="M718" i="1"/>
  <c r="M606" i="1"/>
  <c r="M622" i="1"/>
  <c r="M638" i="1"/>
  <c r="M466" i="1"/>
  <c r="M482" i="1"/>
  <c r="M498" i="1"/>
  <c r="M514" i="1"/>
  <c r="M530" i="1"/>
  <c r="M214" i="1"/>
  <c r="M230" i="1"/>
  <c r="M246" i="1"/>
  <c r="M262" i="1"/>
  <c r="M278" i="1"/>
  <c r="M294" i="1"/>
  <c r="M310" i="1"/>
  <c r="M326" i="1"/>
  <c r="M342" i="1"/>
  <c r="M358" i="1"/>
  <c r="M374" i="1"/>
  <c r="M390" i="1"/>
  <c r="M1509" i="1"/>
  <c r="M1525" i="1"/>
  <c r="M1541" i="1"/>
  <c r="M1165" i="1"/>
  <c r="M1181" i="1"/>
  <c r="M1197" i="1"/>
  <c r="M1213" i="1"/>
  <c r="M1229" i="1"/>
  <c r="M1245" i="1"/>
  <c r="M1261" i="1"/>
  <c r="N1261" i="1" s="1"/>
  <c r="M1277" i="1"/>
  <c r="M1293" i="1"/>
  <c r="M865" i="1"/>
  <c r="M881" i="1"/>
  <c r="M897" i="1"/>
  <c r="M917" i="1"/>
  <c r="M933" i="1"/>
  <c r="M949" i="1"/>
  <c r="M965" i="1"/>
  <c r="M141" i="1"/>
  <c r="M1437" i="1"/>
  <c r="M1485" i="1"/>
  <c r="M1025" i="1"/>
  <c r="M685" i="1"/>
  <c r="M605" i="1"/>
  <c r="M469" i="1"/>
  <c r="M517" i="1"/>
  <c r="M229" i="1"/>
  <c r="M281" i="1"/>
  <c r="M321" i="1"/>
  <c r="M377" i="1"/>
  <c r="M1487" i="1"/>
  <c r="M1053" i="1"/>
  <c r="M1069" i="1"/>
  <c r="M1085" i="1"/>
  <c r="M1101" i="1"/>
  <c r="M1117" i="1"/>
  <c r="M1133" i="1"/>
  <c r="M1149" i="1"/>
  <c r="M1037" i="1"/>
  <c r="M729" i="1"/>
  <c r="M745" i="1"/>
  <c r="M761" i="1"/>
  <c r="M777" i="1"/>
  <c r="M793" i="1"/>
  <c r="M809" i="1"/>
  <c r="M825" i="1"/>
  <c r="M841" i="1"/>
  <c r="M541" i="1"/>
  <c r="M557" i="1"/>
  <c r="M573" i="1"/>
  <c r="M589" i="1"/>
  <c r="M409" i="1"/>
  <c r="M425" i="1"/>
  <c r="M441" i="1"/>
  <c r="M457" i="1"/>
  <c r="M1481" i="1"/>
  <c r="M1033" i="1"/>
  <c r="M713" i="1"/>
  <c r="M641" i="1"/>
  <c r="M501" i="1"/>
  <c r="M237" i="1"/>
  <c r="M277" i="1"/>
  <c r="M329" i="1"/>
  <c r="M369" i="1"/>
  <c r="M1453" i="1"/>
  <c r="M993" i="1"/>
  <c r="M981" i="1"/>
  <c r="M689" i="1"/>
  <c r="M601" i="1"/>
  <c r="M645" i="1"/>
  <c r="M505" i="1"/>
  <c r="M221" i="1"/>
  <c r="M273" i="1"/>
  <c r="M325" i="1"/>
  <c r="M373" i="1"/>
  <c r="M1496" i="1"/>
  <c r="M1512" i="1"/>
  <c r="M1528" i="1"/>
  <c r="M1544" i="1"/>
  <c r="M1043" i="1"/>
  <c r="M1059" i="1"/>
  <c r="M1075" i="1"/>
  <c r="M1091" i="1"/>
  <c r="M1107" i="1"/>
  <c r="M1123" i="1"/>
  <c r="M1139" i="1"/>
  <c r="M1155" i="1"/>
  <c r="M1176" i="1"/>
  <c r="M1192" i="1"/>
  <c r="M1208" i="1"/>
  <c r="M1224" i="1"/>
  <c r="M1240" i="1"/>
  <c r="M1260" i="1"/>
  <c r="M1276" i="1"/>
  <c r="M1292" i="1"/>
  <c r="M1039" i="1"/>
  <c r="M868" i="1"/>
  <c r="M884" i="1"/>
  <c r="M900" i="1"/>
  <c r="M916" i="1"/>
  <c r="M932" i="1"/>
  <c r="M948" i="1"/>
  <c r="M964" i="1"/>
  <c r="M140" i="1"/>
  <c r="M1439" i="1"/>
  <c r="N1439" i="1" s="1"/>
  <c r="M1455" i="1"/>
  <c r="M1471" i="1"/>
  <c r="M1488" i="1"/>
  <c r="M1056" i="1"/>
  <c r="M1072" i="1"/>
  <c r="M1088" i="1"/>
  <c r="M1104" i="1"/>
  <c r="M1120" i="1"/>
  <c r="M1136" i="1"/>
  <c r="M1152" i="1"/>
  <c r="M1040" i="1"/>
  <c r="M732" i="1"/>
  <c r="M748" i="1"/>
  <c r="M764" i="1"/>
  <c r="M780" i="1"/>
  <c r="M796" i="1"/>
  <c r="M812" i="1"/>
  <c r="M828" i="1"/>
  <c r="M844" i="1"/>
  <c r="M544" i="1"/>
  <c r="M564" i="1"/>
  <c r="M580" i="1"/>
  <c r="M412" i="1"/>
  <c r="M444" i="1"/>
  <c r="N444" i="1" s="1"/>
  <c r="M1452" i="1"/>
  <c r="M1484" i="1"/>
  <c r="M1004" i="1"/>
  <c r="M660" i="1"/>
  <c r="M692" i="1"/>
  <c r="M720" i="1"/>
  <c r="M628" i="1"/>
  <c r="M468" i="1"/>
  <c r="M500" i="1"/>
  <c r="M208" i="1"/>
  <c r="M240" i="1"/>
  <c r="M272" i="1"/>
  <c r="M304" i="1"/>
  <c r="M336" i="1"/>
  <c r="M364" i="1"/>
  <c r="M560" i="1"/>
  <c r="M424" i="1"/>
  <c r="M456" i="1"/>
  <c r="M1464" i="1"/>
  <c r="M992" i="1"/>
  <c r="M1024" i="1"/>
  <c r="M672" i="1"/>
  <c r="M704" i="1"/>
  <c r="M608" i="1"/>
  <c r="M640" i="1"/>
  <c r="M488" i="1"/>
  <c r="M520" i="1"/>
  <c r="M220" i="1"/>
  <c r="M256" i="1"/>
  <c r="M284" i="1"/>
  <c r="M316" i="1"/>
  <c r="M352" i="1"/>
  <c r="M384" i="1"/>
  <c r="M995" i="1"/>
  <c r="M1011" i="1"/>
  <c r="M1027" i="1"/>
  <c r="M659" i="1"/>
  <c r="M675" i="1"/>
  <c r="M691" i="1"/>
  <c r="M707" i="1"/>
  <c r="M595" i="1"/>
  <c r="M611" i="1"/>
  <c r="M627" i="1"/>
  <c r="M647" i="1"/>
  <c r="M475" i="1"/>
  <c r="M491" i="1"/>
  <c r="M507" i="1"/>
  <c r="M523" i="1"/>
  <c r="M207" i="1"/>
  <c r="M223" i="1"/>
  <c r="M239" i="1"/>
  <c r="M255" i="1"/>
  <c r="M271" i="1"/>
  <c r="M287" i="1"/>
  <c r="M303" i="1"/>
  <c r="M319" i="1"/>
  <c r="M335" i="1"/>
  <c r="M351" i="1"/>
  <c r="M367" i="1"/>
  <c r="M383" i="1"/>
  <c r="M1438" i="1"/>
  <c r="M1454" i="1"/>
  <c r="M1470" i="1"/>
  <c r="M851" i="1"/>
  <c r="M735" i="1"/>
  <c r="M751" i="1"/>
  <c r="M767" i="1"/>
  <c r="M783" i="1"/>
  <c r="M799" i="1"/>
  <c r="M815" i="1"/>
  <c r="M831" i="1"/>
  <c r="M847" i="1"/>
  <c r="M547" i="1"/>
  <c r="M563" i="1"/>
  <c r="M579" i="1"/>
  <c r="M403" i="1"/>
  <c r="M419" i="1"/>
  <c r="M435" i="1"/>
  <c r="M451" i="1"/>
  <c r="M994" i="1"/>
  <c r="M1010" i="1"/>
  <c r="M1026" i="1"/>
  <c r="M658" i="1"/>
  <c r="M674" i="1"/>
  <c r="M690" i="1"/>
  <c r="M706" i="1"/>
  <c r="M594" i="1"/>
  <c r="M610" i="1"/>
  <c r="M626" i="1"/>
  <c r="M642" i="1"/>
  <c r="M470" i="1"/>
  <c r="M486" i="1"/>
  <c r="M502" i="1"/>
  <c r="M518" i="1"/>
  <c r="M202" i="1"/>
  <c r="M218" i="1"/>
  <c r="M234" i="1"/>
  <c r="M250" i="1"/>
  <c r="M266" i="1"/>
  <c r="M282" i="1"/>
  <c r="M298" i="1"/>
  <c r="M314" i="1"/>
  <c r="M330" i="1"/>
  <c r="M346" i="1"/>
  <c r="M362" i="1"/>
  <c r="M378" i="1"/>
  <c r="M394" i="1"/>
  <c r="N758" i="1"/>
  <c r="N942" i="1"/>
  <c r="N1354" i="1"/>
  <c r="N871" i="1"/>
  <c r="N107" i="1"/>
  <c r="N1396" i="1"/>
  <c r="Z186" i="1" l="1"/>
  <c r="AI96" i="1"/>
  <c r="W181" i="1"/>
  <c r="AA192" i="1"/>
  <c r="AA187" i="1"/>
  <c r="AB187" i="1"/>
  <c r="AI93" i="1"/>
  <c r="X187" i="1"/>
  <c r="Z203" i="1"/>
  <c r="W186" i="1"/>
  <c r="AI113" i="1"/>
  <c r="AI65" i="1"/>
  <c r="AI85" i="1"/>
  <c r="W171" i="1"/>
  <c r="Y176" i="1"/>
  <c r="AI83" i="1"/>
  <c r="X192" i="1"/>
  <c r="AJ71" i="1"/>
  <c r="AJ79" i="1"/>
  <c r="AJ68" i="1"/>
  <c r="AI72" i="1"/>
  <c r="AJ91" i="1"/>
  <c r="W128" i="1"/>
  <c r="AJ70" i="1"/>
  <c r="AI69" i="1"/>
  <c r="Z128" i="1"/>
  <c r="AJ80" i="1"/>
  <c r="AJ82" i="1"/>
  <c r="AI73" i="1"/>
  <c r="AI64" i="1"/>
  <c r="AJ64" i="1"/>
  <c r="AI86" i="1"/>
  <c r="AJ86" i="1"/>
  <c r="AI109" i="1"/>
  <c r="AJ109" i="1"/>
  <c r="AI66" i="1"/>
  <c r="AJ66" i="1"/>
  <c r="AI99" i="1"/>
  <c r="AJ99" i="1"/>
  <c r="AI75" i="1"/>
  <c r="AJ75" i="1"/>
  <c r="AJ122" i="1"/>
  <c r="AI122" i="1"/>
  <c r="AI74" i="1"/>
  <c r="AJ74" i="1"/>
  <c r="AI87" i="1"/>
  <c r="AJ87" i="1"/>
  <c r="AJ97" i="1"/>
  <c r="AI97" i="1"/>
  <c r="AI90" i="1"/>
  <c r="AJ90" i="1"/>
  <c r="AJ112" i="1"/>
  <c r="AI112" i="1"/>
  <c r="AI84" i="1"/>
  <c r="AJ84" i="1"/>
  <c r="AI92" i="1"/>
  <c r="AJ92" i="1"/>
  <c r="AI101" i="1"/>
  <c r="AJ101" i="1"/>
  <c r="AI114" i="1"/>
  <c r="AJ114" i="1"/>
  <c r="AI98" i="1"/>
  <c r="AJ98" i="1"/>
  <c r="AI78" i="1"/>
  <c r="AJ78" i="1"/>
  <c r="AJ100" i="1"/>
  <c r="AI100" i="1"/>
  <c r="Y128" i="1"/>
  <c r="AB128" i="1"/>
  <c r="AA128" i="1"/>
  <c r="Y210" i="1"/>
  <c r="AB210" i="1"/>
  <c r="AB201" i="1"/>
  <c r="Y201" i="1"/>
  <c r="AB129" i="1"/>
  <c r="Y129" i="1"/>
  <c r="Y130" i="1"/>
  <c r="AB130" i="1"/>
  <c r="AB136" i="1"/>
  <c r="Y136" i="1"/>
  <c r="Y203" i="1"/>
  <c r="AB203" i="1"/>
  <c r="AB160" i="1"/>
  <c r="Y160" i="1"/>
  <c r="AB143" i="1"/>
  <c r="Y143" i="1"/>
  <c r="AB151" i="1"/>
  <c r="Y151" i="1"/>
  <c r="Y115" i="1"/>
  <c r="AB115" i="1"/>
  <c r="Y162" i="1"/>
  <c r="AB162" i="1"/>
  <c r="AB153" i="1"/>
  <c r="Y153" i="1"/>
  <c r="AB148" i="1"/>
  <c r="Y148" i="1"/>
  <c r="Y179" i="1"/>
  <c r="AB179" i="1"/>
  <c r="Y123" i="1"/>
  <c r="AB123" i="1"/>
  <c r="Y137" i="1"/>
  <c r="AB137" i="1"/>
  <c r="Y116" i="1"/>
  <c r="AB116" i="1"/>
  <c r="Y191" i="1"/>
  <c r="AB191" i="1"/>
  <c r="Y182" i="1"/>
  <c r="AB182" i="1"/>
  <c r="Y172" i="1"/>
  <c r="AB172" i="1"/>
  <c r="Y114" i="1"/>
  <c r="AB114" i="1"/>
  <c r="Y133" i="1"/>
  <c r="AB133" i="1"/>
  <c r="Y198" i="1"/>
  <c r="AB198" i="1"/>
  <c r="AB152" i="1"/>
  <c r="Y152" i="1"/>
  <c r="Y134" i="1"/>
  <c r="AB134" i="1"/>
  <c r="Y188" i="1"/>
  <c r="AB188" i="1"/>
  <c r="AB205" i="1"/>
  <c r="Y205" i="1"/>
  <c r="Y157" i="1"/>
  <c r="AB157" i="1"/>
  <c r="Y207" i="1"/>
  <c r="AB207" i="1"/>
  <c r="AB144" i="1"/>
  <c r="Y144" i="1"/>
  <c r="Y177" i="1"/>
  <c r="AB177" i="1"/>
  <c r="AB196" i="1"/>
  <c r="Y196" i="1"/>
  <c r="Y154" i="1"/>
  <c r="AB154" i="1"/>
  <c r="AB127" i="1"/>
  <c r="Y127" i="1"/>
  <c r="Y150" i="1"/>
  <c r="AB150" i="1"/>
  <c r="AB132" i="1"/>
  <c r="Y132" i="1"/>
  <c r="AB164" i="1"/>
  <c r="Y164" i="1"/>
  <c r="Y170" i="1"/>
  <c r="AB170" i="1"/>
  <c r="AB159" i="1"/>
  <c r="Y159" i="1"/>
  <c r="Y118" i="1"/>
  <c r="AB118" i="1"/>
  <c r="Y158" i="1"/>
  <c r="AB158" i="1"/>
  <c r="Y199" i="1"/>
  <c r="AB199" i="1"/>
  <c r="Y146" i="1"/>
  <c r="AB146" i="1"/>
  <c r="AB209" i="1"/>
  <c r="Y209" i="1"/>
  <c r="Y168" i="1"/>
  <c r="AB168" i="1"/>
  <c r="AB135" i="1"/>
  <c r="Y135" i="1"/>
  <c r="AB212" i="1"/>
  <c r="Y212" i="1"/>
  <c r="Y149" i="1"/>
  <c r="AB149" i="1"/>
  <c r="Y145" i="1"/>
  <c r="AB145" i="1"/>
  <c r="AB173" i="1"/>
  <c r="Y173" i="1"/>
  <c r="Y180" i="1"/>
  <c r="AB180" i="1"/>
  <c r="Y138" i="1"/>
  <c r="AB138" i="1"/>
  <c r="Y169" i="1"/>
  <c r="AB169" i="1"/>
  <c r="AB208" i="1"/>
  <c r="Y208" i="1"/>
  <c r="AB140" i="1"/>
  <c r="Y140" i="1"/>
  <c r="Y175" i="1"/>
  <c r="AB175" i="1"/>
  <c r="Y171" i="1"/>
  <c r="AB171" i="1"/>
  <c r="Y161" i="1"/>
  <c r="AB161" i="1"/>
  <c r="AB189" i="1"/>
  <c r="Y189" i="1"/>
  <c r="AB167" i="1"/>
  <c r="Y167" i="1"/>
  <c r="AB214" i="1"/>
  <c r="Y214" i="1"/>
  <c r="Y122" i="1"/>
  <c r="AB122" i="1"/>
  <c r="Y185" i="1"/>
  <c r="AB185" i="1"/>
  <c r="Y166" i="1"/>
  <c r="AB166" i="1"/>
  <c r="AB120" i="1"/>
  <c r="Y120" i="1"/>
  <c r="AB124" i="1"/>
  <c r="Y124" i="1"/>
  <c r="AB139" i="1"/>
  <c r="Y139" i="1"/>
  <c r="Y202" i="1"/>
  <c r="AB202" i="1"/>
  <c r="Y194" i="1"/>
  <c r="AB194" i="1"/>
  <c r="Y186" i="1"/>
  <c r="AB186" i="1"/>
  <c r="Y184" i="1"/>
  <c r="AB184" i="1"/>
  <c r="Z176" i="1"/>
  <c r="Y181" i="1"/>
  <c r="AB181" i="1"/>
  <c r="X145" i="1"/>
  <c r="AA145" i="1"/>
  <c r="AA173" i="1"/>
  <c r="X173" i="1"/>
  <c r="AA180" i="1"/>
  <c r="X180" i="1"/>
  <c r="AA138" i="1"/>
  <c r="X138" i="1"/>
  <c r="AA169" i="1"/>
  <c r="X169" i="1"/>
  <c r="AA208" i="1"/>
  <c r="X208" i="1"/>
  <c r="AA140" i="1"/>
  <c r="X140" i="1"/>
  <c r="X175" i="1"/>
  <c r="AA175" i="1"/>
  <c r="AA171" i="1"/>
  <c r="X171" i="1"/>
  <c r="X161" i="1"/>
  <c r="AA161" i="1"/>
  <c r="AA189" i="1"/>
  <c r="X189" i="1"/>
  <c r="X167" i="1"/>
  <c r="AA167" i="1"/>
  <c r="X214" i="1"/>
  <c r="AA214" i="1"/>
  <c r="AA122" i="1"/>
  <c r="X122" i="1"/>
  <c r="AA185" i="1"/>
  <c r="X185" i="1"/>
  <c r="AA166" i="1"/>
  <c r="X166" i="1"/>
  <c r="AA120" i="1"/>
  <c r="X120" i="1"/>
  <c r="X124" i="1"/>
  <c r="AA124" i="1"/>
  <c r="X139" i="1"/>
  <c r="AA139" i="1"/>
  <c r="AA202" i="1"/>
  <c r="X202" i="1"/>
  <c r="X209" i="1"/>
  <c r="AA209" i="1"/>
  <c r="X133" i="1"/>
  <c r="AA133" i="1"/>
  <c r="AA210" i="1"/>
  <c r="X210" i="1"/>
  <c r="AA198" i="1"/>
  <c r="X198" i="1"/>
  <c r="AA152" i="1"/>
  <c r="X152" i="1"/>
  <c r="X201" i="1"/>
  <c r="AA201" i="1"/>
  <c r="AA168" i="1"/>
  <c r="X168" i="1"/>
  <c r="AA129" i="1"/>
  <c r="X129" i="1"/>
  <c r="X135" i="1"/>
  <c r="AA135" i="1"/>
  <c r="AA130" i="1"/>
  <c r="X130" i="1"/>
  <c r="X212" i="1"/>
  <c r="AA212" i="1"/>
  <c r="AA134" i="1"/>
  <c r="X134" i="1"/>
  <c r="AA136" i="1"/>
  <c r="X136" i="1"/>
  <c r="X149" i="1"/>
  <c r="AA149" i="1"/>
  <c r="AA188" i="1"/>
  <c r="X188" i="1"/>
  <c r="X205" i="1"/>
  <c r="AA205" i="1"/>
  <c r="X203" i="1"/>
  <c r="AA203" i="1"/>
  <c r="X157" i="1"/>
  <c r="AA157" i="1"/>
  <c r="AA194" i="1"/>
  <c r="X194" i="1"/>
  <c r="AA186" i="1"/>
  <c r="X186" i="1"/>
  <c r="AA184" i="1"/>
  <c r="X184" i="1"/>
  <c r="W176" i="1"/>
  <c r="AA181" i="1"/>
  <c r="X181" i="1"/>
  <c r="AA160" i="1"/>
  <c r="X160" i="1"/>
  <c r="X143" i="1"/>
  <c r="AA143" i="1"/>
  <c r="X151" i="1"/>
  <c r="AA151" i="1"/>
  <c r="AA115" i="1"/>
  <c r="X115" i="1"/>
  <c r="AA162" i="1"/>
  <c r="X162" i="1"/>
  <c r="X153" i="1"/>
  <c r="AA153" i="1"/>
  <c r="AA148" i="1"/>
  <c r="X148" i="1"/>
  <c r="X179" i="1"/>
  <c r="AA179" i="1"/>
  <c r="AA123" i="1"/>
  <c r="X123" i="1"/>
  <c r="X137" i="1"/>
  <c r="AA137" i="1"/>
  <c r="AA116" i="1"/>
  <c r="X116" i="1"/>
  <c r="AA191" i="1"/>
  <c r="X191" i="1"/>
  <c r="AA182" i="1"/>
  <c r="X182" i="1"/>
  <c r="AA172" i="1"/>
  <c r="X172" i="1"/>
  <c r="AA114" i="1"/>
  <c r="X114" i="1"/>
  <c r="W199" i="1"/>
  <c r="X207" i="1"/>
  <c r="AA207" i="1"/>
  <c r="AA144" i="1"/>
  <c r="X144" i="1"/>
  <c r="AA177" i="1"/>
  <c r="X177" i="1"/>
  <c r="AA196" i="1"/>
  <c r="X196" i="1"/>
  <c r="AA154" i="1"/>
  <c r="X154" i="1"/>
  <c r="AA127" i="1"/>
  <c r="X127" i="1"/>
  <c r="AA150" i="1"/>
  <c r="X150" i="1"/>
  <c r="X132" i="1"/>
  <c r="AA132" i="1"/>
  <c r="AA164" i="1"/>
  <c r="X164" i="1"/>
  <c r="AA170" i="1"/>
  <c r="X170" i="1"/>
  <c r="X159" i="1"/>
  <c r="AA159" i="1"/>
  <c r="AA118" i="1"/>
  <c r="X118" i="1"/>
  <c r="AA158" i="1"/>
  <c r="X158" i="1"/>
  <c r="X199" i="1"/>
  <c r="AA199" i="1"/>
  <c r="AA146" i="1"/>
  <c r="X146" i="1"/>
  <c r="Z199" i="1"/>
  <c r="W172" i="1"/>
  <c r="Z172" i="1"/>
  <c r="W190" i="1"/>
  <c r="Z190" i="1"/>
  <c r="Z151" i="1"/>
  <c r="W151" i="1"/>
  <c r="W127" i="1"/>
  <c r="Z127" i="1"/>
  <c r="Z148" i="1"/>
  <c r="W148" i="1"/>
  <c r="W131" i="1"/>
  <c r="Z131" i="1"/>
  <c r="Z160" i="1"/>
  <c r="W160" i="1"/>
  <c r="W165" i="1"/>
  <c r="Z165" i="1"/>
  <c r="W155" i="1"/>
  <c r="Z155" i="1"/>
  <c r="Z118" i="1"/>
  <c r="W118" i="1"/>
  <c r="Z154" i="1"/>
  <c r="W154" i="1"/>
  <c r="Z192" i="1"/>
  <c r="W192" i="1"/>
  <c r="W144" i="1"/>
  <c r="Z144" i="1"/>
  <c r="W201" i="1"/>
  <c r="Z201" i="1"/>
  <c r="Z168" i="1"/>
  <c r="W168" i="1"/>
  <c r="W175" i="1"/>
  <c r="Z175" i="1"/>
  <c r="Z164" i="1"/>
  <c r="W164" i="1"/>
  <c r="W200" i="1"/>
  <c r="Z200" i="1"/>
  <c r="Z138" i="1"/>
  <c r="W138" i="1"/>
  <c r="Z170" i="1"/>
  <c r="W170" i="1"/>
  <c r="Z166" i="1"/>
  <c r="W166" i="1"/>
  <c r="W157" i="1"/>
  <c r="Z157" i="1"/>
  <c r="Z183" i="1"/>
  <c r="W183" i="1"/>
  <c r="W162" i="1"/>
  <c r="Z162" i="1"/>
  <c r="Z206" i="1"/>
  <c r="W122" i="1"/>
  <c r="Z122" i="1"/>
  <c r="Z179" i="1"/>
  <c r="W179" i="1"/>
  <c r="Z161" i="1"/>
  <c r="W161" i="1"/>
  <c r="W120" i="1"/>
  <c r="Z120" i="1"/>
  <c r="W124" i="1"/>
  <c r="Z124" i="1"/>
  <c r="W137" i="1"/>
  <c r="Z137" i="1"/>
  <c r="Z195" i="1"/>
  <c r="W195" i="1"/>
  <c r="W180" i="1"/>
  <c r="Z180" i="1"/>
  <c r="Z178" i="1"/>
  <c r="W178" i="1"/>
  <c r="W143" i="1"/>
  <c r="Z143" i="1"/>
  <c r="W132" i="1"/>
  <c r="Z132" i="1"/>
  <c r="Z202" i="1"/>
  <c r="W202" i="1"/>
  <c r="W194" i="1"/>
  <c r="Z194" i="1"/>
  <c r="Z163" i="1"/>
  <c r="W163" i="1"/>
  <c r="Z129" i="1"/>
  <c r="W129" i="1"/>
  <c r="Z134" i="1"/>
  <c r="W134" i="1"/>
  <c r="W130" i="1"/>
  <c r="Z130" i="1"/>
  <c r="W204" i="1"/>
  <c r="Z204" i="1"/>
  <c r="W133" i="1"/>
  <c r="Z133" i="1"/>
  <c r="Z135" i="1"/>
  <c r="W135" i="1"/>
  <c r="W147" i="1"/>
  <c r="Z147" i="1"/>
  <c r="W182" i="1"/>
  <c r="Z182" i="1"/>
  <c r="W197" i="1"/>
  <c r="Z197" i="1"/>
  <c r="W196" i="1"/>
  <c r="Z196" i="1"/>
  <c r="W153" i="1"/>
  <c r="Z153" i="1"/>
  <c r="Z142" i="1"/>
  <c r="W142" i="1"/>
  <c r="Z156" i="1"/>
  <c r="W156" i="1"/>
  <c r="Z141" i="1"/>
  <c r="W141" i="1"/>
  <c r="W149" i="1"/>
  <c r="Z149" i="1"/>
  <c r="W115" i="1"/>
  <c r="Z115" i="1"/>
  <c r="W158" i="1"/>
  <c r="Z158" i="1"/>
  <c r="Z150" i="1"/>
  <c r="W150" i="1"/>
  <c r="Z146" i="1"/>
  <c r="W146" i="1"/>
  <c r="Z174" i="1"/>
  <c r="W174" i="1"/>
  <c r="W123" i="1"/>
  <c r="Z123" i="1"/>
  <c r="W136" i="1"/>
  <c r="Z136" i="1"/>
  <c r="W116" i="1"/>
  <c r="Z116" i="1"/>
  <c r="Z185" i="1"/>
  <c r="W185" i="1"/>
  <c r="W177" i="1"/>
  <c r="Z177" i="1"/>
  <c r="W167" i="1"/>
  <c r="Z167" i="1"/>
  <c r="Z114" i="1"/>
  <c r="W114" i="1"/>
  <c r="W188" i="1"/>
  <c r="Z188" i="1"/>
  <c r="N2" i="1"/>
  <c r="N282" i="1"/>
  <c r="N1230" i="1"/>
  <c r="N15" i="1"/>
  <c r="N162" i="1"/>
  <c r="N206" i="1"/>
  <c r="N310" i="1"/>
  <c r="N27" i="1"/>
  <c r="N59" i="1"/>
  <c r="N179" i="1"/>
  <c r="N279" i="1"/>
  <c r="N319" i="1"/>
  <c r="N503" i="1"/>
  <c r="N555" i="1"/>
  <c r="N583" i="1"/>
  <c r="N615" i="1"/>
  <c r="N679" i="1"/>
  <c r="N815" i="1"/>
  <c r="N839" i="1"/>
  <c r="N899" i="1"/>
  <c r="N951" i="1"/>
  <c r="N967" i="1"/>
  <c r="N999" i="1"/>
  <c r="N1015" i="1"/>
  <c r="N1063" i="1"/>
  <c r="N1143" i="1"/>
  <c r="N1183" i="1"/>
  <c r="N1195" i="1"/>
  <c r="N1247" i="1"/>
  <c r="N44" i="1"/>
  <c r="N84" i="1"/>
  <c r="N96" i="1"/>
  <c r="N112" i="1"/>
  <c r="N148" i="1"/>
  <c r="N188" i="1"/>
  <c r="N240" i="1"/>
  <c r="N252" i="1"/>
  <c r="N292" i="1"/>
  <c r="N372" i="1"/>
  <c r="N420" i="1"/>
  <c r="N436" i="1"/>
  <c r="N544" i="1"/>
  <c r="N660" i="1"/>
  <c r="N125" i="1"/>
  <c r="N221" i="1"/>
  <c r="N345" i="1"/>
  <c r="N473" i="1"/>
  <c r="N485" i="1"/>
  <c r="N573" i="1"/>
  <c r="N713" i="1"/>
  <c r="N737" i="1"/>
  <c r="N829" i="1"/>
  <c r="N889" i="1"/>
  <c r="N933" i="1"/>
  <c r="N358" i="1"/>
  <c r="N406" i="1"/>
  <c r="N518" i="1"/>
  <c r="N768" i="1"/>
  <c r="N1419" i="1"/>
  <c r="N1535" i="1"/>
  <c r="N602" i="1"/>
  <c r="N634" i="1"/>
  <c r="N698" i="1"/>
  <c r="N802" i="1"/>
  <c r="N874" i="1"/>
  <c r="N922" i="1"/>
  <c r="N1050" i="1"/>
  <c r="N1082" i="1"/>
  <c r="N1090" i="1"/>
  <c r="N1314" i="1"/>
  <c r="N1344" i="1"/>
  <c r="N1356" i="1"/>
  <c r="N1376" i="1"/>
  <c r="N1404" i="1"/>
  <c r="N1504" i="1"/>
  <c r="N1516" i="1"/>
  <c r="N1544" i="1"/>
  <c r="N382" i="1"/>
  <c r="N860" i="1"/>
  <c r="N988" i="1"/>
  <c r="N1108" i="1"/>
  <c r="N1124" i="1"/>
  <c r="N1156" i="1"/>
  <c r="N1260" i="1"/>
  <c r="N1473" i="1"/>
  <c r="N450" i="1"/>
  <c r="N642" i="1"/>
  <c r="N750" i="1"/>
  <c r="N1030" i="1"/>
  <c r="N1214" i="1"/>
  <c r="N1278" i="1"/>
  <c r="N1326" i="1"/>
  <c r="N1386" i="1"/>
  <c r="N1486" i="1"/>
  <c r="N1443" i="1"/>
  <c r="N1455" i="1"/>
  <c r="N90" i="1"/>
  <c r="N63" i="1"/>
  <c r="N167" i="1"/>
  <c r="N251" i="1"/>
  <c r="N755" i="1"/>
  <c r="N807" i="1"/>
  <c r="N1095" i="1"/>
  <c r="N1119" i="1"/>
  <c r="N1319" i="1"/>
  <c r="N132" i="1"/>
  <c r="N192" i="1"/>
  <c r="N412" i="1"/>
  <c r="N448" i="1"/>
  <c r="N524" i="1"/>
  <c r="N588" i="1"/>
  <c r="N217" i="1"/>
  <c r="N549" i="1"/>
  <c r="N621" i="1"/>
  <c r="N709" i="1"/>
  <c r="N865" i="1"/>
  <c r="N993" i="1"/>
  <c r="N1069" i="1"/>
  <c r="N1229" i="1"/>
  <c r="N646" i="1"/>
  <c r="N784" i="1"/>
  <c r="N1200" i="1"/>
  <c r="N1355" i="1"/>
  <c r="N1549" i="1"/>
  <c r="N898" i="1"/>
  <c r="N970" i="1"/>
  <c r="N1034" i="1"/>
  <c r="N1154" i="1"/>
  <c r="N1449" i="1"/>
  <c r="N1252" i="1"/>
  <c r="N674" i="1"/>
  <c r="N1490" i="1"/>
  <c r="N1423" i="1"/>
  <c r="N1523" i="1"/>
  <c r="N202" i="1"/>
  <c r="N657" i="1"/>
  <c r="N1105" i="1"/>
  <c r="N1309" i="1"/>
  <c r="N402" i="1"/>
  <c r="N210" i="1"/>
  <c r="N117" i="1"/>
  <c r="N809" i="1"/>
  <c r="N346" i="1"/>
  <c r="N574" i="1"/>
  <c r="N772" i="1"/>
  <c r="N1220" i="1"/>
  <c r="N1485" i="1"/>
  <c r="N418" i="1"/>
  <c r="N926" i="1"/>
  <c r="N1475" i="1"/>
  <c r="N3" i="1"/>
  <c r="N7" i="1"/>
  <c r="N16" i="1"/>
  <c r="N34" i="1"/>
  <c r="N50" i="1"/>
  <c r="N102" i="1"/>
  <c r="N142" i="1"/>
  <c r="N178" i="1"/>
  <c r="N198" i="1"/>
  <c r="N246" i="1"/>
  <c r="N254" i="1"/>
  <c r="N278" i="1"/>
  <c r="N306" i="1"/>
  <c r="N39" i="1"/>
  <c r="N55" i="1"/>
  <c r="N71" i="1"/>
  <c r="N83" i="1"/>
  <c r="N95" i="1"/>
  <c r="N119" i="1"/>
  <c r="N143" i="1"/>
  <c r="N171" i="1"/>
  <c r="N195" i="1"/>
  <c r="N207" i="1"/>
  <c r="N215" i="1"/>
  <c r="N243" i="1"/>
  <c r="N271" i="1"/>
  <c r="N291" i="1"/>
  <c r="N339" i="1"/>
  <c r="N379" i="1"/>
  <c r="N395" i="1"/>
  <c r="N407" i="1"/>
  <c r="N419" i="1"/>
  <c r="N507" i="1"/>
  <c r="N539" i="1"/>
  <c r="N543" i="1"/>
  <c r="N595" i="1"/>
  <c r="N603" i="1"/>
  <c r="N611" i="1"/>
  <c r="N623" i="1"/>
  <c r="N635" i="1"/>
  <c r="N639" i="1"/>
  <c r="N651" i="1"/>
  <c r="N715" i="1"/>
  <c r="N791" i="1"/>
  <c r="N811" i="1"/>
  <c r="N851" i="1"/>
  <c r="N859" i="1"/>
  <c r="N883" i="1"/>
  <c r="N887" i="1"/>
  <c r="N923" i="1"/>
  <c r="N955" i="1"/>
  <c r="N963" i="1"/>
  <c r="N979" i="1"/>
  <c r="N987" i="1"/>
  <c r="N1043" i="1"/>
  <c r="N1051" i="1"/>
  <c r="N1059" i="1"/>
  <c r="N1071" i="1"/>
  <c r="N1083" i="1"/>
  <c r="N1099" i="1"/>
  <c r="N1123" i="1"/>
  <c r="N1131" i="1"/>
  <c r="N1147" i="1"/>
  <c r="N1203" i="1"/>
  <c r="N1239" i="1"/>
  <c r="N1255" i="1"/>
  <c r="N1271" i="1"/>
  <c r="N1279" i="1"/>
  <c r="N1303" i="1"/>
  <c r="N1315" i="1"/>
  <c r="N48" i="1"/>
  <c r="N80" i="1"/>
  <c r="N140" i="1"/>
  <c r="N180" i="1"/>
  <c r="N196" i="1"/>
  <c r="N208" i="1"/>
  <c r="N220" i="1"/>
  <c r="N228" i="1"/>
  <c r="N244" i="1"/>
  <c r="N264" i="1"/>
  <c r="N280" i="1"/>
  <c r="N300" i="1"/>
  <c r="N364" i="1"/>
  <c r="N440" i="1"/>
  <c r="N452" i="1"/>
  <c r="N484" i="1"/>
  <c r="N508" i="1"/>
  <c r="N532" i="1"/>
  <c r="N568" i="1"/>
  <c r="N596" i="1"/>
  <c r="N664" i="1"/>
  <c r="N672" i="1"/>
  <c r="N25" i="1"/>
  <c r="N49" i="1"/>
  <c r="N73" i="1"/>
  <c r="N85" i="1"/>
  <c r="N109" i="1"/>
  <c r="N149" i="1"/>
  <c r="N157" i="1"/>
  <c r="N169" i="1"/>
  <c r="N185" i="1"/>
  <c r="N313" i="1"/>
  <c r="N337" i="1"/>
  <c r="N353" i="1"/>
  <c r="N373" i="1"/>
  <c r="N397" i="1"/>
  <c r="N405" i="1"/>
  <c r="N429" i="1"/>
  <c r="N433" i="1"/>
  <c r="N461" i="1"/>
  <c r="N465" i="1"/>
  <c r="N493" i="1"/>
  <c r="N509" i="1"/>
  <c r="N545" i="1"/>
  <c r="N577" i="1"/>
  <c r="N597" i="1"/>
  <c r="N633" i="1"/>
  <c r="N653" i="1"/>
  <c r="N661" i="1"/>
  <c r="N677" i="1"/>
  <c r="N685" i="1"/>
  <c r="N701" i="1"/>
  <c r="N757" i="1"/>
  <c r="N849" i="1"/>
  <c r="N853" i="1"/>
  <c r="N861" i="1"/>
  <c r="N873" i="1"/>
  <c r="N957" i="1"/>
  <c r="N977" i="1"/>
  <c r="N989" i="1"/>
  <c r="N1081" i="1"/>
  <c r="N1101" i="1"/>
  <c r="N1109" i="1"/>
  <c r="N1117" i="1"/>
  <c r="N1149" i="1"/>
  <c r="N1193" i="1"/>
  <c r="N1209" i="1"/>
  <c r="N1237" i="1"/>
  <c r="N1281" i="1"/>
  <c r="N1301" i="1"/>
  <c r="N1305" i="1"/>
  <c r="N1313" i="1"/>
  <c r="N1325" i="1"/>
  <c r="N374" i="1"/>
  <c r="N534" i="1"/>
  <c r="N704" i="1"/>
  <c r="N736" i="1"/>
  <c r="N832" i="1"/>
  <c r="N912" i="1"/>
  <c r="N984" i="1"/>
  <c r="N1024" i="1"/>
  <c r="N1088" i="1"/>
  <c r="N1160" i="1"/>
  <c r="N1176" i="1"/>
  <c r="N1184" i="1"/>
  <c r="N1216" i="1"/>
  <c r="N1256" i="1"/>
  <c r="N1367" i="1"/>
  <c r="N394" i="1"/>
  <c r="N474" i="1"/>
  <c r="N554" i="1"/>
  <c r="N650" i="1"/>
  <c r="N730" i="1"/>
  <c r="N738" i="1"/>
  <c r="N770" i="1"/>
  <c r="N794" i="1"/>
  <c r="N810" i="1"/>
  <c r="N946" i="1"/>
  <c r="N1042" i="1"/>
  <c r="N1074" i="1"/>
  <c r="N1098" i="1"/>
  <c r="N1146" i="1"/>
  <c r="N1170" i="1"/>
  <c r="N1234" i="1"/>
  <c r="N1335" i="1"/>
  <c r="N1348" i="1"/>
  <c r="N1400" i="1"/>
  <c r="N1408" i="1"/>
  <c r="N1468" i="1"/>
  <c r="N1528" i="1"/>
  <c r="N1536" i="1"/>
  <c r="N1433" i="1"/>
  <c r="N1477" i="1"/>
  <c r="N1505" i="1"/>
  <c r="N1513" i="1"/>
  <c r="N1525" i="1"/>
  <c r="N334" i="1"/>
  <c r="N724" i="1"/>
  <c r="N748" i="1"/>
  <c r="N764" i="1"/>
  <c r="N796" i="1"/>
  <c r="N836" i="1"/>
  <c r="N892" i="1"/>
  <c r="N916" i="1"/>
  <c r="N932" i="1"/>
  <c r="N940" i="1"/>
  <c r="N948" i="1"/>
  <c r="N1012" i="1"/>
  <c r="N1044" i="1"/>
  <c r="N1341" i="1"/>
  <c r="N1377" i="1"/>
  <c r="N1385" i="1"/>
  <c r="N1393" i="1"/>
  <c r="N1409" i="1"/>
  <c r="N1445" i="1"/>
  <c r="N1461" i="1"/>
  <c r="N354" i="1"/>
  <c r="N498" i="1"/>
  <c r="N514" i="1"/>
  <c r="N562" i="1"/>
  <c r="N626" i="1"/>
  <c r="N702" i="1"/>
  <c r="N822" i="1"/>
  <c r="N830" i="1"/>
  <c r="N902" i="1"/>
  <c r="N958" i="1"/>
  <c r="N998" i="1"/>
  <c r="N1006" i="1"/>
  <c r="N1110" i="1"/>
  <c r="N1182" i="1"/>
  <c r="N1286" i="1"/>
  <c r="N1358" i="1"/>
  <c r="N1370" i="1"/>
  <c r="N1410" i="1"/>
  <c r="N1438" i="1"/>
  <c r="N1442" i="1"/>
  <c r="N1454" i="1"/>
  <c r="N1498" i="1"/>
  <c r="N1534" i="1"/>
  <c r="N1415" i="1"/>
  <c r="N1431" i="1"/>
  <c r="N1499" i="1"/>
  <c r="N1497" i="1"/>
  <c r="N1541" i="1"/>
  <c r="N1553" i="1"/>
  <c r="N9" i="1"/>
  <c r="N79" i="1"/>
  <c r="N231" i="1"/>
  <c r="N303" i="1"/>
  <c r="N599" i="1"/>
  <c r="N627" i="1"/>
  <c r="N823" i="1"/>
  <c r="N983" i="1"/>
  <c r="N1075" i="1"/>
  <c r="N172" i="1"/>
  <c r="N656" i="1"/>
  <c r="N688" i="1"/>
  <c r="N37" i="1"/>
  <c r="N105" i="1"/>
  <c r="N145" i="1"/>
  <c r="N201" i="1"/>
  <c r="N341" i="1"/>
  <c r="N365" i="1"/>
  <c r="N401" i="1"/>
  <c r="N565" i="1"/>
  <c r="N729" i="1"/>
  <c r="N761" i="1"/>
  <c r="N1009" i="1"/>
  <c r="N944" i="1"/>
  <c r="N1272" i="1"/>
  <c r="N1339" i="1"/>
  <c r="N538" i="1"/>
  <c r="N1372" i="1"/>
  <c r="N1308" i="1"/>
  <c r="N1437" i="1"/>
  <c r="N1501" i="1"/>
  <c r="N1529" i="1"/>
  <c r="N798" i="1"/>
  <c r="N886" i="1"/>
  <c r="N918" i="1"/>
  <c r="N1398" i="1"/>
  <c r="N1126" i="1"/>
  <c r="N1353" i="1"/>
  <c r="N1464" i="1"/>
  <c r="N1152" i="1"/>
  <c r="N486" i="1"/>
  <c r="N897" i="1"/>
  <c r="N357" i="1"/>
  <c r="N616" i="1"/>
  <c r="N1327" i="1"/>
  <c r="N707" i="1"/>
  <c r="N159" i="1"/>
  <c r="N540" i="1"/>
  <c r="N1134" i="1"/>
  <c r="N856" i="1"/>
  <c r="N1175" i="1"/>
  <c r="N731" i="1"/>
  <c r="N14" i="1"/>
  <c r="N222" i="1"/>
  <c r="N472" i="1"/>
  <c r="N680" i="1"/>
  <c r="N921" i="1"/>
  <c r="N1125" i="1"/>
  <c r="N1375" i="1"/>
  <c r="N226" i="1"/>
  <c r="N266" i="1"/>
  <c r="N127" i="1"/>
  <c r="N163" i="1"/>
  <c r="N191" i="1"/>
  <c r="N255" i="1"/>
  <c r="N287" i="1"/>
  <c r="N359" i="1"/>
  <c r="N487" i="1"/>
  <c r="N491" i="1"/>
  <c r="N647" i="1"/>
  <c r="N683" i="1"/>
  <c r="N779" i="1"/>
  <c r="N799" i="1"/>
  <c r="N879" i="1"/>
  <c r="N995" i="1"/>
  <c r="N1155" i="1"/>
  <c r="N1243" i="1"/>
  <c r="N1287" i="1"/>
  <c r="N28" i="1"/>
  <c r="N32" i="1"/>
  <c r="N92" i="1"/>
  <c r="N128" i="1"/>
  <c r="N224" i="1"/>
  <c r="N272" i="1"/>
  <c r="N296" i="1"/>
  <c r="N424" i="1"/>
  <c r="N456" i="1"/>
  <c r="N516" i="1"/>
  <c r="N520" i="1"/>
  <c r="N644" i="1"/>
  <c r="N57" i="1"/>
  <c r="N65" i="1"/>
  <c r="N77" i="1"/>
  <c r="N161" i="1"/>
  <c r="N193" i="1"/>
  <c r="N381" i="1"/>
  <c r="N425" i="1"/>
  <c r="N449" i="1"/>
  <c r="N553" i="1"/>
  <c r="N617" i="1"/>
  <c r="N681" i="1"/>
  <c r="N817" i="1"/>
  <c r="N965" i="1"/>
  <c r="N1065" i="1"/>
  <c r="N1077" i="1"/>
  <c r="N1093" i="1"/>
  <c r="N1161" i="1"/>
  <c r="N1197" i="1"/>
  <c r="N1221" i="1"/>
  <c r="N1289" i="1"/>
  <c r="N342" i="1"/>
  <c r="N614" i="1"/>
  <c r="N712" i="1"/>
  <c r="N752" i="1"/>
  <c r="N816" i="1"/>
  <c r="N1096" i="1"/>
  <c r="N1128" i="1"/>
  <c r="N1224" i="1"/>
  <c r="N1264" i="1"/>
  <c r="N1391" i="1"/>
  <c r="N1519" i="1"/>
  <c r="N586" i="1"/>
  <c r="N786" i="1"/>
  <c r="N938" i="1"/>
  <c r="N1018" i="1"/>
  <c r="N1242" i="1"/>
  <c r="N1330" i="1"/>
  <c r="N1548" i="1"/>
  <c r="N1345" i="1"/>
  <c r="N366" i="1"/>
  <c r="N716" i="1"/>
  <c r="N1331" i="1"/>
  <c r="N1417" i="1"/>
  <c r="N322" i="1"/>
  <c r="N838" i="1"/>
  <c r="N878" i="1"/>
  <c r="N1062" i="1"/>
  <c r="N1158" i="1"/>
  <c r="N1262" i="1"/>
  <c r="N1270" i="1"/>
  <c r="N1478" i="1"/>
  <c r="N1550" i="1"/>
  <c r="N1451" i="1"/>
  <c r="N1539" i="1"/>
  <c r="N1517" i="1"/>
  <c r="N17" i="1"/>
  <c r="N666" i="1"/>
  <c r="N711" i="1"/>
  <c r="N521" i="1"/>
  <c r="N1178" i="1"/>
  <c r="N732" i="1"/>
  <c r="N11" i="1"/>
  <c r="N8" i="1"/>
  <c r="N20" i="1"/>
  <c r="N5" i="1"/>
  <c r="N6" i="1"/>
  <c r="N30" i="1"/>
  <c r="N66" i="1"/>
  <c r="N70" i="1"/>
  <c r="N78" i="1"/>
  <c r="N82" i="1"/>
  <c r="N106" i="1"/>
  <c r="N114" i="1"/>
  <c r="N126" i="1"/>
  <c r="N130" i="1"/>
  <c r="N138" i="1"/>
  <c r="N158" i="1"/>
  <c r="N174" i="1"/>
  <c r="N186" i="1"/>
  <c r="N218" i="1"/>
  <c r="N230" i="1"/>
  <c r="N258" i="1"/>
  <c r="N262" i="1"/>
  <c r="N31" i="1"/>
  <c r="N35" i="1"/>
  <c r="N51" i="1"/>
  <c r="N103" i="1"/>
  <c r="N131" i="1"/>
  <c r="N147" i="1"/>
  <c r="N203" i="1"/>
  <c r="N263" i="1"/>
  <c r="N267" i="1"/>
  <c r="N275" i="1"/>
  <c r="N295" i="1"/>
  <c r="N307" i="1"/>
  <c r="N323" i="1"/>
  <c r="N335" i="1"/>
  <c r="N351" i="1"/>
  <c r="N363" i="1"/>
  <c r="N383" i="1"/>
  <c r="N423" i="1"/>
  <c r="N431" i="1"/>
  <c r="N435" i="1"/>
  <c r="N443" i="1"/>
  <c r="N463" i="1"/>
  <c r="N479" i="1"/>
  <c r="N499" i="1"/>
  <c r="N515" i="1"/>
  <c r="N531" i="1"/>
  <c r="N551" i="1"/>
  <c r="N559" i="1"/>
  <c r="N563" i="1"/>
  <c r="N587" i="1"/>
  <c r="N655" i="1"/>
  <c r="N659" i="1"/>
  <c r="N675" i="1"/>
  <c r="N687" i="1"/>
  <c r="N699" i="1"/>
  <c r="N703" i="1"/>
  <c r="N719" i="1"/>
  <c r="N723" i="1"/>
  <c r="N747" i="1"/>
  <c r="N763" i="1"/>
  <c r="N835" i="1"/>
  <c r="N855" i="1"/>
  <c r="N867" i="1"/>
  <c r="N903" i="1"/>
  <c r="N911" i="1"/>
  <c r="N915" i="1"/>
  <c r="N927" i="1"/>
  <c r="N947" i="1"/>
  <c r="N959" i="1"/>
  <c r="N1003" i="1"/>
  <c r="N1007" i="1"/>
  <c r="N1031" i="1"/>
  <c r="N1087" i="1"/>
  <c r="N1103" i="1"/>
  <c r="N1107" i="1"/>
  <c r="N1115" i="1"/>
  <c r="N1127" i="1"/>
  <c r="N1151" i="1"/>
  <c r="N1179" i="1"/>
  <c r="N1199" i="1"/>
  <c r="N1219" i="1"/>
  <c r="N1227" i="1"/>
  <c r="N1235" i="1"/>
  <c r="N1263" i="1"/>
  <c r="N1291" i="1"/>
  <c r="N1295" i="1"/>
  <c r="N1307" i="1"/>
  <c r="N40" i="1"/>
  <c r="N56" i="1"/>
  <c r="N72" i="1"/>
  <c r="N76" i="1"/>
  <c r="N100" i="1"/>
  <c r="N104" i="1"/>
  <c r="N124" i="1"/>
  <c r="N144" i="1"/>
  <c r="N164" i="1"/>
  <c r="N184" i="1"/>
  <c r="N200" i="1"/>
  <c r="N204" i="1"/>
  <c r="N236" i="1"/>
  <c r="N248" i="1"/>
  <c r="N256" i="1"/>
  <c r="N276" i="1"/>
  <c r="N316" i="1"/>
  <c r="N324" i="1"/>
  <c r="N340" i="1"/>
  <c r="N344" i="1"/>
  <c r="N360" i="1"/>
  <c r="N368" i="1"/>
  <c r="N388" i="1"/>
  <c r="N396" i="1"/>
  <c r="N400" i="1"/>
  <c r="N404" i="1"/>
  <c r="N408" i="1"/>
  <c r="N460" i="1"/>
  <c r="N464" i="1"/>
  <c r="N512" i="1"/>
  <c r="N536" i="1"/>
  <c r="N564" i="1"/>
  <c r="N572" i="1"/>
  <c r="N584" i="1"/>
  <c r="N612" i="1"/>
  <c r="N640" i="1"/>
  <c r="N652" i="1"/>
  <c r="N13" i="1"/>
  <c r="N53" i="1"/>
  <c r="N61" i="1"/>
  <c r="N93" i="1"/>
  <c r="N141" i="1"/>
  <c r="N181" i="1"/>
  <c r="N197" i="1"/>
  <c r="N205" i="1"/>
  <c r="N213" i="1"/>
  <c r="N225" i="1"/>
  <c r="N241" i="1"/>
  <c r="N245" i="1"/>
  <c r="N269" i="1"/>
  <c r="N289" i="1"/>
  <c r="N297" i="1"/>
  <c r="N305" i="1"/>
  <c r="N333" i="1"/>
  <c r="N389" i="1"/>
  <c r="N453" i="1"/>
  <c r="N469" i="1"/>
  <c r="N489" i="1"/>
  <c r="N533" i="1"/>
  <c r="N537" i="1"/>
  <c r="N593" i="1"/>
  <c r="N601" i="1"/>
  <c r="N625" i="1"/>
  <c r="N693" i="1"/>
  <c r="N717" i="1"/>
  <c r="N733" i="1"/>
  <c r="N741" i="1"/>
  <c r="N753" i="1"/>
  <c r="N765" i="1"/>
  <c r="N777" i="1"/>
  <c r="N781" i="1"/>
  <c r="N797" i="1"/>
  <c r="N801" i="1"/>
  <c r="N821" i="1"/>
  <c r="N825" i="1"/>
  <c r="N837" i="1"/>
  <c r="N845" i="1"/>
  <c r="N877" i="1"/>
  <c r="N885" i="1"/>
  <c r="N905" i="1"/>
  <c r="N909" i="1"/>
  <c r="N917" i="1"/>
  <c r="N937" i="1"/>
  <c r="N941" i="1"/>
  <c r="N961" i="1"/>
  <c r="N981" i="1"/>
  <c r="N1017" i="1"/>
  <c r="N1029" i="1"/>
  <c r="N1033" i="1"/>
  <c r="N1045" i="1"/>
  <c r="N1049" i="1"/>
  <c r="N1073" i="1"/>
  <c r="N1089" i="1"/>
  <c r="N1121" i="1"/>
  <c r="N1133" i="1"/>
  <c r="N1169" i="1"/>
  <c r="N1225" i="1"/>
  <c r="N1233" i="1"/>
  <c r="N1285" i="1"/>
  <c r="N1329" i="1"/>
  <c r="N326" i="1"/>
  <c r="N470" i="1"/>
  <c r="N566" i="1"/>
  <c r="N582" i="1"/>
  <c r="N598" i="1"/>
  <c r="N728" i="1"/>
  <c r="N792" i="1"/>
  <c r="N840" i="1"/>
  <c r="N896" i="1"/>
  <c r="N920" i="1"/>
  <c r="N936" i="1"/>
  <c r="N976" i="1"/>
  <c r="N1008" i="1"/>
  <c r="N1040" i="1"/>
  <c r="N1144" i="1"/>
  <c r="N1168" i="1"/>
  <c r="N1192" i="1"/>
  <c r="N1208" i="1"/>
  <c r="N1240" i="1"/>
  <c r="N1288" i="1"/>
  <c r="N1296" i="1"/>
  <c r="N1312" i="1"/>
  <c r="N1359" i="1"/>
  <c r="N1371" i="1"/>
  <c r="N1395" i="1"/>
  <c r="N1411" i="1"/>
  <c r="N1435" i="1"/>
  <c r="N1459" i="1"/>
  <c r="N1483" i="1"/>
  <c r="N1495" i="1"/>
  <c r="N1503" i="1"/>
  <c r="N1527" i="1"/>
  <c r="N1543" i="1"/>
  <c r="N378" i="1"/>
  <c r="N458" i="1"/>
  <c r="N490" i="1"/>
  <c r="N522" i="1"/>
  <c r="N618" i="1"/>
  <c r="N682" i="1"/>
  <c r="N706" i="1"/>
  <c r="N722" i="1"/>
  <c r="N754" i="1"/>
  <c r="N818" i="1"/>
  <c r="N850" i="1"/>
  <c r="N858" i="1"/>
  <c r="N914" i="1"/>
  <c r="N978" i="1"/>
  <c r="N986" i="1"/>
  <c r="N1010" i="1"/>
  <c r="N1066" i="1"/>
  <c r="N1106" i="1"/>
  <c r="N1162" i="1"/>
  <c r="N1210" i="1"/>
  <c r="N1274" i="1"/>
  <c r="N1352" i="1"/>
  <c r="N1364" i="1"/>
  <c r="N1416" i="1"/>
  <c r="N1432" i="1"/>
  <c r="N1436" i="1"/>
  <c r="N1452" i="1"/>
  <c r="N1472" i="1"/>
  <c r="N1500" i="1"/>
  <c r="N1520" i="1"/>
  <c r="N1540" i="1"/>
  <c r="N1316" i="1"/>
  <c r="N1336" i="1"/>
  <c r="N1381" i="1"/>
  <c r="N1389" i="1"/>
  <c r="N1401" i="1"/>
  <c r="N1413" i="1"/>
  <c r="N1421" i="1"/>
  <c r="N1425" i="1"/>
  <c r="N1441" i="1"/>
  <c r="N1489" i="1"/>
  <c r="N430" i="1"/>
  <c r="N446" i="1"/>
  <c r="N494" i="1"/>
  <c r="N510" i="1"/>
  <c r="N526" i="1"/>
  <c r="N542" i="1"/>
  <c r="N638" i="1"/>
  <c r="N670" i="1"/>
  <c r="N780" i="1"/>
  <c r="N844" i="1"/>
  <c r="N884" i="1"/>
  <c r="N956" i="1"/>
  <c r="N964" i="1"/>
  <c r="N972" i="1"/>
  <c r="N996" i="1"/>
  <c r="N1060" i="1"/>
  <c r="N1100" i="1"/>
  <c r="N1140" i="1"/>
  <c r="N1148" i="1"/>
  <c r="N1164" i="1"/>
  <c r="N1172" i="1"/>
  <c r="N1180" i="1"/>
  <c r="N1244" i="1"/>
  <c r="N1268" i="1"/>
  <c r="N1369" i="1"/>
  <c r="N466" i="1"/>
  <c r="N658" i="1"/>
  <c r="N726" i="1"/>
  <c r="N734" i="1"/>
  <c r="N774" i="1"/>
  <c r="N790" i="1"/>
  <c r="N862" i="1"/>
  <c r="N894" i="1"/>
  <c r="N982" i="1"/>
  <c r="N1174" i="1"/>
  <c r="N1198" i="1"/>
  <c r="N1246" i="1"/>
  <c r="N1302" i="1"/>
  <c r="N1338" i="1"/>
  <c r="N1350" i="1"/>
  <c r="N1362" i="1"/>
  <c r="N1366" i="1"/>
  <c r="N1374" i="1"/>
  <c r="N1390" i="1"/>
  <c r="N1394" i="1"/>
  <c r="N1430" i="1"/>
  <c r="N1462" i="1"/>
  <c r="N1466" i="1"/>
  <c r="N1514" i="1"/>
  <c r="N1463" i="1"/>
  <c r="N1487" i="1"/>
  <c r="N1378" i="1"/>
  <c r="N934" i="1"/>
  <c r="N1292" i="1"/>
  <c r="N1456" i="1"/>
  <c r="N1064" i="1"/>
  <c r="N422" i="1"/>
  <c r="N841" i="1"/>
  <c r="N273" i="1"/>
  <c r="N560" i="1"/>
  <c r="N1311" i="1"/>
  <c r="N447" i="1"/>
  <c r="N294" i="1"/>
  <c r="N1047" i="1"/>
  <c r="N1046" i="1"/>
  <c r="N1241" i="1"/>
  <c r="N467" i="1"/>
  <c r="N290" i="1"/>
  <c r="N12" i="1"/>
  <c r="N343" i="1"/>
  <c r="N403" i="1"/>
  <c r="N919" i="1"/>
  <c r="N1111" i="1"/>
  <c r="N468" i="1"/>
  <c r="N81" i="1"/>
  <c r="N541" i="1"/>
  <c r="N857" i="1"/>
  <c r="N985" i="1"/>
  <c r="N1245" i="1"/>
  <c r="N800" i="1"/>
  <c r="N1373" i="1"/>
  <c r="N1310" i="1"/>
  <c r="N380" i="1"/>
  <c r="N1340" i="1"/>
  <c r="N1212" i="1"/>
  <c r="N298" i="1"/>
  <c r="N387" i="1"/>
  <c r="N329" i="1"/>
  <c r="N438" i="1"/>
  <c r="N350" i="1"/>
  <c r="N58" i="1"/>
  <c r="N150" i="1"/>
  <c r="N495" i="1"/>
  <c r="N827" i="1"/>
  <c r="N843" i="1"/>
  <c r="N943" i="1"/>
  <c r="N36" i="1"/>
  <c r="N212" i="1"/>
  <c r="N604" i="1"/>
  <c r="N237" i="1"/>
  <c r="N517" i="1"/>
  <c r="N669" i="1"/>
  <c r="N1141" i="1"/>
  <c r="N694" i="1"/>
  <c r="N1114" i="1"/>
  <c r="N1397" i="1"/>
  <c r="N1052" i="1"/>
  <c r="N1276" i="1"/>
  <c r="N370" i="1"/>
  <c r="N386" i="1"/>
  <c r="N966" i="1"/>
  <c r="N1294" i="1"/>
  <c r="N1418" i="1"/>
  <c r="N1506" i="1"/>
  <c r="N391" i="1"/>
  <c r="N519" i="1"/>
  <c r="N60" i="1"/>
  <c r="N253" i="1"/>
  <c r="N1157" i="1"/>
  <c r="N1297" i="1"/>
  <c r="N968" i="1"/>
  <c r="N714" i="1"/>
  <c r="N1420" i="1"/>
  <c r="N846" i="1"/>
  <c r="N631" i="1"/>
  <c r="N500" i="1"/>
  <c r="N471" i="1"/>
  <c r="N1021" i="1"/>
  <c r="N1248" i="1"/>
  <c r="N478" i="1"/>
  <c r="N94" i="1"/>
  <c r="N194" i="1"/>
  <c r="N314" i="1"/>
  <c r="N47" i="1"/>
  <c r="N135" i="1"/>
  <c r="N219" i="1"/>
  <c r="N483" i="1"/>
  <c r="N771" i="1"/>
  <c r="N931" i="1"/>
  <c r="N1167" i="1"/>
  <c r="N1191" i="1"/>
  <c r="N1259" i="1"/>
  <c r="N24" i="1"/>
  <c r="N68" i="1"/>
  <c r="N120" i="1"/>
  <c r="N160" i="1"/>
  <c r="N288" i="1"/>
  <c r="N332" i="1"/>
  <c r="N356" i="1"/>
  <c r="N376" i="1"/>
  <c r="N552" i="1"/>
  <c r="N676" i="1"/>
  <c r="N261" i="1"/>
  <c r="N393" i="1"/>
  <c r="N417" i="1"/>
  <c r="N441" i="1"/>
  <c r="N457" i="1"/>
  <c r="N529" i="1"/>
  <c r="N613" i="1"/>
  <c r="N649" i="1"/>
  <c r="N721" i="1"/>
  <c r="N789" i="1"/>
  <c r="N813" i="1"/>
  <c r="N833" i="1"/>
  <c r="N893" i="1"/>
  <c r="N997" i="1"/>
  <c r="N1025" i="1"/>
  <c r="N1037" i="1"/>
  <c r="N1061" i="1"/>
  <c r="N1097" i="1"/>
  <c r="N1217" i="1"/>
  <c r="N1269" i="1"/>
  <c r="N848" i="1"/>
  <c r="N872" i="1"/>
  <c r="N1232" i="1"/>
  <c r="N1363" i="1"/>
  <c r="N506" i="1"/>
  <c r="N746" i="1"/>
  <c r="N954" i="1"/>
  <c r="N1122" i="1"/>
  <c r="N1282" i="1"/>
  <c r="N1384" i="1"/>
  <c r="N1428" i="1"/>
  <c r="N1492" i="1"/>
  <c r="N1552" i="1"/>
  <c r="N1349" i="1"/>
  <c r="N590" i="1"/>
  <c r="N908" i="1"/>
  <c r="N1300" i="1"/>
  <c r="N1324" i="1"/>
  <c r="N1453" i="1"/>
  <c r="N578" i="1"/>
  <c r="N974" i="1"/>
  <c r="N1407" i="1"/>
  <c r="N1479" i="1"/>
  <c r="N1515" i="1"/>
  <c r="N146" i="1"/>
  <c r="N154" i="1"/>
  <c r="N123" i="1"/>
  <c r="N183" i="1"/>
  <c r="N211" i="1"/>
  <c r="N239" i="1"/>
  <c r="N247" i="1"/>
  <c r="N283" i="1"/>
  <c r="N315" i="1"/>
  <c r="N411" i="1"/>
  <c r="N455" i="1"/>
  <c r="N511" i="1"/>
  <c r="N895" i="1"/>
  <c r="N971" i="1"/>
  <c r="N1159" i="1"/>
  <c r="N1187" i="1"/>
  <c r="N1251" i="1"/>
  <c r="N52" i="1"/>
  <c r="N64" i="1"/>
  <c r="N480" i="1"/>
  <c r="N548" i="1"/>
  <c r="N600" i="1"/>
  <c r="N608" i="1"/>
  <c r="N668" i="1"/>
  <c r="N21" i="1"/>
  <c r="N89" i="1"/>
  <c r="N349" i="1"/>
  <c r="N445" i="1"/>
  <c r="N525" i="1"/>
  <c r="N581" i="1"/>
  <c r="N637" i="1"/>
  <c r="N697" i="1"/>
  <c r="N705" i="1"/>
  <c r="N773" i="1"/>
  <c r="N1113" i="1"/>
  <c r="N864" i="1"/>
  <c r="N928" i="1"/>
  <c r="N960" i="1"/>
  <c r="N992" i="1"/>
  <c r="N1048" i="1"/>
  <c r="N1056" i="1"/>
  <c r="N1351" i="1"/>
  <c r="N1218" i="1"/>
  <c r="N1412" i="1"/>
  <c r="N1424" i="1"/>
  <c r="N1448" i="1"/>
  <c r="N1361" i="1"/>
  <c r="N1028" i="1"/>
  <c r="N742" i="1"/>
  <c r="N806" i="1"/>
  <c r="N1086" i="1"/>
  <c r="N1150" i="1"/>
  <c r="N1318" i="1"/>
  <c r="N1482" i="1"/>
  <c r="N1502" i="1"/>
  <c r="N1510" i="1"/>
  <c r="N1538" i="1"/>
  <c r="N318" i="1"/>
  <c r="N87" i="1"/>
  <c r="N115" i="1"/>
  <c r="N695" i="1"/>
  <c r="N803" i="1"/>
  <c r="N1023" i="1"/>
  <c r="N1135" i="1"/>
  <c r="N328" i="1"/>
  <c r="N41" i="1"/>
  <c r="N321" i="1"/>
  <c r="N901" i="1"/>
  <c r="N1005" i="1"/>
  <c r="N1337" i="1"/>
  <c r="N776" i="1"/>
  <c r="N1120" i="1"/>
  <c r="N410" i="1"/>
  <c r="N442" i="1"/>
  <c r="N1290" i="1"/>
  <c r="N710" i="1"/>
  <c r="N1342" i="1"/>
  <c r="N302" i="1"/>
  <c r="N229" i="1"/>
  <c r="N1205" i="1"/>
  <c r="N760" i="1"/>
  <c r="N686" i="1"/>
  <c r="N1132" i="1"/>
  <c r="N814" i="1"/>
  <c r="N1020" i="1"/>
  <c r="N1194" i="1"/>
  <c r="N1000" i="1"/>
  <c r="N1257" i="1"/>
  <c r="N749" i="1"/>
  <c r="N249" i="1"/>
  <c r="N556" i="1"/>
  <c r="N1267" i="1"/>
  <c r="N223" i="1"/>
  <c r="N74" i="1"/>
  <c r="N10" i="1"/>
  <c r="N1465" i="1"/>
  <c r="N496" i="1"/>
  <c r="N270" i="1"/>
  <c r="N18" i="1"/>
  <c r="N22" i="1"/>
  <c r="N38" i="1"/>
  <c r="N54" i="1"/>
  <c r="N86" i="1"/>
  <c r="N98" i="1"/>
  <c r="N110" i="1"/>
  <c r="N122" i="1"/>
  <c r="N134" i="1"/>
  <c r="N166" i="1"/>
  <c r="N170" i="1"/>
  <c r="N190" i="1"/>
  <c r="N214" i="1"/>
  <c r="N234" i="1"/>
  <c r="N238" i="1"/>
  <c r="N250" i="1"/>
  <c r="N286" i="1"/>
  <c r="N23" i="1"/>
  <c r="N43" i="1"/>
  <c r="N67" i="1"/>
  <c r="N91" i="1"/>
  <c r="N99" i="1"/>
  <c r="N151" i="1"/>
  <c r="N155" i="1"/>
  <c r="N235" i="1"/>
  <c r="N259" i="1"/>
  <c r="N331" i="1"/>
  <c r="N355" i="1"/>
  <c r="N367" i="1"/>
  <c r="N371" i="1"/>
  <c r="N399" i="1"/>
  <c r="N415" i="1"/>
  <c r="N451" i="1"/>
  <c r="N459" i="1"/>
  <c r="N475" i="1"/>
  <c r="N567" i="1"/>
  <c r="N571" i="1"/>
  <c r="N575" i="1"/>
  <c r="N579" i="1"/>
  <c r="N591" i="1"/>
  <c r="N607" i="1"/>
  <c r="N619" i="1"/>
  <c r="N643" i="1"/>
  <c r="N663" i="1"/>
  <c r="N667" i="1"/>
  <c r="N671" i="1"/>
  <c r="N691" i="1"/>
  <c r="N727" i="1"/>
  <c r="N735" i="1"/>
  <c r="N739" i="1"/>
  <c r="N743" i="1"/>
  <c r="N751" i="1"/>
  <c r="N759" i="1"/>
  <c r="N767" i="1"/>
  <c r="N775" i="1"/>
  <c r="N795" i="1"/>
  <c r="N847" i="1"/>
  <c r="N875" i="1"/>
  <c r="N935" i="1"/>
  <c r="N975" i="1"/>
  <c r="N1011" i="1"/>
  <c r="N1019" i="1"/>
  <c r="N1027" i="1"/>
  <c r="N1039" i="1"/>
  <c r="N1055" i="1"/>
  <c r="N1067" i="1"/>
  <c r="N1079" i="1"/>
  <c r="N1139" i="1"/>
  <c r="N1207" i="1"/>
  <c r="N1223" i="1"/>
  <c r="N1231" i="1"/>
  <c r="N1283" i="1"/>
  <c r="N1299" i="1"/>
  <c r="N1323" i="1"/>
  <c r="N108" i="1"/>
  <c r="N116" i="1"/>
  <c r="N136" i="1"/>
  <c r="N156" i="1"/>
  <c r="N176" i="1"/>
  <c r="N216" i="1"/>
  <c r="N232" i="1"/>
  <c r="N268" i="1"/>
  <c r="N284" i="1"/>
  <c r="N304" i="1"/>
  <c r="N320" i="1"/>
  <c r="N348" i="1"/>
  <c r="N352" i="1"/>
  <c r="N392" i="1"/>
  <c r="N416" i="1"/>
  <c r="N428" i="1"/>
  <c r="N488" i="1"/>
  <c r="N504" i="1"/>
  <c r="N528" i="1"/>
  <c r="N580" i="1"/>
  <c r="N592" i="1"/>
  <c r="N620" i="1"/>
  <c r="N624" i="1"/>
  <c r="N628" i="1"/>
  <c r="N632" i="1"/>
  <c r="N692" i="1"/>
  <c r="N696" i="1"/>
  <c r="N29" i="1"/>
  <c r="N45" i="1"/>
  <c r="N69" i="1"/>
  <c r="N113" i="1"/>
  <c r="N121" i="1"/>
  <c r="N137" i="1"/>
  <c r="N153" i="1"/>
  <c r="N165" i="1"/>
  <c r="N173" i="1"/>
  <c r="N177" i="1"/>
  <c r="N189" i="1"/>
  <c r="N209" i="1"/>
  <c r="N277" i="1"/>
  <c r="N281" i="1"/>
  <c r="N285" i="1"/>
  <c r="N293" i="1"/>
  <c r="N301" i="1"/>
  <c r="N309" i="1"/>
  <c r="N317" i="1"/>
  <c r="N325" i="1"/>
  <c r="N377" i="1"/>
  <c r="N413" i="1"/>
  <c r="N421" i="1"/>
  <c r="N437" i="1"/>
  <c r="N481" i="1"/>
  <c r="N497" i="1"/>
  <c r="N513" i="1"/>
  <c r="N557" i="1"/>
  <c r="N569" i="1"/>
  <c r="N589" i="1"/>
  <c r="N605" i="1"/>
  <c r="N609" i="1"/>
  <c r="N645" i="1"/>
  <c r="N665" i="1"/>
  <c r="N673" i="1"/>
  <c r="N689" i="1"/>
  <c r="N745" i="1"/>
  <c r="N785" i="1"/>
  <c r="N805" i="1"/>
  <c r="N869" i="1"/>
  <c r="N929" i="1"/>
  <c r="N945" i="1"/>
  <c r="N973" i="1"/>
  <c r="N1001" i="1"/>
  <c r="N1013" i="1"/>
  <c r="N1053" i="1"/>
  <c r="N1057" i="1"/>
  <c r="N1153" i="1"/>
  <c r="N1165" i="1"/>
  <c r="N1173" i="1"/>
  <c r="N1181" i="1"/>
  <c r="N1185" i="1"/>
  <c r="N1189" i="1"/>
  <c r="N1213" i="1"/>
  <c r="N1273" i="1"/>
  <c r="N1277" i="1"/>
  <c r="N1321" i="1"/>
  <c r="N454" i="1"/>
  <c r="N502" i="1"/>
  <c r="N550" i="1"/>
  <c r="N630" i="1"/>
  <c r="N662" i="1"/>
  <c r="N720" i="1"/>
  <c r="N744" i="1"/>
  <c r="N808" i="1"/>
  <c r="N824" i="1"/>
  <c r="N880" i="1"/>
  <c r="N904" i="1"/>
  <c r="N952" i="1"/>
  <c r="N1016" i="1"/>
  <c r="N1072" i="1"/>
  <c r="N1080" i="1"/>
  <c r="N1112" i="1"/>
  <c r="N1136" i="1"/>
  <c r="N1320" i="1"/>
  <c r="N1328" i="1"/>
  <c r="N1334" i="1"/>
  <c r="N1379" i="1"/>
  <c r="N1383" i="1"/>
  <c r="N1399" i="1"/>
  <c r="N1403" i="1"/>
  <c r="N1427" i="1"/>
  <c r="N1471" i="1"/>
  <c r="N1511" i="1"/>
  <c r="N1509" i="1"/>
  <c r="N1521" i="1"/>
  <c r="N330" i="1"/>
  <c r="N426" i="1"/>
  <c r="N762" i="1"/>
  <c r="N778" i="1"/>
  <c r="N834" i="1"/>
  <c r="N866" i="1"/>
  <c r="N882" i="1"/>
  <c r="N890" i="1"/>
  <c r="N930" i="1"/>
  <c r="N962" i="1"/>
  <c r="N994" i="1"/>
  <c r="N1002" i="1"/>
  <c r="N1026" i="1"/>
  <c r="N1058" i="1"/>
  <c r="N1138" i="1"/>
  <c r="N1186" i="1"/>
  <c r="N1226" i="1"/>
  <c r="N1250" i="1"/>
  <c r="N1258" i="1"/>
  <c r="N1306" i="1"/>
  <c r="N1322" i="1"/>
  <c r="N1360" i="1"/>
  <c r="N1388" i="1"/>
  <c r="N1480" i="1"/>
  <c r="N1484" i="1"/>
  <c r="N1512" i="1"/>
  <c r="N1532" i="1"/>
  <c r="N1357" i="1"/>
  <c r="N1365" i="1"/>
  <c r="N1457" i="1"/>
  <c r="N1469" i="1"/>
  <c r="N1481" i="1"/>
  <c r="N414" i="1"/>
  <c r="N558" i="1"/>
  <c r="N708" i="1"/>
  <c r="N740" i="1"/>
  <c r="N788" i="1"/>
  <c r="N812" i="1"/>
  <c r="N828" i="1"/>
  <c r="N868" i="1"/>
  <c r="N900" i="1"/>
  <c r="N924" i="1"/>
  <c r="N1036" i="1"/>
  <c r="N1068" i="1"/>
  <c r="N1076" i="1"/>
  <c r="N1092" i="1"/>
  <c r="N1116" i="1"/>
  <c r="N1188" i="1"/>
  <c r="N1196" i="1"/>
  <c r="N1204" i="1"/>
  <c r="N1405" i="1"/>
  <c r="N1429" i="1"/>
  <c r="N1493" i="1"/>
  <c r="N338" i="1"/>
  <c r="N482" i="1"/>
  <c r="N530" i="1"/>
  <c r="N546" i="1"/>
  <c r="N610" i="1"/>
  <c r="N782" i="1"/>
  <c r="N854" i="1"/>
  <c r="N870" i="1"/>
  <c r="N910" i="1"/>
  <c r="N950" i="1"/>
  <c r="N990" i="1"/>
  <c r="N1038" i="1"/>
  <c r="N1094" i="1"/>
  <c r="N1118" i="1"/>
  <c r="N1142" i="1"/>
  <c r="N1190" i="1"/>
  <c r="N1222" i="1"/>
  <c r="N1238" i="1"/>
  <c r="N1254" i="1"/>
  <c r="N1332" i="1"/>
  <c r="N1346" i="1"/>
  <c r="N1382" i="1"/>
  <c r="N1414" i="1"/>
  <c r="N1446" i="1"/>
  <c r="N1450" i="1"/>
  <c r="N1458" i="1"/>
  <c r="N1474" i="1"/>
  <c r="N1494" i="1"/>
  <c r="N1522" i="1"/>
  <c r="N1526" i="1"/>
  <c r="N1530" i="1"/>
  <c r="N1546" i="1"/>
  <c r="N1467" i="1"/>
  <c r="N1491" i="1"/>
  <c r="N1507" i="1"/>
  <c r="N1547" i="1"/>
  <c r="N1533" i="1"/>
  <c r="N527" i="1"/>
  <c r="N787" i="1"/>
  <c r="N907" i="1"/>
  <c r="N1035" i="1"/>
  <c r="N260" i="1"/>
  <c r="N648" i="1"/>
  <c r="N133" i="1"/>
  <c r="N390" i="1"/>
  <c r="N1551" i="1"/>
  <c r="N362" i="1"/>
  <c r="N1266" i="1"/>
  <c r="N1298" i="1"/>
  <c r="N820" i="1"/>
  <c r="N1166" i="1"/>
  <c r="N1426" i="1"/>
  <c r="N4" i="1"/>
  <c r="N42" i="1"/>
  <c r="N46" i="1"/>
  <c r="N62" i="1"/>
  <c r="N118" i="1"/>
  <c r="N182" i="1"/>
  <c r="N242" i="1"/>
  <c r="N75" i="1"/>
  <c r="N111" i="1"/>
  <c r="N139" i="1"/>
  <c r="N175" i="1"/>
  <c r="N199" i="1"/>
  <c r="N227" i="1"/>
  <c r="N299" i="1"/>
  <c r="N311" i="1"/>
  <c r="N327" i="1"/>
  <c r="N347" i="1"/>
  <c r="N375" i="1"/>
  <c r="N427" i="1"/>
  <c r="N439" i="1"/>
  <c r="N523" i="1"/>
  <c r="N535" i="1"/>
  <c r="N547" i="1"/>
  <c r="N783" i="1"/>
  <c r="N819" i="1"/>
  <c r="N831" i="1"/>
  <c r="N863" i="1"/>
  <c r="N891" i="1"/>
  <c r="N939" i="1"/>
  <c r="N991" i="1"/>
  <c r="N1163" i="1"/>
  <c r="N1171" i="1"/>
  <c r="N1211" i="1"/>
  <c r="N1215" i="1"/>
  <c r="N1275" i="1"/>
  <c r="N19" i="1"/>
  <c r="N88" i="1"/>
  <c r="N152" i="1"/>
  <c r="N168" i="1"/>
  <c r="N308" i="1"/>
  <c r="N336" i="1"/>
  <c r="N476" i="1"/>
  <c r="N492" i="1"/>
  <c r="N576" i="1"/>
  <c r="N636" i="1"/>
  <c r="N684" i="1"/>
  <c r="N33" i="1"/>
  <c r="N101" i="1"/>
  <c r="N129" i="1"/>
  <c r="N233" i="1"/>
  <c r="N257" i="1"/>
  <c r="N265" i="1"/>
  <c r="N361" i="1"/>
  <c r="N369" i="1"/>
  <c r="N385" i="1"/>
  <c r="N409" i="1"/>
  <c r="N501" i="1"/>
  <c r="N505" i="1"/>
  <c r="N561" i="1"/>
  <c r="N585" i="1"/>
  <c r="N629" i="1"/>
  <c r="N725" i="1"/>
  <c r="N769" i="1"/>
  <c r="N793" i="1"/>
  <c r="N881" i="1"/>
  <c r="N913" i="1"/>
  <c r="N925" i="1"/>
  <c r="N949" i="1"/>
  <c r="N953" i="1"/>
  <c r="N969" i="1"/>
  <c r="N1041" i="1"/>
  <c r="N1085" i="1"/>
  <c r="N1137" i="1"/>
  <c r="N1145" i="1"/>
  <c r="N1249" i="1"/>
  <c r="N1265" i="1"/>
  <c r="N1293" i="1"/>
  <c r="N1317" i="1"/>
  <c r="N1333" i="1"/>
  <c r="N888" i="1"/>
  <c r="N1032" i="1"/>
  <c r="N1280" i="1"/>
  <c r="N1304" i="1"/>
  <c r="N1343" i="1"/>
  <c r="N1347" i="1"/>
  <c r="N1447" i="1"/>
  <c r="N570" i="1"/>
  <c r="N826" i="1"/>
  <c r="N842" i="1"/>
  <c r="N1130" i="1"/>
  <c r="N1202" i="1"/>
  <c r="N1368" i="1"/>
  <c r="N1380" i="1"/>
  <c r="N1392" i="1"/>
  <c r="N1460" i="1"/>
  <c r="N1476" i="1"/>
  <c r="N1488" i="1"/>
  <c r="N1496" i="1"/>
  <c r="N1508" i="1"/>
  <c r="N1524" i="1"/>
  <c r="N1537" i="1"/>
  <c r="N398" i="1"/>
  <c r="N462" i="1"/>
  <c r="N606" i="1"/>
  <c r="N622" i="1"/>
  <c r="N654" i="1"/>
  <c r="N700" i="1"/>
  <c r="N756" i="1"/>
  <c r="N804" i="1"/>
  <c r="N852" i="1"/>
  <c r="N980" i="1"/>
  <c r="N1004" i="1"/>
  <c r="N1228" i="1"/>
  <c r="N1236" i="1"/>
  <c r="N434" i="1"/>
  <c r="N594" i="1"/>
  <c r="N690" i="1"/>
  <c r="N718" i="1"/>
  <c r="N766" i="1"/>
  <c r="N1014" i="1"/>
  <c r="N1022" i="1"/>
  <c r="N1054" i="1"/>
  <c r="N1070" i="1"/>
  <c r="N1078" i="1"/>
  <c r="N1102" i="1"/>
  <c r="N1402" i="1"/>
  <c r="N1406" i="1"/>
  <c r="N1422" i="1"/>
  <c r="N1434" i="1"/>
  <c r="N1470" i="1"/>
  <c r="N1531" i="1"/>
  <c r="N1518" i="1"/>
  <c r="N1545" i="1"/>
  <c r="N876" i="1"/>
  <c r="N1387" i="1"/>
  <c r="N678" i="1"/>
  <c r="N1177" i="1"/>
  <c r="N641" i="1"/>
  <c r="N97" i="1"/>
  <c r="N384" i="1"/>
  <c r="N1091" i="1"/>
  <c r="N187" i="1"/>
  <c r="N26" i="1"/>
  <c r="N1206" i="1"/>
  <c r="N1104" i="1"/>
  <c r="N432" i="1"/>
  <c r="N9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Rascon</author>
  </authors>
  <commentList>
    <comment ref="N1" authorId="0" shapeId="0" xr:uid="{D44BBE56-41EE-46FD-A815-506FC17F805F}">
      <text>
        <r>
          <rPr>
            <b/>
            <sz val="9"/>
            <color indexed="81"/>
            <rFont val="Tahoma"/>
            <charset val="1"/>
          </rPr>
          <t>Tomas Rascon:</t>
        </r>
        <r>
          <rPr>
            <sz val="9"/>
            <color indexed="81"/>
            <rFont val="Tahoma"/>
            <charset val="1"/>
          </rPr>
          <t xml:space="preserve">
From N to U are columns for each pivot table</t>
        </r>
      </text>
    </comment>
    <comment ref="W113" authorId="0" shapeId="0" xr:uid="{501B0095-8F43-4C79-88EE-F6A5CDF1FE66}">
      <text>
        <r>
          <rPr>
            <b/>
            <sz val="9"/>
            <color indexed="81"/>
            <rFont val="Tahoma"/>
            <charset val="1"/>
          </rPr>
          <t>Tomas Rascon:</t>
        </r>
        <r>
          <rPr>
            <sz val="9"/>
            <color indexed="81"/>
            <rFont val="Tahoma"/>
            <charset val="1"/>
          </rPr>
          <t xml:space="preserve">
From column W to AB and row 113 are columns without blanks or missing values for regression.
Same happens with columns AI and AJ  from row 64.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3AE142-9F48-4EFA-BF5A-4DAD5960A3F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5FF31EA-B22B-4A5E-9ED4-8D7C7C3526B0}" name="WorksheetConnection_a!$M:$N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aMN1"/>
        </x15:connection>
      </ext>
    </extLst>
  </connection>
  <connection id="3" xr16:uid="{A3EB9142-BF09-44A6-8412-6A369BA5DC96}" name="WorksheetConnection_a!$M:$N1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aMN11"/>
        </x15:connection>
      </ext>
    </extLst>
  </connection>
  <connection id="4" xr16:uid="{BA4665C4-D5CB-4AF0-9A39-4A23CE023328}" name="WorksheetConnection_a!$O:$P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aOP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<sst xmlns="http://schemas.openxmlformats.org/spreadsheetml/2006/main" count="17209" uniqueCount="1393">
  <si>
    <t>Flight Number</t>
  </si>
  <si>
    <t>Airline</t>
  </si>
  <si>
    <t>Status</t>
  </si>
  <si>
    <t>City</t>
  </si>
  <si>
    <t>Airport</t>
  </si>
  <si>
    <t>Aircraft Model</t>
  </si>
  <si>
    <t>BT349</t>
  </si>
  <si>
    <t>airBaltic</t>
  </si>
  <si>
    <t>Landed 01:14</t>
  </si>
  <si>
    <t>Riga</t>
  </si>
  <si>
    <t>Riga International Airport</t>
  </si>
  <si>
    <t>Airbus A220-300</t>
  </si>
  <si>
    <t>W61914</t>
  </si>
  <si>
    <t>Wizz Air</t>
  </si>
  <si>
    <t>Landed 03:48</t>
  </si>
  <si>
    <t>Barcelona</t>
  </si>
  <si>
    <t>Barcelona El Prat Airport</t>
  </si>
  <si>
    <t>Airbus A321-271NX</t>
  </si>
  <si>
    <t>LO773</t>
  </si>
  <si>
    <t>LOT</t>
  </si>
  <si>
    <t>Landed 01:43</t>
  </si>
  <si>
    <t>Warsaw</t>
  </si>
  <si>
    <t>Warsaw Chopin Airport</t>
  </si>
  <si>
    <t>Boeing 737-89P</t>
  </si>
  <si>
    <t>BT928</t>
  </si>
  <si>
    <t>Landed 02:21</t>
  </si>
  <si>
    <t>Munich</t>
  </si>
  <si>
    <t>Munich Airport</t>
  </si>
  <si>
    <t>BT936</t>
  </si>
  <si>
    <t>Landed 01:52</t>
  </si>
  <si>
    <t>Prague</t>
  </si>
  <si>
    <t>Prague Vaclav Havel Airport</t>
  </si>
  <si>
    <t>W61954</t>
  </si>
  <si>
    <t>Landed 01:32</t>
  </si>
  <si>
    <t>Milan</t>
  </si>
  <si>
    <t>Milan Malpensa Airport</t>
  </si>
  <si>
    <t>LX1338</t>
  </si>
  <si>
    <t>Landed 02:48</t>
  </si>
  <si>
    <t>Zurich</t>
  </si>
  <si>
    <t>Zurich Airport</t>
  </si>
  <si>
    <t>SK742</t>
  </si>
  <si>
    <t>SAS</t>
  </si>
  <si>
    <t>Landed 01:21</t>
  </si>
  <si>
    <t>Copenhagen</t>
  </si>
  <si>
    <t>Copenhagen Airport</t>
  </si>
  <si>
    <t>Mitsubishi CRJ-900ER</t>
  </si>
  <si>
    <t>U57132</t>
  </si>
  <si>
    <t>SkyUp Airlines</t>
  </si>
  <si>
    <t>Landed 04:08</t>
  </si>
  <si>
    <t>Sharm el-Sheikh</t>
  </si>
  <si>
    <t>Sharm el-Sheikh International Airport</t>
  </si>
  <si>
    <t>Boeing 737-8Z0</t>
  </si>
  <si>
    <t>BT9801</t>
  </si>
  <si>
    <t>Landed 08:04</t>
  </si>
  <si>
    <t>HQ5959</t>
  </si>
  <si>
    <t>Compass Air Cargo</t>
  </si>
  <si>
    <t>Landed 07:31</t>
  </si>
  <si>
    <t>Leipzig</t>
  </si>
  <si>
    <t>Leipzig Halle Airport</t>
  </si>
  <si>
    <t>Boeing 737-86N(SF)</t>
  </si>
  <si>
    <t>BT341</t>
  </si>
  <si>
    <t>Landed 08:28</t>
  </si>
  <si>
    <t>FR198</t>
  </si>
  <si>
    <t>Lauda Europe</t>
  </si>
  <si>
    <t>Landed 08:53</t>
  </si>
  <si>
    <t>Vienna</t>
  </si>
  <si>
    <t>Vienna International Airport</t>
  </si>
  <si>
    <t>Airbus A320-214</t>
  </si>
  <si>
    <t>AY1101</t>
  </si>
  <si>
    <t>Finnair</t>
  </si>
  <si>
    <t>Landed 09:22</t>
  </si>
  <si>
    <t>Helsinki</t>
  </si>
  <si>
    <t>Helsinki Vantaa Airport</t>
  </si>
  <si>
    <t>ATR 72-500</t>
  </si>
  <si>
    <t>W61968</t>
  </si>
  <si>
    <t>Landed 08:48</t>
  </si>
  <si>
    <t>Tallinn</t>
  </si>
  <si>
    <t>Tallinn Lennart Meri Airport</t>
  </si>
  <si>
    <t>IZ2549</t>
  </si>
  <si>
    <t>Electra Airways</t>
  </si>
  <si>
    <t>Landed 09:12</t>
  </si>
  <si>
    <t>Tel Aviv</t>
  </si>
  <si>
    <t>Tel Aviv Ben Gurion International Airport</t>
  </si>
  <si>
    <t>Airbus A320-232</t>
  </si>
  <si>
    <t>FR4444</t>
  </si>
  <si>
    <t>Ryanair</t>
  </si>
  <si>
    <t>Landed 11:36</t>
  </si>
  <si>
    <t>Corfu</t>
  </si>
  <si>
    <t>Corfu International Airport</t>
  </si>
  <si>
    <t>Boeing 737-8AS</t>
  </si>
  <si>
    <t>LO777</t>
  </si>
  <si>
    <t>Landed 10:40</t>
  </si>
  <si>
    <t>Embraer E195AR</t>
  </si>
  <si>
    <t>BT902</t>
  </si>
  <si>
    <t>Landed 11:33</t>
  </si>
  <si>
    <t>TK1407</t>
  </si>
  <si>
    <t>Turkish Airlines</t>
  </si>
  <si>
    <t>Landed 10:22</t>
  </si>
  <si>
    <t>Istanbul</t>
  </si>
  <si>
    <t>Istanbul Airport</t>
  </si>
  <si>
    <t>FR543</t>
  </si>
  <si>
    <t>Landed 11:49</t>
  </si>
  <si>
    <t>London</t>
  </si>
  <si>
    <t>London Stansted Airport</t>
  </si>
  <si>
    <t>FR4978</t>
  </si>
  <si>
    <t>Landed 12:03</t>
  </si>
  <si>
    <t>Athens</t>
  </si>
  <si>
    <t>Athens Eleftherios Venizelos</t>
  </si>
  <si>
    <t>LH894</t>
  </si>
  <si>
    <t>Landed 13:15</t>
  </si>
  <si>
    <t>Frankfurt</t>
  </si>
  <si>
    <t>Frankfurt Airport</t>
  </si>
  <si>
    <t>Airbus A320-271N</t>
  </si>
  <si>
    <t>W61902</t>
  </si>
  <si>
    <t>Landed 12:29</t>
  </si>
  <si>
    <t>London Luton Airport</t>
  </si>
  <si>
    <t>HN2352</t>
  </si>
  <si>
    <t>Heston Airlines</t>
  </si>
  <si>
    <t>Landed 12:37</t>
  </si>
  <si>
    <t>Antalya</t>
  </si>
  <si>
    <t>Antalya Airport</t>
  </si>
  <si>
    <t>AY1103</t>
  </si>
  <si>
    <t>Landed 13:21</t>
  </si>
  <si>
    <t>N/A</t>
  </si>
  <si>
    <t>GetJet Airlines</t>
  </si>
  <si>
    <t>Landed 13:16</t>
  </si>
  <si>
    <t>Boeing 737-85P</t>
  </si>
  <si>
    <t>FR7203</t>
  </si>
  <si>
    <t>Landed 13:06</t>
  </si>
  <si>
    <t>Malta</t>
  </si>
  <si>
    <t>Malta Luqa International Airport</t>
  </si>
  <si>
    <t>BT938</t>
  </si>
  <si>
    <t>Landed 13:02</t>
  </si>
  <si>
    <t>BT962</t>
  </si>
  <si>
    <t>Landed 13:28</t>
  </si>
  <si>
    <t>Amsterdam</t>
  </si>
  <si>
    <t>Amsterdam Schiphol Airport</t>
  </si>
  <si>
    <t>Landed 13:32</t>
  </si>
  <si>
    <t>Olbia</t>
  </si>
  <si>
    <t>Olbia Costa Smeralda Airport</t>
  </si>
  <si>
    <t>Airbus A320-216</t>
  </si>
  <si>
    <t>LO771</t>
  </si>
  <si>
    <t>Landed 13:49</t>
  </si>
  <si>
    <t>Embraer E175STD</t>
  </si>
  <si>
    <t>W61990</t>
  </si>
  <si>
    <t>Landed 13:58</t>
  </si>
  <si>
    <t>Billund</t>
  </si>
  <si>
    <t>Billund Airport</t>
  </si>
  <si>
    <t>BT343</t>
  </si>
  <si>
    <t>Landed 14:22</t>
  </si>
  <si>
    <t>DY1082</t>
  </si>
  <si>
    <t>Norwegian</t>
  </si>
  <si>
    <t>Landed 15:00</t>
  </si>
  <si>
    <t>Oslo</t>
  </si>
  <si>
    <t>Oslo Gardermoen Airport</t>
  </si>
  <si>
    <t>Boeing 737-8JP</t>
  </si>
  <si>
    <t>SK1742</t>
  </si>
  <si>
    <t>Landed 15:07</t>
  </si>
  <si>
    <t>Mitsubishi CRJ-900LR</t>
  </si>
  <si>
    <t>FR2872</t>
  </si>
  <si>
    <t>Landed 16:09</t>
  </si>
  <si>
    <t>Milan Bergamo Orio al Serio International Airport</t>
  </si>
  <si>
    <t>Boeing 737 MAX 8-200</t>
  </si>
  <si>
    <t>W61964</t>
  </si>
  <si>
    <t>Landed 15:24</t>
  </si>
  <si>
    <t>Reykjavik</t>
  </si>
  <si>
    <t>Keflavik International Airport</t>
  </si>
  <si>
    <t>BT930</t>
  </si>
  <si>
    <t>Landed 16:37</t>
  </si>
  <si>
    <t>Hamburg</t>
  </si>
  <si>
    <t>Hamburg Airport</t>
  </si>
  <si>
    <t>Landed 16:12</t>
  </si>
  <si>
    <t>Pula</t>
  </si>
  <si>
    <t>Pula Airport</t>
  </si>
  <si>
    <t>Cessna CitationJet</t>
  </si>
  <si>
    <t>LO797</t>
  </si>
  <si>
    <t>Landed 16:06</t>
  </si>
  <si>
    <t>Embraer E175LR</t>
  </si>
  <si>
    <t>FR1570</t>
  </si>
  <si>
    <t>Landed 16:45</t>
  </si>
  <si>
    <t>Berlin</t>
  </si>
  <si>
    <t>Berlin Brandenburg Airport</t>
  </si>
  <si>
    <t>AY1105</t>
  </si>
  <si>
    <t>Landed 17:53</t>
  </si>
  <si>
    <t>FR1502</t>
  </si>
  <si>
    <t>Landed 18:23</t>
  </si>
  <si>
    <t>LO775</t>
  </si>
  <si>
    <t>Landed 18:35</t>
  </si>
  <si>
    <t>Boeing 737 MAX 8</t>
  </si>
  <si>
    <t>LH896</t>
  </si>
  <si>
    <t>Lufthansa</t>
  </si>
  <si>
    <t>Landed 18:49</t>
  </si>
  <si>
    <t>W61948</t>
  </si>
  <si>
    <t>Landed 18:47</t>
  </si>
  <si>
    <t>Kutaisi</t>
  </si>
  <si>
    <t>Kutaisi International Airport</t>
  </si>
  <si>
    <t>W61727</t>
  </si>
  <si>
    <t>Landed 18:57</t>
  </si>
  <si>
    <t>Gdansk</t>
  </si>
  <si>
    <t>Gdansk Lech Walesa Airport</t>
  </si>
  <si>
    <t>W61938</t>
  </si>
  <si>
    <t>Landed 19:47</t>
  </si>
  <si>
    <t>Tirana</t>
  </si>
  <si>
    <t>Tirana International Airport</t>
  </si>
  <si>
    <t>BT934</t>
  </si>
  <si>
    <t>Landed 19:19</t>
  </si>
  <si>
    <t>Dusseldorf</t>
  </si>
  <si>
    <t>Dusseldorf Airport</t>
  </si>
  <si>
    <t>TK1409</t>
  </si>
  <si>
    <t>Landed 19:12</t>
  </si>
  <si>
    <t>Airbus A321-231</t>
  </si>
  <si>
    <t>BT960</t>
  </si>
  <si>
    <t>Landed 19:37</t>
  </si>
  <si>
    <t>FR3466</t>
  </si>
  <si>
    <t>Landed 20:22</t>
  </si>
  <si>
    <t>W61934</t>
  </si>
  <si>
    <t>Landed 19:51</t>
  </si>
  <si>
    <t>Dortmund</t>
  </si>
  <si>
    <t>Dortmund Airport</t>
  </si>
  <si>
    <t>BT347</t>
  </si>
  <si>
    <t>Landed 21:11</t>
  </si>
  <si>
    <t>Landed 20:57</t>
  </si>
  <si>
    <t>Burgas</t>
  </si>
  <si>
    <t>Burgas Airport</t>
  </si>
  <si>
    <t>D84555</t>
  </si>
  <si>
    <t>Landed 20:44</t>
  </si>
  <si>
    <t>Stockholm</t>
  </si>
  <si>
    <t>Stockholm Arlanda Airport</t>
  </si>
  <si>
    <t>AY1107</t>
  </si>
  <si>
    <t>Landed 21:23</t>
  </si>
  <si>
    <t>6H825</t>
  </si>
  <si>
    <t>Israir Airlines</t>
  </si>
  <si>
    <t>Landed 21:08</t>
  </si>
  <si>
    <t>BT906</t>
  </si>
  <si>
    <t>Delayed 01:04</t>
  </si>
  <si>
    <t>LO779</t>
  </si>
  <si>
    <t>Landed 22:38</t>
  </si>
  <si>
    <t>Embraer E190STD</t>
  </si>
  <si>
    <t>X98530</t>
  </si>
  <si>
    <t>Eurowings</t>
  </si>
  <si>
    <t>Landed 22:04</t>
  </si>
  <si>
    <t>TK6307</t>
  </si>
  <si>
    <t>Unknown</t>
  </si>
  <si>
    <t>Bucharest</t>
  </si>
  <si>
    <t>Bucharest Henri Coanda International Airport</t>
  </si>
  <si>
    <t>RE3328</t>
  </si>
  <si>
    <t>Landed 23:59</t>
  </si>
  <si>
    <t>Heraklion</t>
  </si>
  <si>
    <t>Heraklion International Airport</t>
  </si>
  <si>
    <t>Boeing 737-83N</t>
  </si>
  <si>
    <t>BT966</t>
  </si>
  <si>
    <t>Landed 23:25</t>
  </si>
  <si>
    <t>Paris</t>
  </si>
  <si>
    <t>Paris Charles de Gaulle Airport</t>
  </si>
  <si>
    <t>FR1308</t>
  </si>
  <si>
    <t>Landed 22:52</t>
  </si>
  <si>
    <t>Rome</t>
  </si>
  <si>
    <t>Rome Ciampino Airport</t>
  </si>
  <si>
    <t>LH898</t>
  </si>
  <si>
    <t>Landed 23:21</t>
  </si>
  <si>
    <t>Airbus A321-131</t>
  </si>
  <si>
    <t>FR1830</t>
  </si>
  <si>
    <t>Landed 23:48</t>
  </si>
  <si>
    <t>Venice</t>
  </si>
  <si>
    <t>Venice Treviso Airport</t>
  </si>
  <si>
    <t>BT922</t>
  </si>
  <si>
    <t>Landed 23:52</t>
  </si>
  <si>
    <t>W61974</t>
  </si>
  <si>
    <t>Landed 23:55</t>
  </si>
  <si>
    <t>Turku</t>
  </si>
  <si>
    <t>Turku Airport</t>
  </si>
  <si>
    <t>Landed 00:46</t>
  </si>
  <si>
    <t>Landed 00:13</t>
  </si>
  <si>
    <t>DE4800</t>
  </si>
  <si>
    <t>Landed 00:29</t>
  </si>
  <si>
    <t>Landed 00:49</t>
  </si>
  <si>
    <t>Embraer E195LR</t>
  </si>
  <si>
    <t>Landed 00:36</t>
  </si>
  <si>
    <t>DK4911</t>
  </si>
  <si>
    <t>Landed 01:09</t>
  </si>
  <si>
    <t>Bergen</t>
  </si>
  <si>
    <t>Bergen Flesland Airport</t>
  </si>
  <si>
    <t>Airbus A321-211</t>
  </si>
  <si>
    <t>Landed 01:16</t>
  </si>
  <si>
    <t>Landed 01:19</t>
  </si>
  <si>
    <t>W61940</t>
  </si>
  <si>
    <t>Landed 01:59</t>
  </si>
  <si>
    <t>Podgorica</t>
  </si>
  <si>
    <t>Podgorica Airport</t>
  </si>
  <si>
    <t>Landed 07:33</t>
  </si>
  <si>
    <t>Landed 11:03</t>
  </si>
  <si>
    <t>W62039</t>
  </si>
  <si>
    <t>Landed 08:33</t>
  </si>
  <si>
    <t>Krakow</t>
  </si>
  <si>
    <t>Krakow John Paul II International Airport</t>
  </si>
  <si>
    <t>Embraer E190LR</t>
  </si>
  <si>
    <t>Landed 08:51</t>
  </si>
  <si>
    <t>Landed 09:05</t>
  </si>
  <si>
    <t>Landed 10:09</t>
  </si>
  <si>
    <t>Palanga</t>
  </si>
  <si>
    <t>Palanga International Airport</t>
  </si>
  <si>
    <t>Diamond DA42 NG Twin Star</t>
  </si>
  <si>
    <t>Diverted to WAW</t>
  </si>
  <si>
    <t>Embraer E190AR</t>
  </si>
  <si>
    <t>Landed 10:24</t>
  </si>
  <si>
    <t>Boeing 737-8F2</t>
  </si>
  <si>
    <t>X98432</t>
  </si>
  <si>
    <t>Landed 10:59</t>
  </si>
  <si>
    <t>Tivat</t>
  </si>
  <si>
    <t>Tivat Airport</t>
  </si>
  <si>
    <t>Landed 10:48</t>
  </si>
  <si>
    <t>Landed 11:56</t>
  </si>
  <si>
    <t>Varna</t>
  </si>
  <si>
    <t>Varna Airport</t>
  </si>
  <si>
    <t>Landed 12:08</t>
  </si>
  <si>
    <t>Landed 12:32</t>
  </si>
  <si>
    <t>Landed 13:22</t>
  </si>
  <si>
    <t>HN2366</t>
  </si>
  <si>
    <t>Landed 12:57</t>
  </si>
  <si>
    <t>FR1786</t>
  </si>
  <si>
    <t>Landed 13:08</t>
  </si>
  <si>
    <t>FR7139</t>
  </si>
  <si>
    <t>Landed 13:03</t>
  </si>
  <si>
    <t>Dublin</t>
  </si>
  <si>
    <t>Dublin Airport</t>
  </si>
  <si>
    <t>Landed 13:11</t>
  </si>
  <si>
    <t>Landed 13:55</t>
  </si>
  <si>
    <t>W62425</t>
  </si>
  <si>
    <t>Landed 13:47</t>
  </si>
  <si>
    <t>Budapest</t>
  </si>
  <si>
    <t>Budapest Ferenc Liszt International Airport</t>
  </si>
  <si>
    <t>BT986</t>
  </si>
  <si>
    <t>Landed 14:53</t>
  </si>
  <si>
    <t>Landed 15:04</t>
  </si>
  <si>
    <t>Landed 15:35</t>
  </si>
  <si>
    <t>SN2371</t>
  </si>
  <si>
    <t>Landed 15:20</t>
  </si>
  <si>
    <t>Brussels</t>
  </si>
  <si>
    <t>Brussels Airport</t>
  </si>
  <si>
    <t>AVIATOR.S5</t>
  </si>
  <si>
    <t>Landed 15:15</t>
  </si>
  <si>
    <t>Bolzano</t>
  </si>
  <si>
    <t>Bolzano Airport</t>
  </si>
  <si>
    <t>Cessna Citation M2</t>
  </si>
  <si>
    <t>FR8366</t>
  </si>
  <si>
    <t>Landed 15:11</t>
  </si>
  <si>
    <t>Turin</t>
  </si>
  <si>
    <t>Turin Caselle Airport</t>
  </si>
  <si>
    <t>W61912</t>
  </si>
  <si>
    <t>Malaga</t>
  </si>
  <si>
    <t>Malaga Costa Del Sol Airport</t>
  </si>
  <si>
    <t>FR7234</t>
  </si>
  <si>
    <t>Paris Beauvais-Tille Airport</t>
  </si>
  <si>
    <t>Landed 16:22</t>
  </si>
  <si>
    <t>Landed 17:16</t>
  </si>
  <si>
    <t>Landed 17:08</t>
  </si>
  <si>
    <t>BT904</t>
  </si>
  <si>
    <t>Landed 18:53</t>
  </si>
  <si>
    <t>Landed 18:13</t>
  </si>
  <si>
    <t>Salerno</t>
  </si>
  <si>
    <t>Salerno Costa d'Amalfi Airport</t>
  </si>
  <si>
    <t>Embraer Phenom 300E</t>
  </si>
  <si>
    <t>Landed 18:07</t>
  </si>
  <si>
    <t>Valletta Airlines</t>
  </si>
  <si>
    <t>Landed 18:18</t>
  </si>
  <si>
    <t>Landed 18:40</t>
  </si>
  <si>
    <t>W61922</t>
  </si>
  <si>
    <t>Landed 19:02</t>
  </si>
  <si>
    <t>Eindhoven</t>
  </si>
  <si>
    <t>Eindhoven Airport</t>
  </si>
  <si>
    <t>Landed 18:44</t>
  </si>
  <si>
    <t>Landed 18:30</t>
  </si>
  <si>
    <t>FR7654</t>
  </si>
  <si>
    <t>Landed 19:17</t>
  </si>
  <si>
    <t>Landed 19:13</t>
  </si>
  <si>
    <t>Landed 19:31</t>
  </si>
  <si>
    <t>Landed 22:15</t>
  </si>
  <si>
    <t>Canceled</t>
  </si>
  <si>
    <t>Landed 22:08</t>
  </si>
  <si>
    <t>Bodrum</t>
  </si>
  <si>
    <t>Bodrum Milas Airport</t>
  </si>
  <si>
    <t>Landed 22:18</t>
  </si>
  <si>
    <t>Landed 22:40</t>
  </si>
  <si>
    <t>BT926</t>
  </si>
  <si>
    <t>Delayed 00:06</t>
  </si>
  <si>
    <t>4X8164</t>
  </si>
  <si>
    <t>Delayed 00:56</t>
  </si>
  <si>
    <t>4M931</t>
  </si>
  <si>
    <t>SkyLine Express</t>
  </si>
  <si>
    <t>Landed 23:07</t>
  </si>
  <si>
    <t>Boeing 777-31H(ER)</t>
  </si>
  <si>
    <t>Landed 23:28</t>
  </si>
  <si>
    <t>Landed 23:24</t>
  </si>
  <si>
    <t>FR9154</t>
  </si>
  <si>
    <t>Landed 23:33</t>
  </si>
  <si>
    <t>FR4235</t>
  </si>
  <si>
    <t>Landed 23:50</t>
  </si>
  <si>
    <t>Landed 02:00</t>
  </si>
  <si>
    <t>Landed 00:43</t>
  </si>
  <si>
    <t>Landed 00:26</t>
  </si>
  <si>
    <t>BT9803</t>
  </si>
  <si>
    <t>Landed 02:04</t>
  </si>
  <si>
    <t>W61946</t>
  </si>
  <si>
    <t>Landed 01:01</t>
  </si>
  <si>
    <t>Larnaca</t>
  </si>
  <si>
    <t>Larnaca International Airport</t>
  </si>
  <si>
    <t>Landed 01:53</t>
  </si>
  <si>
    <t>Landed 01:35</t>
  </si>
  <si>
    <t>Landed 01:25</t>
  </si>
  <si>
    <t>TK6577</t>
  </si>
  <si>
    <t>Landed 09:47</t>
  </si>
  <si>
    <t>Landed 09:07</t>
  </si>
  <si>
    <t>Landed 08:47</t>
  </si>
  <si>
    <t>Landed 09:15</t>
  </si>
  <si>
    <t>Landed 09:39</t>
  </si>
  <si>
    <t>Landed 10:27</t>
  </si>
  <si>
    <t>Landed 10:02</t>
  </si>
  <si>
    <t>Landed 10:37</t>
  </si>
  <si>
    <t>FR4479</t>
  </si>
  <si>
    <t>Nuremberg</t>
  </si>
  <si>
    <t>Nuremberg Airport</t>
  </si>
  <si>
    <t>Landed 10:46</t>
  </si>
  <si>
    <t>W61958</t>
  </si>
  <si>
    <t>Landed 11:25</t>
  </si>
  <si>
    <t>Catania</t>
  </si>
  <si>
    <t>Catania Fontanarossa Airport</t>
  </si>
  <si>
    <t>Landed 12:06</t>
  </si>
  <si>
    <t>HN2356</t>
  </si>
  <si>
    <t>Landed 12:45</t>
  </si>
  <si>
    <t>Landed 12:49</t>
  </si>
  <si>
    <t>Landed 13:00</t>
  </si>
  <si>
    <t>Patras</t>
  </si>
  <si>
    <t>Patras Araxos Airport</t>
  </si>
  <si>
    <t>Landed 13:38</t>
  </si>
  <si>
    <t>Landed 13:26</t>
  </si>
  <si>
    <t>Landed 13:04</t>
  </si>
  <si>
    <t>X98524</t>
  </si>
  <si>
    <t>Landed 13:39</t>
  </si>
  <si>
    <t>Landed 15:27</t>
  </si>
  <si>
    <t>Landed 13:57</t>
  </si>
  <si>
    <t>Landed 14:14</t>
  </si>
  <si>
    <t>Landed 14:18</t>
  </si>
  <si>
    <t>Landed 15:17</t>
  </si>
  <si>
    <t>Landed 15:14</t>
  </si>
  <si>
    <t>Landed 16:40</t>
  </si>
  <si>
    <t>Landed 16:33</t>
  </si>
  <si>
    <t>FR1826</t>
  </si>
  <si>
    <t>Landed 16:23</t>
  </si>
  <si>
    <t>Landed 16:42</t>
  </si>
  <si>
    <t>Landed 17:09</t>
  </si>
  <si>
    <t>Landed 18:20</t>
  </si>
  <si>
    <t>Landed 18:02</t>
  </si>
  <si>
    <t>BT980</t>
  </si>
  <si>
    <t>Landed 19:32</t>
  </si>
  <si>
    <t>Landed 19:42</t>
  </si>
  <si>
    <t>Landed 19:52</t>
  </si>
  <si>
    <t>Landed 20:49</t>
  </si>
  <si>
    <t>HOT2322</t>
  </si>
  <si>
    <t>Landed 21:18</t>
  </si>
  <si>
    <t>Landed 21:07</t>
  </si>
  <si>
    <t>Landed 21:30</t>
  </si>
  <si>
    <t>Landed 21:56</t>
  </si>
  <si>
    <t>Landed 22:01</t>
  </si>
  <si>
    <t>4X8322</t>
  </si>
  <si>
    <t>Landed 22:32</t>
  </si>
  <si>
    <t>Landed 22:59</t>
  </si>
  <si>
    <t>Rhodes</t>
  </si>
  <si>
    <t>Rhodes International Airport</t>
  </si>
  <si>
    <t>Landed 23:26</t>
  </si>
  <si>
    <t>Airbus A321-251NX</t>
  </si>
  <si>
    <t>W61978</t>
  </si>
  <si>
    <t>Landed 23:56</t>
  </si>
  <si>
    <t>Landed 01:58</t>
  </si>
  <si>
    <t>Landed 00:18</t>
  </si>
  <si>
    <t>Landed 00:42</t>
  </si>
  <si>
    <t>Landed 01:22</t>
  </si>
  <si>
    <t>A3772</t>
  </si>
  <si>
    <t>Aegean Airlines</t>
  </si>
  <si>
    <t>Landed 02:07</t>
  </si>
  <si>
    <t>BT970</t>
  </si>
  <si>
    <t>Landed 02:43</t>
  </si>
  <si>
    <t>Nice</t>
  </si>
  <si>
    <t>Nice Cote d'Azur Airport</t>
  </si>
  <si>
    <t>BT990</t>
  </si>
  <si>
    <t>Landed 03:27</t>
  </si>
  <si>
    <t>Lisbon</t>
  </si>
  <si>
    <t>Lisbon Humberto Delgado Airport</t>
  </si>
  <si>
    <t>BT982</t>
  </si>
  <si>
    <t>Landed 03:59</t>
  </si>
  <si>
    <t>Palma de Mallorca</t>
  </si>
  <si>
    <t>Palma de Mallorca Airport</t>
  </si>
  <si>
    <t>Landed 08:46</t>
  </si>
  <si>
    <t>Landed 08:52</t>
  </si>
  <si>
    <t>Landed 09:48</t>
  </si>
  <si>
    <t>Landed 11:20</t>
  </si>
  <si>
    <t>Landed 10:50</t>
  </si>
  <si>
    <t>Landed 11:04</t>
  </si>
  <si>
    <t>Landed 11:10</t>
  </si>
  <si>
    <t>Landed 11:22</t>
  </si>
  <si>
    <t>Landed 11:57</t>
  </si>
  <si>
    <t>Landed 11:45</t>
  </si>
  <si>
    <t>Landed 12:23</t>
  </si>
  <si>
    <t>Landed 12:16</t>
  </si>
  <si>
    <t>Landed 12:48</t>
  </si>
  <si>
    <t>Landed 12:55</t>
  </si>
  <si>
    <t>Landed 12:59</t>
  </si>
  <si>
    <t>HN2354</t>
  </si>
  <si>
    <t>Landed 12:50</t>
  </si>
  <si>
    <t>Lamezia Terme</t>
  </si>
  <si>
    <t>Lamezia Terme Airport</t>
  </si>
  <si>
    <t>Landed 14:00</t>
  </si>
  <si>
    <t>Landed 13:46</t>
  </si>
  <si>
    <t>OS917</t>
  </si>
  <si>
    <t>Austrian Airlines</t>
  </si>
  <si>
    <t>Landed 15:05</t>
  </si>
  <si>
    <t>Landed 15:43</t>
  </si>
  <si>
    <t>Landed 15:08</t>
  </si>
  <si>
    <t>Landed 16:31</t>
  </si>
  <si>
    <t>Landed 16:25</t>
  </si>
  <si>
    <t>FR1856</t>
  </si>
  <si>
    <t>Landed 16:41</t>
  </si>
  <si>
    <t>Frankfurt Hahn Airport</t>
  </si>
  <si>
    <t>Landed 17:22</t>
  </si>
  <si>
    <t>Landed 17:18</t>
  </si>
  <si>
    <t>TK6459</t>
  </si>
  <si>
    <t>Landed 18:04</t>
  </si>
  <si>
    <t>Landed 17:59</t>
  </si>
  <si>
    <t>Landed 18:45</t>
  </si>
  <si>
    <t>Landed 18:22</t>
  </si>
  <si>
    <t>Landed 18:54</t>
  </si>
  <si>
    <t>Landed 18:58</t>
  </si>
  <si>
    <t>Landed 19:34</t>
  </si>
  <si>
    <t>Landed 19:46</t>
  </si>
  <si>
    <t>HN2392</t>
  </si>
  <si>
    <t>Landed 20:15</t>
  </si>
  <si>
    <t>Landed 20:25</t>
  </si>
  <si>
    <t>4X8452</t>
  </si>
  <si>
    <t>Landed 20:20</t>
  </si>
  <si>
    <t>Landed 21:19</t>
  </si>
  <si>
    <t>Landed 23:27</t>
  </si>
  <si>
    <t>W61970</t>
  </si>
  <si>
    <t>Landed 21:22</t>
  </si>
  <si>
    <t>Landed 22:05</t>
  </si>
  <si>
    <t>Landed 22:45</t>
  </si>
  <si>
    <t>Landed 22:36</t>
  </si>
  <si>
    <t>Landed 22:48</t>
  </si>
  <si>
    <t>Landed 22:55</t>
  </si>
  <si>
    <t>Landed 23:20</t>
  </si>
  <si>
    <t>Landed 23:17</t>
  </si>
  <si>
    <t>Landed 23:44</t>
  </si>
  <si>
    <t>Landed 00:55</t>
  </si>
  <si>
    <t>Landed 00:41</t>
  </si>
  <si>
    <t>Landed 00:52</t>
  </si>
  <si>
    <t>Landed 00:09</t>
  </si>
  <si>
    <t>Landed 01:26</t>
  </si>
  <si>
    <t>CityJet</t>
  </si>
  <si>
    <t>Landed 01:12</t>
  </si>
  <si>
    <t>Mitsubishi CRJ-1000EL</t>
  </si>
  <si>
    <t>Landed 01:06</t>
  </si>
  <si>
    <t>KM9902</t>
  </si>
  <si>
    <t>Landed 04:43</t>
  </si>
  <si>
    <t>HOT813</t>
  </si>
  <si>
    <t>Landed 04:17</t>
  </si>
  <si>
    <t>Forli</t>
  </si>
  <si>
    <t>Forli Airport</t>
  </si>
  <si>
    <t>QY5959</t>
  </si>
  <si>
    <t>DHL</t>
  </si>
  <si>
    <t>Landed 05:14</t>
  </si>
  <si>
    <t>Boeing 737-8K2(SF)</t>
  </si>
  <si>
    <t>Landed 07:59</t>
  </si>
  <si>
    <t>Landed 08:43</t>
  </si>
  <si>
    <t>Landed 08:39</t>
  </si>
  <si>
    <t>Landed 09:21</t>
  </si>
  <si>
    <t>Landed 09:06</t>
  </si>
  <si>
    <t>Landed 09:34</t>
  </si>
  <si>
    <t>Malta Air</t>
  </si>
  <si>
    <t>Landed 09:56</t>
  </si>
  <si>
    <t>Landed 10:31</t>
  </si>
  <si>
    <t>Landed 10:52</t>
  </si>
  <si>
    <t>Landed 10:54</t>
  </si>
  <si>
    <t>Landed 11:21</t>
  </si>
  <si>
    <t>Landed 11:39</t>
  </si>
  <si>
    <t>Landed 12:38</t>
  </si>
  <si>
    <t>Landed 15:16</t>
  </si>
  <si>
    <t>TK6457</t>
  </si>
  <si>
    <t>Turkish Cargo</t>
  </si>
  <si>
    <t>Airbus A330-243F</t>
  </si>
  <si>
    <t>Landed 12:28</t>
  </si>
  <si>
    <t>Landed 12:47</t>
  </si>
  <si>
    <t>Landed 13:14</t>
  </si>
  <si>
    <t>Landed 13:12</t>
  </si>
  <si>
    <t>BT964</t>
  </si>
  <si>
    <t>Avion Express</t>
  </si>
  <si>
    <t>Landed 13:56</t>
  </si>
  <si>
    <t>Embraer E195-E2</t>
  </si>
  <si>
    <t>Landed 13:53</t>
  </si>
  <si>
    <t>Landed 14:28</t>
  </si>
  <si>
    <t>Landed 15:18</t>
  </si>
  <si>
    <t>Landed 15:06</t>
  </si>
  <si>
    <t>Landed 15:25</t>
  </si>
  <si>
    <t>Landed 15:44</t>
  </si>
  <si>
    <t>Landed 15:49</t>
  </si>
  <si>
    <t>Landed 16:18</t>
  </si>
  <si>
    <t>Landed 16:51</t>
  </si>
  <si>
    <t>Landed 17:49</t>
  </si>
  <si>
    <t>Landed 18:29</t>
  </si>
  <si>
    <t>arkia</t>
  </si>
  <si>
    <t>Landed 20:06</t>
  </si>
  <si>
    <t>Landed 19:18</t>
  </si>
  <si>
    <t>Landed 19:54</t>
  </si>
  <si>
    <t>Landed 20:10</t>
  </si>
  <si>
    <t>Landed 20:16</t>
  </si>
  <si>
    <t>Suwalki</t>
  </si>
  <si>
    <t>Suwalki Airport</t>
  </si>
  <si>
    <t>Cirrus SR22T</t>
  </si>
  <si>
    <t>Landed 21:10</t>
  </si>
  <si>
    <t>Landed 21:40</t>
  </si>
  <si>
    <t>Luxembourg</t>
  </si>
  <si>
    <t>Luxembourg Findel Airport</t>
  </si>
  <si>
    <t>Eclipse 500</t>
  </si>
  <si>
    <t>Landed 21:45</t>
  </si>
  <si>
    <t>Landed 21:50</t>
  </si>
  <si>
    <t>Landed 22:16</t>
  </si>
  <si>
    <t>Delayed 00:14</t>
  </si>
  <si>
    <t>Landed 22:24</t>
  </si>
  <si>
    <t>Vilnius</t>
  </si>
  <si>
    <t>Vilnius International Airport</t>
  </si>
  <si>
    <t>X98652</t>
  </si>
  <si>
    <t>Landed 22:22</t>
  </si>
  <si>
    <t>Enfidha</t>
  </si>
  <si>
    <t>Enfidha Hammamet International Airport</t>
  </si>
  <si>
    <t>Landed 23:34</t>
  </si>
  <si>
    <t>Delayed 01:30</t>
  </si>
  <si>
    <t>Landed 00:25</t>
  </si>
  <si>
    <t>Landed 00:11</t>
  </si>
  <si>
    <t>Landed 00:35</t>
  </si>
  <si>
    <t>Landed 00:54</t>
  </si>
  <si>
    <t>Landed 01:08</t>
  </si>
  <si>
    <t>Landed 02:05</t>
  </si>
  <si>
    <t>Landed 02:24</t>
  </si>
  <si>
    <t>Funchal</t>
  </si>
  <si>
    <t>Funchal Cristiano Ronaldo Airport</t>
  </si>
  <si>
    <t>Landed 07:44</t>
  </si>
  <si>
    <t>Landed 10:20</t>
  </si>
  <si>
    <t>Landed 10:06</t>
  </si>
  <si>
    <t>X98322</t>
  </si>
  <si>
    <t>Landed 11:44</t>
  </si>
  <si>
    <t>Landed 12:00</t>
  </si>
  <si>
    <t>Landed 12:26</t>
  </si>
  <si>
    <t>Landed 12:10</t>
  </si>
  <si>
    <t>Landed 12:20</t>
  </si>
  <si>
    <t>HN2322</t>
  </si>
  <si>
    <t>Landed 12:56</t>
  </si>
  <si>
    <t>Landed 13:25</t>
  </si>
  <si>
    <t>Landed 13:45</t>
  </si>
  <si>
    <t>QU7022</t>
  </si>
  <si>
    <t>Landed 11:51</t>
  </si>
  <si>
    <t>Hurghada</t>
  </si>
  <si>
    <t>Hurghada International Airport</t>
  </si>
  <si>
    <t>Landed 14:32</t>
  </si>
  <si>
    <t>Landed 14:42</t>
  </si>
  <si>
    <t>Landed 15:02</t>
  </si>
  <si>
    <t>Landed 15:10</t>
  </si>
  <si>
    <t>Landed 15:26</t>
  </si>
  <si>
    <t>Landed 16:01</t>
  </si>
  <si>
    <t>Landed 16:19</t>
  </si>
  <si>
    <t>Landed 16:44</t>
  </si>
  <si>
    <t>Landed 16:55</t>
  </si>
  <si>
    <t>Landed 18:41</t>
  </si>
  <si>
    <t>Landed 18:12</t>
  </si>
  <si>
    <t>Landed 18:36</t>
  </si>
  <si>
    <t>Landed 18:56</t>
  </si>
  <si>
    <t>Landed 19:44</t>
  </si>
  <si>
    <t>Landed 19:50</t>
  </si>
  <si>
    <t>LTC501</t>
  </si>
  <si>
    <t>Charter Jets</t>
  </si>
  <si>
    <t>Landed 21:04</t>
  </si>
  <si>
    <t>Hawker 800XP</t>
  </si>
  <si>
    <t>Landed 20:34</t>
  </si>
  <si>
    <t>Landed 21:26</t>
  </si>
  <si>
    <t>Landed 21:46</t>
  </si>
  <si>
    <t>Landed 22:34</t>
  </si>
  <si>
    <t>Landed 22:37</t>
  </si>
  <si>
    <t>Landed 22:06</t>
  </si>
  <si>
    <t>Landed 23:02</t>
  </si>
  <si>
    <t>6H823</t>
  </si>
  <si>
    <t>Delayed 00:35</t>
  </si>
  <si>
    <t>Landed 23:19</t>
  </si>
  <si>
    <t>Landed 23:42</t>
  </si>
  <si>
    <t>Delayed 00:43</t>
  </si>
  <si>
    <t>Landed 23:49</t>
  </si>
  <si>
    <t>Landed 01:07</t>
  </si>
  <si>
    <t>Landed 00:47</t>
  </si>
  <si>
    <t>FR5246</t>
  </si>
  <si>
    <t>Landed 01:02</t>
  </si>
  <si>
    <t>Landed 07:39</t>
  </si>
  <si>
    <t>Landed 11:05</t>
  </si>
  <si>
    <t>Landed 09:04</t>
  </si>
  <si>
    <t>Landed 08:56</t>
  </si>
  <si>
    <t>Landed 09:51</t>
  </si>
  <si>
    <t>Landed 10:21</t>
  </si>
  <si>
    <t>Gulfstream G450</t>
  </si>
  <si>
    <t>Landed 10:47</t>
  </si>
  <si>
    <t>Landed 10:58</t>
  </si>
  <si>
    <t>Landed 11:48</t>
  </si>
  <si>
    <t>Landed 11:58</t>
  </si>
  <si>
    <t>HOT500</t>
  </si>
  <si>
    <t>Airbus A320-233</t>
  </si>
  <si>
    <t>Landed 13:19</t>
  </si>
  <si>
    <t>Landed 13:13</t>
  </si>
  <si>
    <t>Landed 13:24</t>
  </si>
  <si>
    <t>Landed 13:09</t>
  </si>
  <si>
    <t>Landed 14:12</t>
  </si>
  <si>
    <t>Landed 14:05</t>
  </si>
  <si>
    <t>Landed 14:15</t>
  </si>
  <si>
    <t>Landed 15:47</t>
  </si>
  <si>
    <t>Landed 15:33</t>
  </si>
  <si>
    <t>Landed 16:14</t>
  </si>
  <si>
    <t>Landed 17:01</t>
  </si>
  <si>
    <t>Landed 17:23</t>
  </si>
  <si>
    <t>Landed 17:46</t>
  </si>
  <si>
    <t>X99999</t>
  </si>
  <si>
    <t>Bacau</t>
  </si>
  <si>
    <t>Bacau International Airport</t>
  </si>
  <si>
    <t>Landed 18:17</t>
  </si>
  <si>
    <t>Airbus A320-211</t>
  </si>
  <si>
    <t>Landed 18:59</t>
  </si>
  <si>
    <t>Landed 19:09</t>
  </si>
  <si>
    <t>UAG202</t>
  </si>
  <si>
    <t>Union Aviation</t>
  </si>
  <si>
    <t>Landed 20:23</t>
  </si>
  <si>
    <t>Ankara</t>
  </si>
  <si>
    <t>Ankara Esenboga International Airport</t>
  </si>
  <si>
    <t>Embraer Lineage 1000</t>
  </si>
  <si>
    <t>Landed 19:57</t>
  </si>
  <si>
    <t>Landed 20:00</t>
  </si>
  <si>
    <t>Landed 20:47</t>
  </si>
  <si>
    <t>Rimini</t>
  </si>
  <si>
    <t>Rimini Federico Fellini Airport</t>
  </si>
  <si>
    <t>Landed 21:00</t>
  </si>
  <si>
    <t>Landed 21:35</t>
  </si>
  <si>
    <t>Landed 22:09</t>
  </si>
  <si>
    <t>RE3374</t>
  </si>
  <si>
    <t>Landed 22:43</t>
  </si>
  <si>
    <t>Landed 23:35</t>
  </si>
  <si>
    <t>Delayed 00:37</t>
  </si>
  <si>
    <t>Landed 00:05</t>
  </si>
  <si>
    <t>Landed 00:50</t>
  </si>
  <si>
    <t>Landed 00:34</t>
  </si>
  <si>
    <t>Landed 00:40</t>
  </si>
  <si>
    <t>Landed 01:23</t>
  </si>
  <si>
    <t>Landed 01:30</t>
  </si>
  <si>
    <t>Landed 01:13</t>
  </si>
  <si>
    <t>Landed 07:43</t>
  </si>
  <si>
    <t>Landed 08:08</t>
  </si>
  <si>
    <t>Landed 08:29</t>
  </si>
  <si>
    <t>Flylili</t>
  </si>
  <si>
    <t>Landed 11:43</t>
  </si>
  <si>
    <t>Landed 08:50</t>
  </si>
  <si>
    <t>Landed 09:40</t>
  </si>
  <si>
    <t>Landed 10:18</t>
  </si>
  <si>
    <t>ULS Airlines Cargo</t>
  </si>
  <si>
    <t>Delayed 01:43</t>
  </si>
  <si>
    <t>Airbus A310-308(F)</t>
  </si>
  <si>
    <t>Landed 11:34</t>
  </si>
  <si>
    <t>Landed 11:07</t>
  </si>
  <si>
    <t>Landed 12:30</t>
  </si>
  <si>
    <t>Landed 12:39</t>
  </si>
  <si>
    <t>Landed 12:36</t>
  </si>
  <si>
    <t>Landed 13:17</t>
  </si>
  <si>
    <t>Landed 13:33</t>
  </si>
  <si>
    <t>Landed 13:44</t>
  </si>
  <si>
    <t>Landed 14:16</t>
  </si>
  <si>
    <t>Landed 14:24</t>
  </si>
  <si>
    <t>Landed 15:31</t>
  </si>
  <si>
    <t>Boeing 737-8KN</t>
  </si>
  <si>
    <t>Landed 15:13</t>
  </si>
  <si>
    <t>Landed 15:23</t>
  </si>
  <si>
    <t>Landed 16:34</t>
  </si>
  <si>
    <t>LXJ611</t>
  </si>
  <si>
    <t>Flexjet</t>
  </si>
  <si>
    <t>Landed 17:02</t>
  </si>
  <si>
    <t>Venice Marco Polo Airport</t>
  </si>
  <si>
    <t>Embraer Praetor 600</t>
  </si>
  <si>
    <t>Landed 17:05</t>
  </si>
  <si>
    <t>Landed 16:48</t>
  </si>
  <si>
    <t>Landed 18:48</t>
  </si>
  <si>
    <t>Landed 18:11</t>
  </si>
  <si>
    <t>Landed 18:42</t>
  </si>
  <si>
    <t>Landed 18:26</t>
  </si>
  <si>
    <t>Landed 19:14</t>
  </si>
  <si>
    <t>Landed 19:40</t>
  </si>
  <si>
    <t>Landed 20:29</t>
  </si>
  <si>
    <t>Landed 19:56</t>
  </si>
  <si>
    <t>Landed 20:55</t>
  </si>
  <si>
    <t>Landed 21:01</t>
  </si>
  <si>
    <t>Landed 20:54</t>
  </si>
  <si>
    <t>Landed 23:01</t>
  </si>
  <si>
    <t>Landed 21:28</t>
  </si>
  <si>
    <t>Spree Flug</t>
  </si>
  <si>
    <t>Landed 21:38</t>
  </si>
  <si>
    <t>Dusseldorf Monchengladbach Airport</t>
  </si>
  <si>
    <t>Embraer Phenom 300</t>
  </si>
  <si>
    <t>Landed 21:32</t>
  </si>
  <si>
    <t>Landed 21:49</t>
  </si>
  <si>
    <t>Landed 23:13</t>
  </si>
  <si>
    <t>Landed 23:18</t>
  </si>
  <si>
    <t>Delayed 00:20</t>
  </si>
  <si>
    <t>Landed 23:38</t>
  </si>
  <si>
    <t>Landed 00:07</t>
  </si>
  <si>
    <t>Landed 23:53</t>
  </si>
  <si>
    <t>Landed 01:29</t>
  </si>
  <si>
    <t>Landed 01:11</t>
  </si>
  <si>
    <t>Landed 03:13</t>
  </si>
  <si>
    <t>Landed 07:36</t>
  </si>
  <si>
    <t>Landed 08:24</t>
  </si>
  <si>
    <t>Landed 08:40</t>
  </si>
  <si>
    <t>Landed 08:44</t>
  </si>
  <si>
    <t>Landed 08:55</t>
  </si>
  <si>
    <t>Landed 09:16</t>
  </si>
  <si>
    <t>Landed 09:55</t>
  </si>
  <si>
    <t>Landed 11:00</t>
  </si>
  <si>
    <t>Landed 12:04</t>
  </si>
  <si>
    <t>Landed 12:51</t>
  </si>
  <si>
    <t>Landed 13:01</t>
  </si>
  <si>
    <t>Landed 13:34</t>
  </si>
  <si>
    <t>HN702</t>
  </si>
  <si>
    <t>Landed 14:01</t>
  </si>
  <si>
    <t>Landed 14:46</t>
  </si>
  <si>
    <t>Landed 15:29</t>
  </si>
  <si>
    <t>Landed 16:17</t>
  </si>
  <si>
    <t>Landed 17:21</t>
  </si>
  <si>
    <t>Landed 17:06</t>
  </si>
  <si>
    <t>Landed 18:00</t>
  </si>
  <si>
    <t>Landed 18:16</t>
  </si>
  <si>
    <t>Landed 18:03</t>
  </si>
  <si>
    <t>Embraer E170STD</t>
  </si>
  <si>
    <t>Landed 18:32</t>
  </si>
  <si>
    <t>Landed 18:55</t>
  </si>
  <si>
    <t>Landed 20:03</t>
  </si>
  <si>
    <t>Landed 19:22</t>
  </si>
  <si>
    <t>Landed 21:29</t>
  </si>
  <si>
    <t>Landed 22:49</t>
  </si>
  <si>
    <t>Delayed 00:28</t>
  </si>
  <si>
    <t>Landed 00:04</t>
  </si>
  <si>
    <t>Landed 23:30</t>
  </si>
  <si>
    <t>Landed 23:57</t>
  </si>
  <si>
    <t>Landed 00:57</t>
  </si>
  <si>
    <t>Landed 00:51</t>
  </si>
  <si>
    <t>Landed 01:42</t>
  </si>
  <si>
    <t>Landed 01:27</t>
  </si>
  <si>
    <t>Landed 01:15</t>
  </si>
  <si>
    <t>Landed 08:35</t>
  </si>
  <si>
    <t>Landed 09:17</t>
  </si>
  <si>
    <t>Landed 08:59</t>
  </si>
  <si>
    <t>Landed 09:42</t>
  </si>
  <si>
    <t>Landed 10:13</t>
  </si>
  <si>
    <t>Landed 09:57</t>
  </si>
  <si>
    <t>Landed 10:44</t>
  </si>
  <si>
    <t>Landed 11:19</t>
  </si>
  <si>
    <t>Landed 12:35</t>
  </si>
  <si>
    <t>Landed 13:37</t>
  </si>
  <si>
    <t>Landed 13:42</t>
  </si>
  <si>
    <t>Landed 13:27</t>
  </si>
  <si>
    <t>Landed 13:30</t>
  </si>
  <si>
    <t>Landed 14:06</t>
  </si>
  <si>
    <t>Landed 14:58</t>
  </si>
  <si>
    <t>Landed 16:29</t>
  </si>
  <si>
    <t>Landed 16:32</t>
  </si>
  <si>
    <t>Genoa</t>
  </si>
  <si>
    <t>Genoa Cristoforo Colombo Airport</t>
  </si>
  <si>
    <t>Landed 16:52</t>
  </si>
  <si>
    <t>Landed 16:49</t>
  </si>
  <si>
    <t>Landed 18:08</t>
  </si>
  <si>
    <t>Landed 18:38</t>
  </si>
  <si>
    <t>Landed 19:25</t>
  </si>
  <si>
    <t>Boeing 737-9F2(ER)</t>
  </si>
  <si>
    <t>Landed 19:55</t>
  </si>
  <si>
    <t>Landed 20:56</t>
  </si>
  <si>
    <t>Landed 21:31</t>
  </si>
  <si>
    <t>Landed 22:39</t>
  </si>
  <si>
    <t>Landed 22:51</t>
  </si>
  <si>
    <t>Landed 23:37</t>
  </si>
  <si>
    <t>Landed 00:28</t>
  </si>
  <si>
    <t>Landed 00:12</t>
  </si>
  <si>
    <t>Landed 00:37</t>
  </si>
  <si>
    <t>Landed 01:55</t>
  </si>
  <si>
    <t>Landed 01:20</t>
  </si>
  <si>
    <t>Landed 02:16</t>
  </si>
  <si>
    <t>Landed 03:28</t>
  </si>
  <si>
    <t>Landed 08:25</t>
  </si>
  <si>
    <t>Landed 08:34</t>
  </si>
  <si>
    <t>Katowice</t>
  </si>
  <si>
    <t>Katowice International Airport</t>
  </si>
  <si>
    <t>Landed 09:30</t>
  </si>
  <si>
    <t>Landed 08:57</t>
  </si>
  <si>
    <t>Landed 09:50</t>
  </si>
  <si>
    <t>Landed 10:35</t>
  </si>
  <si>
    <t>Landed 12:34</t>
  </si>
  <si>
    <t>Landed 12:43</t>
  </si>
  <si>
    <t>Landed 12:54</t>
  </si>
  <si>
    <t>Landed 12:41</t>
  </si>
  <si>
    <t>Landed 15:34</t>
  </si>
  <si>
    <t>Landed 15:53</t>
  </si>
  <si>
    <t>Landed 16:11</t>
  </si>
  <si>
    <t>Landed 16:28</t>
  </si>
  <si>
    <t>Landed 18:28</t>
  </si>
  <si>
    <t>Landed 18:52</t>
  </si>
  <si>
    <t>Landed 19:21</t>
  </si>
  <si>
    <t>Landed 20:02</t>
  </si>
  <si>
    <t>Landed 20:31</t>
  </si>
  <si>
    <t>Landed 20:11</t>
  </si>
  <si>
    <t>Landed 21:02</t>
  </si>
  <si>
    <t>Ostrava</t>
  </si>
  <si>
    <t>Ostrava Leos Janacek Airport</t>
  </si>
  <si>
    <t>Paris Le Bourget Airport</t>
  </si>
  <si>
    <t>Landed 20:48</t>
  </si>
  <si>
    <t>Landed 21:27</t>
  </si>
  <si>
    <t>Landed 22:03</t>
  </si>
  <si>
    <t>Landed 22:14</t>
  </si>
  <si>
    <t>Landed 23:00</t>
  </si>
  <si>
    <t>Landed 22:47</t>
  </si>
  <si>
    <t>Landed 23:40</t>
  </si>
  <si>
    <t>Landed 02:38</t>
  </si>
  <si>
    <t>Landed 01:17</t>
  </si>
  <si>
    <t>Landed 02:30</t>
  </si>
  <si>
    <t>CGF5959</t>
  </si>
  <si>
    <t>Cargo Air</t>
  </si>
  <si>
    <t>Landed 05:30</t>
  </si>
  <si>
    <t>Boeing 737-86J(SF)</t>
  </si>
  <si>
    <t>Landed 07:52</t>
  </si>
  <si>
    <t>Landed 08:27</t>
  </si>
  <si>
    <t>Landed 09:19</t>
  </si>
  <si>
    <t>Landed 09:41</t>
  </si>
  <si>
    <t>Landed 09:43</t>
  </si>
  <si>
    <t>Landed 10:26</t>
  </si>
  <si>
    <t>Landed 10:38</t>
  </si>
  <si>
    <t>Landed 10:49</t>
  </si>
  <si>
    <t>Landed 13:10</t>
  </si>
  <si>
    <t>Landed 12:53</t>
  </si>
  <si>
    <t>Tyrol Air Ambulance</t>
  </si>
  <si>
    <t>Landed 14:08</t>
  </si>
  <si>
    <t>Zagreb</t>
  </si>
  <si>
    <t>Zagreb Franjo Tudman Airport</t>
  </si>
  <si>
    <t>Cessna Citation Bravo</t>
  </si>
  <si>
    <t>Landed 14:29</t>
  </si>
  <si>
    <t>Landed 15:12</t>
  </si>
  <si>
    <t>Landed 15:39</t>
  </si>
  <si>
    <t>Landed 15:21</t>
  </si>
  <si>
    <t>Landed 18:43</t>
  </si>
  <si>
    <t>Landed 19:15</t>
  </si>
  <si>
    <t>Landed 20:12</t>
  </si>
  <si>
    <t>Landed 20:35</t>
  </si>
  <si>
    <t>Warsaw Babice Airport</t>
  </si>
  <si>
    <t>Landed 21:05</t>
  </si>
  <si>
    <t>Landed 21:58</t>
  </si>
  <si>
    <t>Landed 21:55</t>
  </si>
  <si>
    <t>Landed 22:17</t>
  </si>
  <si>
    <t>Boeing 737-86N</t>
  </si>
  <si>
    <t>Landed 22:23</t>
  </si>
  <si>
    <t>Landed 22:33</t>
  </si>
  <si>
    <t>JU4040</t>
  </si>
  <si>
    <t>Belgrade</t>
  </si>
  <si>
    <t>Belgrade Nikola Tesla Airport</t>
  </si>
  <si>
    <t>Landed 00:27</t>
  </si>
  <si>
    <t>Landed 00:16</t>
  </si>
  <si>
    <t>Landed 01:05</t>
  </si>
  <si>
    <t>Landed 00:56</t>
  </si>
  <si>
    <t>Landed 01:28</t>
  </si>
  <si>
    <t>Landed 07:35</t>
  </si>
  <si>
    <t>Landed 09:13</t>
  </si>
  <si>
    <t>Landed 10:03</t>
  </si>
  <si>
    <t>Landed 10:07</t>
  </si>
  <si>
    <t>Landed 09:58</t>
  </si>
  <si>
    <t>Landed 11:16</t>
  </si>
  <si>
    <t>Landed 11:54</t>
  </si>
  <si>
    <t>Landed 14:25</t>
  </si>
  <si>
    <t>Landed 15:36</t>
  </si>
  <si>
    <t>Landed 16:05</t>
  </si>
  <si>
    <t>Landed 16:30</t>
  </si>
  <si>
    <t>Landed 18:09</t>
  </si>
  <si>
    <t>Landed 18:37</t>
  </si>
  <si>
    <t>Landed 22:13</t>
  </si>
  <si>
    <t>Boeing 737-86J</t>
  </si>
  <si>
    <t>Landed 22:44</t>
  </si>
  <si>
    <t>Landed 23:14</t>
  </si>
  <si>
    <t>Landed 23:41</t>
  </si>
  <si>
    <t>Landed 00:15</t>
  </si>
  <si>
    <t>Landed 00:33</t>
  </si>
  <si>
    <t>Landed 01:37</t>
  </si>
  <si>
    <t>Landed 02:01</t>
  </si>
  <si>
    <t>Landed 08:37</t>
  </si>
  <si>
    <t>Landed 08:32</t>
  </si>
  <si>
    <t>Landed 09:53</t>
  </si>
  <si>
    <t>Landed 10:39</t>
  </si>
  <si>
    <t>Landed 11:06</t>
  </si>
  <si>
    <t>Landed 11:08</t>
  </si>
  <si>
    <t>Landed 12:17</t>
  </si>
  <si>
    <t>Landed 11:47</t>
  </si>
  <si>
    <t>V3601</t>
  </si>
  <si>
    <t>Carpatair</t>
  </si>
  <si>
    <t>Landed 12:14</t>
  </si>
  <si>
    <t>Airbus A319-112</t>
  </si>
  <si>
    <t>Landed 12:44</t>
  </si>
  <si>
    <t>Landed 13:05</t>
  </si>
  <si>
    <t>Landed 13:52</t>
  </si>
  <si>
    <t>Landed 13:20</t>
  </si>
  <si>
    <t>Landed 14:48</t>
  </si>
  <si>
    <t>Landed 14:59</t>
  </si>
  <si>
    <t>Landed 16:15</t>
  </si>
  <si>
    <t>Landed 17:04</t>
  </si>
  <si>
    <t>Landed 17:31</t>
  </si>
  <si>
    <t>Landed 18:25</t>
  </si>
  <si>
    <t>Landed 19:36</t>
  </si>
  <si>
    <t>Landed 20:05</t>
  </si>
  <si>
    <t>Landed 20:17</t>
  </si>
  <si>
    <t>Landed 21:14</t>
  </si>
  <si>
    <t>Landed 21:03</t>
  </si>
  <si>
    <t>Bremen</t>
  </si>
  <si>
    <t>Bremen Airport</t>
  </si>
  <si>
    <t>Embraer Phenom 100</t>
  </si>
  <si>
    <t>Delayed 02:06</t>
  </si>
  <si>
    <t>Landed 22:00</t>
  </si>
  <si>
    <t>Landed 22:50</t>
  </si>
  <si>
    <t>Delayed 00:41</t>
  </si>
  <si>
    <t>TK6541</t>
  </si>
  <si>
    <t>Landed 01:54</t>
  </si>
  <si>
    <t>LX5038</t>
  </si>
  <si>
    <t>Landed 00:39</t>
  </si>
  <si>
    <t>Landed 02:47</t>
  </si>
  <si>
    <t>Landed 08:26</t>
  </si>
  <si>
    <t>Landed 10:42</t>
  </si>
  <si>
    <t>Landed 12:07</t>
  </si>
  <si>
    <t>Landed 12:11</t>
  </si>
  <si>
    <t>Landed 13:36</t>
  </si>
  <si>
    <t>Landed 14:19</t>
  </si>
  <si>
    <t>Landed 13:59</t>
  </si>
  <si>
    <t>Estimated 14:31*</t>
  </si>
  <si>
    <t>Landed 14:55</t>
  </si>
  <si>
    <t>Landed 15:01</t>
  </si>
  <si>
    <t>Landed 15:58</t>
  </si>
  <si>
    <t>Landed 15:48</t>
  </si>
  <si>
    <t>Landed 17:25</t>
  </si>
  <si>
    <t>Sofia</t>
  </si>
  <si>
    <t>Sofia Vasil Levski Airport</t>
  </si>
  <si>
    <t>Landed 16:21</t>
  </si>
  <si>
    <t>Landed 19:01</t>
  </si>
  <si>
    <t>Landed 19:04</t>
  </si>
  <si>
    <t>Landed 19:08</t>
  </si>
  <si>
    <t>Landed 18:51</t>
  </si>
  <si>
    <t>Landed 19:41</t>
  </si>
  <si>
    <t>Landed 19:11</t>
  </si>
  <si>
    <t>Landed 23:12</t>
  </si>
  <si>
    <t>Landed 20:43</t>
  </si>
  <si>
    <t>Landed 21:20</t>
  </si>
  <si>
    <t>Landed 23:45</t>
  </si>
  <si>
    <t>Landed 00:10</t>
  </si>
  <si>
    <t>Landed 00:20</t>
  </si>
  <si>
    <t>Landed 10:25</t>
  </si>
  <si>
    <t>Landed 11:42</t>
  </si>
  <si>
    <t>Landed 10:55</t>
  </si>
  <si>
    <t>Landed 12:33</t>
  </si>
  <si>
    <t>Landed 12:12</t>
  </si>
  <si>
    <t>Landed 13:35</t>
  </si>
  <si>
    <t>Landed 14:41</t>
  </si>
  <si>
    <t>Landed 15:28</t>
  </si>
  <si>
    <t>Landed 15:19</t>
  </si>
  <si>
    <t>Landed 17:13</t>
  </si>
  <si>
    <t>GW9901</t>
  </si>
  <si>
    <t>Delayed 00:34</t>
  </si>
  <si>
    <t>Siauliai</t>
  </si>
  <si>
    <t>Siauliai International Airport</t>
  </si>
  <si>
    <t>Boeing 737-8FE</t>
  </si>
  <si>
    <t>HOT9002</t>
  </si>
  <si>
    <t>Landed 19:07</t>
  </si>
  <si>
    <t>Landed 19:16</t>
  </si>
  <si>
    <t>Liepaja</t>
  </si>
  <si>
    <t>Liepaja Airport</t>
  </si>
  <si>
    <t>Landed 23:16</t>
  </si>
  <si>
    <t>Landed 22:26</t>
  </si>
  <si>
    <t>Landed 23:23</t>
  </si>
  <si>
    <t>Delayed 00:23</t>
  </si>
  <si>
    <t>Landed 01:10</t>
  </si>
  <si>
    <t>Landed 01:47</t>
  </si>
  <si>
    <t>Landed 02:10</t>
  </si>
  <si>
    <t>Landed 03:26</t>
  </si>
  <si>
    <t>Landed 08:31</t>
  </si>
  <si>
    <t>Landed 10:12</t>
  </si>
  <si>
    <t>Landed 10:04</t>
  </si>
  <si>
    <t>Landed 09:54</t>
  </si>
  <si>
    <t>Landed 11:18</t>
  </si>
  <si>
    <t>Landed 13:40</t>
  </si>
  <si>
    <t>Landed 13:54</t>
  </si>
  <si>
    <t>Landed 16:07</t>
  </si>
  <si>
    <t>GW5801</t>
  </si>
  <si>
    <t>Landed 15:45</t>
  </si>
  <si>
    <t>Landed 16:39</t>
  </si>
  <si>
    <t>Landed 16:47</t>
  </si>
  <si>
    <t>LEJ330</t>
  </si>
  <si>
    <t>FSH Aviation</t>
  </si>
  <si>
    <t>Cologne</t>
  </si>
  <si>
    <t>Cologne Bonn Airport</t>
  </si>
  <si>
    <t>Cessna Citation CJ2</t>
  </si>
  <si>
    <t>Landed 20:07</t>
  </si>
  <si>
    <t>Landed 20:24</t>
  </si>
  <si>
    <t>Landed 23:22</t>
  </si>
  <si>
    <t>Landed 21:41</t>
  </si>
  <si>
    <t>Landed 21:42</t>
  </si>
  <si>
    <t>Landed 21:59</t>
  </si>
  <si>
    <t>Landed 22:30</t>
  </si>
  <si>
    <t>Landed 23:51</t>
  </si>
  <si>
    <t>Landed 00:06</t>
  </si>
  <si>
    <t>Landed 01:36</t>
  </si>
  <si>
    <t>Landed 02:14</t>
  </si>
  <si>
    <t>Landed 03:09</t>
  </si>
  <si>
    <t>Landed 07:55</t>
  </si>
  <si>
    <t>Boeing 747-428F(ER)</t>
  </si>
  <si>
    <t>Landed 11:11</t>
  </si>
  <si>
    <t>Landed 11:23</t>
  </si>
  <si>
    <t>Landed 12:13</t>
  </si>
  <si>
    <t>Landed 12:42</t>
  </si>
  <si>
    <t>Landed 13:31</t>
  </si>
  <si>
    <t>JSF992</t>
  </si>
  <si>
    <t>JetStream</t>
  </si>
  <si>
    <t>Cessna Citation III</t>
  </si>
  <si>
    <t>Landed 15:03</t>
  </si>
  <si>
    <t>Landed 17:37</t>
  </si>
  <si>
    <t>Landed 16:24</t>
  </si>
  <si>
    <t>Landed 17:50</t>
  </si>
  <si>
    <t>Landed 17:44</t>
  </si>
  <si>
    <t>Landed 21:24</t>
  </si>
  <si>
    <t>TK6471</t>
  </si>
  <si>
    <t>Landed 22:20</t>
  </si>
  <si>
    <t>Landed 23:06</t>
  </si>
  <si>
    <t>Landed 02:11</t>
  </si>
  <si>
    <t>Landed 00:31</t>
  </si>
  <si>
    <t>Landed 01:18</t>
  </si>
  <si>
    <t>Landed 02:34</t>
  </si>
  <si>
    <t>Landed 05:35</t>
  </si>
  <si>
    <t>Landed 08:18</t>
  </si>
  <si>
    <t>Landed 09:49</t>
  </si>
  <si>
    <t>Landed 10:17</t>
  </si>
  <si>
    <t>Landed 10:36</t>
  </si>
  <si>
    <t>Landed 12:40</t>
  </si>
  <si>
    <t>Landed 12:58</t>
  </si>
  <si>
    <t>Landed 13:29</t>
  </si>
  <si>
    <t>Landed 13:41</t>
  </si>
  <si>
    <t>Windrose Air Jetcharter</t>
  </si>
  <si>
    <t>Landed 13:48</t>
  </si>
  <si>
    <t>Ingolstadt</t>
  </si>
  <si>
    <t>Ingolstadt Manching Airport</t>
  </si>
  <si>
    <t>Embraer Phenom 100EX</t>
  </si>
  <si>
    <t>Landed 13:51</t>
  </si>
  <si>
    <t>Landed 14:34</t>
  </si>
  <si>
    <t>Landed 18:01</t>
  </si>
  <si>
    <t>Landed 16:58</t>
  </si>
  <si>
    <t>Alicante</t>
  </si>
  <si>
    <t>Alicante Airport</t>
  </si>
  <si>
    <t>Landed 18:21</t>
  </si>
  <si>
    <t>Landed 17:48</t>
  </si>
  <si>
    <t>Boeing 737 MAX 9</t>
  </si>
  <si>
    <t>Landed 20:50</t>
  </si>
  <si>
    <t>Landed 20:18</t>
  </si>
  <si>
    <t>Landed 22:29</t>
  </si>
  <si>
    <t>Delayed 00:39</t>
  </si>
  <si>
    <t>Delayed 00:13</t>
  </si>
  <si>
    <t>Landed 23:58</t>
  </si>
  <si>
    <t>Landed 00:01</t>
  </si>
  <si>
    <t>Landed 00:45</t>
  </si>
  <si>
    <t>Landed 02:15</t>
  </si>
  <si>
    <t>Belfast</t>
  </si>
  <si>
    <t>Belfast International Airport</t>
  </si>
  <si>
    <t>Landed 02:17</t>
  </si>
  <si>
    <t>BT9802</t>
  </si>
  <si>
    <t>Landed 07:38</t>
  </si>
  <si>
    <t>Landed 08:58</t>
  </si>
  <si>
    <t>Landed 09:11</t>
  </si>
  <si>
    <t>Diverted to TLV</t>
  </si>
  <si>
    <t>Landed 14:02</t>
  </si>
  <si>
    <t>Landed 10:11</t>
  </si>
  <si>
    <t>Landed 10:30</t>
  </si>
  <si>
    <t>ABF8</t>
  </si>
  <si>
    <t>Scanwings</t>
  </si>
  <si>
    <t>Landed 11:38</t>
  </si>
  <si>
    <t>Landed 12:09</t>
  </si>
  <si>
    <t>Diverted to KUN</t>
  </si>
  <si>
    <t>Diverted to RIX</t>
  </si>
  <si>
    <t>IZ549</t>
  </si>
  <si>
    <t>Bul Air</t>
  </si>
  <si>
    <t>Landed 14:47</t>
  </si>
  <si>
    <t>Landed 14:17</t>
  </si>
  <si>
    <t>Kaunas</t>
  </si>
  <si>
    <t>Kaunas Airport</t>
  </si>
  <si>
    <t>Landed 14:50</t>
  </si>
  <si>
    <t>Landed 14:31</t>
  </si>
  <si>
    <t>Landed 15:59</t>
  </si>
  <si>
    <t>Landed 16:20</t>
  </si>
  <si>
    <t>Landed 17:55</t>
  </si>
  <si>
    <t>Landed 19:33</t>
  </si>
  <si>
    <t>REVA Air Ambulance</t>
  </si>
  <si>
    <t>Landed 19:45</t>
  </si>
  <si>
    <t>Asturias</t>
  </si>
  <si>
    <t>Asturias Airport</t>
  </si>
  <si>
    <t>Landed 19:48</t>
  </si>
  <si>
    <t>A26002</t>
  </si>
  <si>
    <t>Trebbin</t>
  </si>
  <si>
    <t>Trebbin Schonhagen Airport</t>
  </si>
  <si>
    <t>Landed 21:37</t>
  </si>
  <si>
    <t>Landed 22:42</t>
  </si>
  <si>
    <t>Landed 21:57</t>
  </si>
  <si>
    <t>Landed 23:47</t>
  </si>
  <si>
    <t>Landed 00:32</t>
  </si>
  <si>
    <t>Landed 00:58</t>
  </si>
  <si>
    <t>Landed 02:06</t>
  </si>
  <si>
    <t>Landed 07:40</t>
  </si>
  <si>
    <t>HOT707</t>
  </si>
  <si>
    <t>Landed 07:46</t>
  </si>
  <si>
    <t>Landed 08:49</t>
  </si>
  <si>
    <t>Landed 12:52</t>
  </si>
  <si>
    <t>Landed 15:46</t>
  </si>
  <si>
    <t>Landed 15:22</t>
  </si>
  <si>
    <t>Kaunas Aleksotas Airport</t>
  </si>
  <si>
    <t>Landed 17:07</t>
  </si>
  <si>
    <t>3O9902</t>
  </si>
  <si>
    <t>Fes</t>
  </si>
  <si>
    <t>Fes Saiss Airport</t>
  </si>
  <si>
    <t>Landed 17:35</t>
  </si>
  <si>
    <t>Landed 18:33</t>
  </si>
  <si>
    <t>Landed 18:39</t>
  </si>
  <si>
    <t>Landed 19:59</t>
  </si>
  <si>
    <t>Smart Jet</t>
  </si>
  <si>
    <t>Nottingham</t>
  </si>
  <si>
    <t>Nottingham East Midlands Airport</t>
  </si>
  <si>
    <t>Hawker Beechcraft 400XP</t>
  </si>
  <si>
    <t>Landed 21:16</t>
  </si>
  <si>
    <t>Landed 21:39</t>
  </si>
  <si>
    <t>Delayed 00:45</t>
  </si>
  <si>
    <t>Landed 01:45</t>
  </si>
  <si>
    <t>Landed 01:51</t>
  </si>
  <si>
    <t>Landed 09:00</t>
  </si>
  <si>
    <t>Landed 09:38</t>
  </si>
  <si>
    <t>Landed 09:25</t>
  </si>
  <si>
    <t>Landed 09:52</t>
  </si>
  <si>
    <t>Landed 10:15</t>
  </si>
  <si>
    <t>Landed 14:38</t>
  </si>
  <si>
    <t>BT3928</t>
  </si>
  <si>
    <t>Jetfly On-Demand</t>
  </si>
  <si>
    <t>Landed 15:42</t>
  </si>
  <si>
    <t>Cannes</t>
  </si>
  <si>
    <t>Cannes Mandelieu Airport</t>
  </si>
  <si>
    <t>Pilatus PC-12 NGX</t>
  </si>
  <si>
    <t>Landed 14:44</t>
  </si>
  <si>
    <t>Landed 15:50</t>
  </si>
  <si>
    <t>Landed 16:38</t>
  </si>
  <si>
    <t>Landed 17:27</t>
  </si>
  <si>
    <t>Landed 18:05</t>
  </si>
  <si>
    <t>Landed 21:44</t>
  </si>
  <si>
    <t>Landed 21:25</t>
  </si>
  <si>
    <t>Landed 19:03</t>
  </si>
  <si>
    <t>Landed 20:26</t>
  </si>
  <si>
    <t>Landed 20:04</t>
  </si>
  <si>
    <t>Delayed 00:22</t>
  </si>
  <si>
    <t>Landed 20:36</t>
  </si>
  <si>
    <t>Landed 21:33</t>
  </si>
  <si>
    <t>Landed 22:19</t>
  </si>
  <si>
    <t>Landed 23:54</t>
  </si>
  <si>
    <t>Landed 01:46</t>
  </si>
  <si>
    <t>FlyOne</t>
  </si>
  <si>
    <t>London Biggin Hill Airport</t>
  </si>
  <si>
    <t>5H5959</t>
  </si>
  <si>
    <t>ASL Airlines</t>
  </si>
  <si>
    <t>Landed 07:45</t>
  </si>
  <si>
    <t>Boeing 737-86N(BCF)</t>
  </si>
  <si>
    <t>Landed 09:09</t>
  </si>
  <si>
    <t>DV3434</t>
  </si>
  <si>
    <t>SCAT</t>
  </si>
  <si>
    <t>Astana</t>
  </si>
  <si>
    <t>Astana Nursultan Nazarbayev International Airport</t>
  </si>
  <si>
    <t>Landed 14:39</t>
  </si>
  <si>
    <t>Landed 13:43</t>
  </si>
  <si>
    <t>HN739</t>
  </si>
  <si>
    <t>Tbilisi</t>
  </si>
  <si>
    <t>Tbilisi International Airport</t>
  </si>
  <si>
    <t>Landed 15:57</t>
  </si>
  <si>
    <t>Landed 16:16</t>
  </si>
  <si>
    <t>OE9902</t>
  </si>
  <si>
    <t>Suceava</t>
  </si>
  <si>
    <t>Suceava International Airport</t>
  </si>
  <si>
    <t>Delayed 02:36</t>
  </si>
  <si>
    <t>Landed 01:04</t>
  </si>
  <si>
    <t>Landed 01:34</t>
  </si>
  <si>
    <t>Landed 00:53</t>
  </si>
  <si>
    <t>Landed 08:21</t>
  </si>
  <si>
    <t>Landed 09:24</t>
  </si>
  <si>
    <t>Landed 10:43</t>
  </si>
  <si>
    <t>Landed 11:27</t>
  </si>
  <si>
    <t>Landed 14:11</t>
  </si>
  <si>
    <t>Landed 14:52</t>
  </si>
  <si>
    <t>Landed 14:21</t>
  </si>
  <si>
    <t>Landed 16:43</t>
  </si>
  <si>
    <t>Landed 18:31</t>
  </si>
  <si>
    <t>Landed 20:09</t>
  </si>
  <si>
    <t>KM9991</t>
  </si>
  <si>
    <t>Landed 20:01</t>
  </si>
  <si>
    <t>Fly My Sky</t>
  </si>
  <si>
    <t>Landed 20:30</t>
  </si>
  <si>
    <t>Rostock</t>
  </si>
  <si>
    <t>Rostock Laage Airport</t>
  </si>
  <si>
    <t>Embraer Legacy 600</t>
  </si>
  <si>
    <t>Landed 20:59</t>
  </si>
  <si>
    <t>Landed 22:21</t>
  </si>
  <si>
    <t>Landed 22:58</t>
  </si>
  <si>
    <t>Landed 23:43</t>
  </si>
  <si>
    <t>Local Time</t>
  </si>
  <si>
    <t>Day</t>
  </si>
  <si>
    <t>Landing time</t>
  </si>
  <si>
    <t>Difference</t>
  </si>
  <si>
    <t>Landing day</t>
  </si>
  <si>
    <t>Delayed</t>
  </si>
  <si>
    <t>On time</t>
  </si>
  <si>
    <t>Row Labels</t>
  </si>
  <si>
    <t>Grand Total</t>
  </si>
  <si>
    <t>Column Labels</t>
  </si>
  <si>
    <t>Count of Status difference</t>
  </si>
  <si>
    <t>Distance to VNO (km)</t>
  </si>
  <si>
    <t>Area (ha)</t>
  </si>
  <si>
    <t>Typical Passenger Capacity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</si>
  <si>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</si>
  <si>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</si>
  <si>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</si>
  <si>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</si>
  <si>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</si>
  <si>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</si>
  <si>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</si>
  <si>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</si>
  <si>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</si>
  <si>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</si>
  <si>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</si>
  <si>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</si>
  <si>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</si>
  <si>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</si>
  <si>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</si>
  <si>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</si>
  <si>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</si>
  <si>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</si>
  <si>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</si>
  <si>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</si>
  <si>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</si>
  <si>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</si>
  <si>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</si>
  <si>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</si>
  <si>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Annual Passenger Volume (Approx.)</t>
  </si>
  <si>
    <t>Weekday</t>
  </si>
  <si>
    <t>Monday</t>
  </si>
  <si>
    <t>Tuesday</t>
  </si>
  <si>
    <t>Wednesday</t>
  </si>
  <si>
    <t>Thursday</t>
  </si>
  <si>
    <t>Friday</t>
  </si>
  <si>
    <t>Saturday</t>
  </si>
  <si>
    <t>Sunday</t>
  </si>
  <si>
    <t>Hour</t>
  </si>
  <si>
    <t>0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</si>
  <si>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</si>
  <si>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</si>
  <si>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</si>
  <si>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</si>
  <si>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</si>
  <si>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</si>
  <si>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</si>
  <si>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</si>
  <si>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</si>
  <si>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</si>
  <si>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</si>
  <si>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</si>
  <si>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</si>
  <si>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</si>
  <si>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</si>
  <si>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</si>
  <si>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3</t>
  </si>
  <si>
    <t>4</t>
  </si>
  <si>
    <t>5</t>
  </si>
  <si>
    <t>7</t>
  </si>
  <si>
    <t>8</t>
  </si>
  <si>
    <t>9</t>
  </si>
  <si>
    <t>Departure delay</t>
  </si>
  <si>
    <t>On Time</t>
  </si>
  <si>
    <t>Passenger volume</t>
  </si>
  <si>
    <t>Distance</t>
  </si>
  <si>
    <t>Area</t>
  </si>
  <si>
    <t>Median</t>
  </si>
  <si>
    <t>Aircraft</t>
  </si>
  <si>
    <t>Arrival status</t>
  </si>
  <si>
    <t>Count of Arrival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</si>
</sst>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;@"/>
    <numFmt numFmtId="165" formatCode="[h]:mm"/>
    <numFmt numFmtId="166" formatCode="0.00000000000"/>
    <numFmt numFmtId="167" formatCode="0.0000"/>
    <numFmt numFmtId="168" formatCode="0.000000"/>
    <numFmt numFmtId="169" formatCode="0.000"/>
  </numFmts>
  <fonts count="6" x14ac:knownFonts="1">
    <font>
      <sz val="10"/>
      <name val="Arial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i/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2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vertical="center" wrapText="1" readingOrder="1"/>
    </xf>
    <xf numFmtId="3" fontId="1" fillId="0" borderId="1" xfId="0" applyNumberFormat="1" applyFont="1" applyBorder="1" applyAlignment="1">
      <alignment vertical="center" wrapText="1" readingOrder="1"/>
    </xf>
    <xf numFmtId="1" fontId="1" fillId="0" borderId="0" xfId="0" applyNumberFormat="1" applyFont="1" applyBorder="1" applyAlignment="1">
      <alignment vertical="center" wrapText="1" readingOrder="1"/>
    </xf>
    <xf numFmtId="1" fontId="0" fillId="0" borderId="0" xfId="0" applyNumberFormat="1"/>
    <xf numFmtId="1" fontId="1" fillId="0" borderId="1" xfId="0" applyNumberFormat="1" applyFont="1" applyBorder="1" applyAlignment="1">
      <alignment vertical="center" wrapText="1" readingOrder="1"/>
    </xf>
    <xf numFmtId="166" fontId="0" fillId="0" borderId="0" xfId="0" applyNumberFormat="1"/>
    <xf numFmtId="0" fontId="2" fillId="0" borderId="1" xfId="0" applyFont="1" applyBorder="1" applyAlignment="1">
      <alignment vertical="center" wrapText="1" readingOrder="1"/>
    </xf>
    <xf numFmtId="167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0" fillId="0" borderId="0" xfId="0" applyNumberFormat="1" applyBorder="1"/>
    <xf numFmtId="1" fontId="0" fillId="0" borderId="0" xfId="0" applyNumberFormat="1" applyBorder="1"/>
    <xf numFmtId="1" fontId="2" fillId="0" borderId="1" xfId="0" applyNumberFormat="1" applyFont="1" applyBorder="1" applyAlignment="1">
      <alignment vertical="center" wrapText="1" readingOrder="1"/>
    </xf>
    <xf numFmtId="168" fontId="0" fillId="0" borderId="0" xfId="0" applyNumberFormat="1"/>
    <xf numFmtId="0" fontId="0" fillId="0" borderId="0" xfId="0" applyBorder="1"/>
    <xf numFmtId="10" fontId="0" fillId="0" borderId="0" xfId="0" applyNumberFormat="1"/>
    <xf numFmtId="169" fontId="0" fillId="0" borderId="0" xfId="0" applyNumberFormat="1" applyBorder="1"/>
    <xf numFmtId="0" fontId="0" fillId="0" borderId="4" xfId="0" applyBorder="1"/>
    <xf numFmtId="20" fontId="0" fillId="0" borderId="4" xfId="0" applyNumberFormat="1" applyBorder="1"/>
    <xf numFmtId="0" fontId="3" fillId="0" borderId="0" xfId="0" applyFont="1" applyFill="1" applyBorder="1" applyAlignment="1">
      <alignment horizontal="center"/>
    </xf>
    <xf numFmtId="11" fontId="0" fillId="0" borderId="0" xfId="0" applyNumberFormat="1" applyBorder="1"/>
    <xf numFmtId="0" fontId="2" fillId="0" borderId="0" xfId="0" applyFont="1" applyBorder="1" applyAlignment="1">
      <alignment vertical="center" wrapText="1" readingOrder="1"/>
    </xf>
    <xf numFmtId="167" fontId="1" fillId="0" borderId="0" xfId="0" applyNumberFormat="1" applyFont="1" applyBorder="1" applyAlignment="1">
      <alignment vertical="center" wrapText="1" readingOrder="1"/>
    </xf>
    <xf numFmtId="1" fontId="0" fillId="2" borderId="0" xfId="0" applyNumberFormat="1" applyFill="1"/>
    <xf numFmtId="1" fontId="0" fillId="3" borderId="0" xfId="0" applyNumberFormat="1" applyFill="1"/>
    <xf numFmtId="1" fontId="0" fillId="4" borderId="0" xfId="0" applyNumberFormat="1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[arrivals.xlsx]By Airline!PivotTable1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Airline'!$B$3:$B$4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Airline'!$A$5:$A$53</c:f>
              <c:strCache>
                <c:ptCount val="48"/>
                <c:pt idx="0">
                  <c:v>airBaltic</c:v>
                </c:pt>
                <c:pt idx="1">
                  <c:v>Ryanair</c:v>
                </c:pt>
                <c:pt idx="2">
                  <c:v>Wizz Air</c:v>
                </c:pt>
                <c:pt idx="3">
                  <c:v>LOT</c:v>
                </c:pt>
                <c:pt idx="4">
                  <c:v>Finnair</c:v>
                </c:pt>
                <c:pt idx="5">
                  <c:v>GetJet Airlines</c:v>
                </c:pt>
                <c:pt idx="6">
                  <c:v>Lufthansa</c:v>
                </c:pt>
                <c:pt idx="7">
                  <c:v>Turkish Airlines</c:v>
                </c:pt>
                <c:pt idx="8">
                  <c:v>Heston Airlines</c:v>
                </c:pt>
                <c:pt idx="9">
                  <c:v>Eurowings</c:v>
                </c:pt>
                <c:pt idx="10">
                  <c:v>SAS</c:v>
                </c:pt>
                <c:pt idx="11">
                  <c:v>Norwegian</c:v>
                </c:pt>
                <c:pt idx="12">
                  <c:v>N/A</c:v>
                </c:pt>
                <c:pt idx="13">
                  <c:v>Compass Air Cargo</c:v>
                </c:pt>
                <c:pt idx="14">
                  <c:v>SkyLine Express</c:v>
                </c:pt>
                <c:pt idx="15">
                  <c:v>CityJet</c:v>
                </c:pt>
                <c:pt idx="16">
                  <c:v>Valletta Airlines</c:v>
                </c:pt>
                <c:pt idx="17">
                  <c:v>Israir Airlines</c:v>
                </c:pt>
                <c:pt idx="18">
                  <c:v>Lauda Europe</c:v>
                </c:pt>
                <c:pt idx="19">
                  <c:v>Austrian Airlines</c:v>
                </c:pt>
                <c:pt idx="20">
                  <c:v>Aegean Airlines</c:v>
                </c:pt>
                <c:pt idx="21">
                  <c:v>Avion Express</c:v>
                </c:pt>
                <c:pt idx="22">
                  <c:v>Charter Jets</c:v>
                </c:pt>
                <c:pt idx="23">
                  <c:v>Turkish Cargo</c:v>
                </c:pt>
                <c:pt idx="24">
                  <c:v>SkyUp Airlines</c:v>
                </c:pt>
                <c:pt idx="25">
                  <c:v>Cargo Air</c:v>
                </c:pt>
                <c:pt idx="26">
                  <c:v>Spree Flug</c:v>
                </c:pt>
                <c:pt idx="27">
                  <c:v>Electra Airways</c:v>
                </c:pt>
                <c:pt idx="28">
                  <c:v>Malta Air</c:v>
                </c:pt>
                <c:pt idx="29">
                  <c:v>Flylili</c:v>
                </c:pt>
                <c:pt idx="30">
                  <c:v>Flexjet</c:v>
                </c:pt>
                <c:pt idx="31">
                  <c:v>Tyrol Air Ambulance</c:v>
                </c:pt>
                <c:pt idx="32">
                  <c:v>Fly My Sky</c:v>
                </c:pt>
                <c:pt idx="33">
                  <c:v>Smart Jet</c:v>
                </c:pt>
                <c:pt idx="34">
                  <c:v>Union Aviation</c:v>
                </c:pt>
                <c:pt idx="35">
                  <c:v>Scanwings</c:v>
                </c:pt>
                <c:pt idx="36">
                  <c:v>arkia</c:v>
                </c:pt>
                <c:pt idx="37">
                  <c:v>DHL</c:v>
                </c:pt>
                <c:pt idx="38">
                  <c:v>Bul Air</c:v>
                </c:pt>
                <c:pt idx="39">
                  <c:v>REVA Air Ambulance</c:v>
                </c:pt>
                <c:pt idx="40">
                  <c:v>AVIATOR.S5</c:v>
                </c:pt>
                <c:pt idx="41">
                  <c:v>FlyOne</c:v>
                </c:pt>
                <c:pt idx="42">
                  <c:v>ASL Airlines</c:v>
                </c:pt>
                <c:pt idx="43">
                  <c:v>JetStream</c:v>
                </c:pt>
                <c:pt idx="44">
                  <c:v>SCAT</c:v>
                </c:pt>
                <c:pt idx="45">
                  <c:v>Carpatair</c:v>
                </c:pt>
                <c:pt idx="46">
                  <c:v>Windrose Air Jetcharter</c:v>
                </c:pt>
                <c:pt idx="47">
                  <c:v>Jetfly On-Demand</c:v>
                </c:pt>
              </c:strCache>
            </c:strRef>
          </c:cat>
          <c:val>
            <c:numRef>
              <c:f>'By Airline'!$B$5:$B$53</c:f>
              <c:numCache>
                <c:formatCode>General</c:formatCode>
                <c:ptCount val="48"/>
                <c:pt idx="0">
                  <c:v>169</c:v>
                </c:pt>
                <c:pt idx="1">
                  <c:v>134</c:v>
                </c:pt>
                <c:pt idx="2">
                  <c:v>138</c:v>
                </c:pt>
                <c:pt idx="3">
                  <c:v>93</c:v>
                </c:pt>
                <c:pt idx="4">
                  <c:v>71</c:v>
                </c:pt>
                <c:pt idx="5">
                  <c:v>45</c:v>
                </c:pt>
                <c:pt idx="6">
                  <c:v>55</c:v>
                </c:pt>
                <c:pt idx="7">
                  <c:v>27</c:v>
                </c:pt>
                <c:pt idx="8">
                  <c:v>36</c:v>
                </c:pt>
                <c:pt idx="9">
                  <c:v>20</c:v>
                </c:pt>
                <c:pt idx="10">
                  <c:v>32</c:v>
                </c:pt>
                <c:pt idx="11">
                  <c:v>14</c:v>
                </c:pt>
                <c:pt idx="12">
                  <c:v>11</c:v>
                </c:pt>
                <c:pt idx="13">
                  <c:v>13</c:v>
                </c:pt>
                <c:pt idx="14">
                  <c:v>11</c:v>
                </c:pt>
                <c:pt idx="15">
                  <c:v>12</c:v>
                </c:pt>
                <c:pt idx="16">
                  <c:v>3</c:v>
                </c:pt>
                <c:pt idx="17">
                  <c:v>3</c:v>
                </c:pt>
                <c:pt idx="18">
                  <c:v>7</c:v>
                </c:pt>
                <c:pt idx="19">
                  <c:v>5</c:v>
                </c:pt>
                <c:pt idx="20">
                  <c:v>5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1</c:v>
                </c:pt>
                <c:pt idx="28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F-4322-BBA1-C81F28082102}"/>
            </c:ext>
          </c:extLst>
        </c:ser>
        <c:ser>
          <c:idx val="1"/>
          <c:order val="1"/>
          <c:tx>
            <c:strRef>
              <c:f>'By Airline'!$C$3:$C$4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'By Airline'!$A$5:$A$53</c:f>
              <c:strCache>
                <c:ptCount val="48"/>
                <c:pt idx="0">
                  <c:v>airBaltic</c:v>
                </c:pt>
                <c:pt idx="1">
                  <c:v>Ryanair</c:v>
                </c:pt>
                <c:pt idx="2">
                  <c:v>Wizz Air</c:v>
                </c:pt>
                <c:pt idx="3">
                  <c:v>LOT</c:v>
                </c:pt>
                <c:pt idx="4">
                  <c:v>Finnair</c:v>
                </c:pt>
                <c:pt idx="5">
                  <c:v>GetJet Airlines</c:v>
                </c:pt>
                <c:pt idx="6">
                  <c:v>Lufthansa</c:v>
                </c:pt>
                <c:pt idx="7">
                  <c:v>Turkish Airlines</c:v>
                </c:pt>
                <c:pt idx="8">
                  <c:v>Heston Airlines</c:v>
                </c:pt>
                <c:pt idx="9">
                  <c:v>Eurowings</c:v>
                </c:pt>
                <c:pt idx="10">
                  <c:v>SAS</c:v>
                </c:pt>
                <c:pt idx="11">
                  <c:v>Norwegian</c:v>
                </c:pt>
                <c:pt idx="12">
                  <c:v>N/A</c:v>
                </c:pt>
                <c:pt idx="13">
                  <c:v>Compass Air Cargo</c:v>
                </c:pt>
                <c:pt idx="14">
                  <c:v>SkyLine Express</c:v>
                </c:pt>
                <c:pt idx="15">
                  <c:v>CityJet</c:v>
                </c:pt>
                <c:pt idx="16">
                  <c:v>Valletta Airlines</c:v>
                </c:pt>
                <c:pt idx="17">
                  <c:v>Israir Airlines</c:v>
                </c:pt>
                <c:pt idx="18">
                  <c:v>Lauda Europe</c:v>
                </c:pt>
                <c:pt idx="19">
                  <c:v>Austrian Airlines</c:v>
                </c:pt>
                <c:pt idx="20">
                  <c:v>Aegean Airlines</c:v>
                </c:pt>
                <c:pt idx="21">
                  <c:v>Avion Express</c:v>
                </c:pt>
                <c:pt idx="22">
                  <c:v>Charter Jets</c:v>
                </c:pt>
                <c:pt idx="23">
                  <c:v>Turkish Cargo</c:v>
                </c:pt>
                <c:pt idx="24">
                  <c:v>SkyUp Airlines</c:v>
                </c:pt>
                <c:pt idx="25">
                  <c:v>Cargo Air</c:v>
                </c:pt>
                <c:pt idx="26">
                  <c:v>Spree Flug</c:v>
                </c:pt>
                <c:pt idx="27">
                  <c:v>Electra Airways</c:v>
                </c:pt>
                <c:pt idx="28">
                  <c:v>Malta Air</c:v>
                </c:pt>
                <c:pt idx="29">
                  <c:v>Flylili</c:v>
                </c:pt>
                <c:pt idx="30">
                  <c:v>Flexjet</c:v>
                </c:pt>
                <c:pt idx="31">
                  <c:v>Tyrol Air Ambulance</c:v>
                </c:pt>
                <c:pt idx="32">
                  <c:v>Fly My Sky</c:v>
                </c:pt>
                <c:pt idx="33">
                  <c:v>Smart Jet</c:v>
                </c:pt>
                <c:pt idx="34">
                  <c:v>Union Aviation</c:v>
                </c:pt>
                <c:pt idx="35">
                  <c:v>Scanwings</c:v>
                </c:pt>
                <c:pt idx="36">
                  <c:v>arkia</c:v>
                </c:pt>
                <c:pt idx="37">
                  <c:v>DHL</c:v>
                </c:pt>
                <c:pt idx="38">
                  <c:v>Bul Air</c:v>
                </c:pt>
                <c:pt idx="39">
                  <c:v>REVA Air Ambulance</c:v>
                </c:pt>
                <c:pt idx="40">
                  <c:v>AVIATOR.S5</c:v>
                </c:pt>
                <c:pt idx="41">
                  <c:v>FlyOne</c:v>
                </c:pt>
                <c:pt idx="42">
                  <c:v>ASL Airlines</c:v>
                </c:pt>
                <c:pt idx="43">
                  <c:v>JetStream</c:v>
                </c:pt>
                <c:pt idx="44">
                  <c:v>SCAT</c:v>
                </c:pt>
                <c:pt idx="45">
                  <c:v>Carpatair</c:v>
                </c:pt>
                <c:pt idx="46">
                  <c:v>Windrose Air Jetcharter</c:v>
                </c:pt>
                <c:pt idx="47">
                  <c:v>Jetfly On-Demand</c:v>
                </c:pt>
              </c:strCache>
            </c:strRef>
          </c:cat>
          <c:val>
            <c:numRef>
              <c:f>'By Airline'!$C$5:$C$53</c:f>
              <c:numCache>
                <c:formatCode>General</c:formatCode>
                <c:ptCount val="48"/>
                <c:pt idx="0">
                  <c:v>122</c:v>
                </c:pt>
                <c:pt idx="1">
                  <c:v>134</c:v>
                </c:pt>
                <c:pt idx="2">
                  <c:v>92</c:v>
                </c:pt>
                <c:pt idx="3">
                  <c:v>37</c:v>
                </c:pt>
                <c:pt idx="4">
                  <c:v>22</c:v>
                </c:pt>
                <c:pt idx="5">
                  <c:v>37</c:v>
                </c:pt>
                <c:pt idx="6">
                  <c:v>9</c:v>
                </c:pt>
                <c:pt idx="7">
                  <c:v>17</c:v>
                </c:pt>
                <c:pt idx="8">
                  <c:v>8</c:v>
                </c:pt>
                <c:pt idx="9">
                  <c:v>17</c:v>
                </c:pt>
                <c:pt idx="10">
                  <c:v>4</c:v>
                </c:pt>
                <c:pt idx="11">
                  <c:v>10</c:v>
                </c:pt>
                <c:pt idx="12">
                  <c:v>8</c:v>
                </c:pt>
                <c:pt idx="13">
                  <c:v>1</c:v>
                </c:pt>
                <c:pt idx="14">
                  <c:v>2</c:v>
                </c:pt>
                <c:pt idx="16">
                  <c:v>7</c:v>
                </c:pt>
                <c:pt idx="17">
                  <c:v>6</c:v>
                </c:pt>
                <c:pt idx="19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6">
                  <c:v>1</c:v>
                </c:pt>
                <c:pt idx="27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43">
                  <c:v>1</c:v>
                </c:pt>
                <c:pt idx="44">
                  <c:v>1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C9-4DEC-B8FF-6AE60C76C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579551"/>
        <c:axId val="659123439"/>
      </c:barChart>
      <c:catAx>
        <c:axId val="65857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123439"/>
        <c:crosses val="autoZero"/>
        <c:auto val="1"/>
        <c:lblAlgn val="ctr"/>
        <c:lblOffset val="100"/>
        <c:noMultiLvlLbl val="0"/>
      </c:catAx>
      <c:valAx>
        <c:axId val="65912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7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Aircraft</a:t>
            </a:r>
          </a:p>
        </c:rich>
      </c:tx>
      <c:layout>
        <c:manualLayout>
          <c:xMode val="edge"/>
          <c:yMode val="edge"/>
          <c:x val="0.4087915573053368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Main!$AJ$1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Main!$AI$2:$AI$62</c:f>
              <c:numCache>
                <c:formatCode>General</c:formatCode>
                <c:ptCount val="61"/>
                <c:pt idx="0">
                  <c:v>145</c:v>
                </c:pt>
                <c:pt idx="1">
                  <c:v>240</c:v>
                </c:pt>
                <c:pt idx="2">
                  <c:v>189</c:v>
                </c:pt>
                <c:pt idx="3">
                  <c:v>76</c:v>
                </c:pt>
                <c:pt idx="4">
                  <c:v>189</c:v>
                </c:pt>
                <c:pt idx="5">
                  <c:v>180</c:v>
                </c:pt>
                <c:pt idx="6">
                  <c:v>72</c:v>
                </c:pt>
                <c:pt idx="7">
                  <c:v>180</c:v>
                </c:pt>
                <c:pt idx="8">
                  <c:v>189</c:v>
                </c:pt>
                <c:pt idx="9">
                  <c:v>118</c:v>
                </c:pt>
                <c:pt idx="10">
                  <c:v>180</c:v>
                </c:pt>
                <c:pt idx="11">
                  <c:v>189</c:v>
                </c:pt>
                <c:pt idx="12">
                  <c:v>180</c:v>
                </c:pt>
                <c:pt idx="13">
                  <c:v>76</c:v>
                </c:pt>
                <c:pt idx="14">
                  <c:v>189</c:v>
                </c:pt>
                <c:pt idx="15">
                  <c:v>76</c:v>
                </c:pt>
                <c:pt idx="16">
                  <c:v>197</c:v>
                </c:pt>
                <c:pt idx="17">
                  <c:v>5</c:v>
                </c:pt>
                <c:pt idx="18">
                  <c:v>76</c:v>
                </c:pt>
                <c:pt idx="19">
                  <c:v>178</c:v>
                </c:pt>
                <c:pt idx="20">
                  <c:v>220</c:v>
                </c:pt>
                <c:pt idx="21">
                  <c:v>100</c:v>
                </c:pt>
                <c:pt idx="22">
                  <c:v>189</c:v>
                </c:pt>
                <c:pt idx="23">
                  <c:v>220</c:v>
                </c:pt>
                <c:pt idx="24">
                  <c:v>118</c:v>
                </c:pt>
                <c:pt idx="25">
                  <c:v>220</c:v>
                </c:pt>
                <c:pt idx="26">
                  <c:v>100</c:v>
                </c:pt>
                <c:pt idx="27">
                  <c:v>3</c:v>
                </c:pt>
                <c:pt idx="28">
                  <c:v>100</c:v>
                </c:pt>
                <c:pt idx="29">
                  <c:v>189</c:v>
                </c:pt>
                <c:pt idx="30">
                  <c:v>7</c:v>
                </c:pt>
                <c:pt idx="31">
                  <c:v>9</c:v>
                </c:pt>
                <c:pt idx="32">
                  <c:v>396</c:v>
                </c:pt>
                <c:pt idx="33">
                  <c:v>100</c:v>
                </c:pt>
                <c:pt idx="34">
                  <c:v>132</c:v>
                </c:pt>
                <c:pt idx="35">
                  <c:v>4</c:v>
                </c:pt>
                <c:pt idx="36">
                  <c:v>5</c:v>
                </c:pt>
                <c:pt idx="37">
                  <c:v>8</c:v>
                </c:pt>
                <c:pt idx="38">
                  <c:v>14</c:v>
                </c:pt>
                <c:pt idx="39">
                  <c:v>180</c:v>
                </c:pt>
                <c:pt idx="40">
                  <c:v>19</c:v>
                </c:pt>
                <c:pt idx="41">
                  <c:v>189</c:v>
                </c:pt>
                <c:pt idx="42">
                  <c:v>12</c:v>
                </c:pt>
                <c:pt idx="43">
                  <c:v>9</c:v>
                </c:pt>
                <c:pt idx="44">
                  <c:v>6</c:v>
                </c:pt>
                <c:pt idx="45">
                  <c:v>215</c:v>
                </c:pt>
                <c:pt idx="46">
                  <c:v>134</c:v>
                </c:pt>
                <c:pt idx="47">
                  <c:v>70</c:v>
                </c:pt>
                <c:pt idx="48">
                  <c:v>6</c:v>
                </c:pt>
                <c:pt idx="49">
                  <c:v>7</c:v>
                </c:pt>
                <c:pt idx="50">
                  <c:v>189</c:v>
                </c:pt>
                <c:pt idx="51">
                  <c:v>189</c:v>
                </c:pt>
                <c:pt idx="52">
                  <c:v>189</c:v>
                </c:pt>
                <c:pt idx="53">
                  <c:v>240</c:v>
                </c:pt>
                <c:pt idx="54">
                  <c:v>180</c:v>
                </c:pt>
                <c:pt idx="55">
                  <c:v>9</c:v>
                </c:pt>
                <c:pt idx="56">
                  <c:v>6</c:v>
                </c:pt>
                <c:pt idx="57">
                  <c:v>193</c:v>
                </c:pt>
                <c:pt idx="58">
                  <c:v>8</c:v>
                </c:pt>
                <c:pt idx="59">
                  <c:v>9</c:v>
                </c:pt>
                <c:pt idx="60">
                  <c:v>13</c:v>
                </c:pt>
              </c:numCache>
            </c:numRef>
          </c:xVal>
          <c:yVal>
            <c:numRef>
              <c:f>Main!$AJ$2:$AJ$62</c:f>
              <c:numCache>
                <c:formatCode>0</c:formatCode>
                <c:ptCount val="61"/>
                <c:pt idx="0">
                  <c:v>-2.9999999999999893</c:v>
                </c:pt>
                <c:pt idx="1">
                  <c:v>10.999999999999961</c:v>
                </c:pt>
                <c:pt idx="2">
                  <c:v>-14.999999999999947</c:v>
                </c:pt>
                <c:pt idx="3">
                  <c:v>2.0000000000000027</c:v>
                </c:pt>
                <c:pt idx="4">
                  <c:v>-1.0000000000000764</c:v>
                </c:pt>
                <c:pt idx="5">
                  <c:v>0.99999999999999645</c:v>
                </c:pt>
                <c:pt idx="6">
                  <c:v>-0.49999999999999822</c:v>
                </c:pt>
                <c:pt idx="7">
                  <c:v>-1.9999999999999929</c:v>
                </c:pt>
                <c:pt idx="8">
                  <c:v>11.999999999999957</c:v>
                </c:pt>
                <c:pt idx="9">
                  <c:v>-6.0000000000001386</c:v>
                </c:pt>
                <c:pt idx="10">
                  <c:v>0</c:v>
                </c:pt>
                <c:pt idx="11">
                  <c:v>12.999999999999954</c:v>
                </c:pt>
                <c:pt idx="12">
                  <c:v>6.9999999999999751</c:v>
                </c:pt>
                <c:pt idx="13">
                  <c:v>0</c:v>
                </c:pt>
                <c:pt idx="14">
                  <c:v>5.9999999999999787</c:v>
                </c:pt>
                <c:pt idx="15">
                  <c:v>3.9999999999999956</c:v>
                </c:pt>
                <c:pt idx="16">
                  <c:v>6.9999999999999751</c:v>
                </c:pt>
                <c:pt idx="17">
                  <c:v>-0.99999999999983658</c:v>
                </c:pt>
                <c:pt idx="18">
                  <c:v>0.99999999999983658</c:v>
                </c:pt>
                <c:pt idx="19">
                  <c:v>0</c:v>
                </c:pt>
                <c:pt idx="20">
                  <c:v>5.9999999999999787</c:v>
                </c:pt>
                <c:pt idx="21">
                  <c:v>-3.9999999999999858</c:v>
                </c:pt>
                <c:pt idx="22">
                  <c:v>5.0000000000000817</c:v>
                </c:pt>
                <c:pt idx="23">
                  <c:v>1.9999999999999929</c:v>
                </c:pt>
                <c:pt idx="24">
                  <c:v>-7.0000000000000551</c:v>
                </c:pt>
                <c:pt idx="25">
                  <c:v>-25.999999999999986</c:v>
                </c:pt>
                <c:pt idx="26">
                  <c:v>1.4999999999999147</c:v>
                </c:pt>
                <c:pt idx="27">
                  <c:v>-10.999999999999961</c:v>
                </c:pt>
                <c:pt idx="28">
                  <c:v>-3.0000000000001492</c:v>
                </c:pt>
                <c:pt idx="29">
                  <c:v>8.4999999999999698</c:v>
                </c:pt>
                <c:pt idx="30">
                  <c:v>13.000000000000114</c:v>
                </c:pt>
                <c:pt idx="31">
                  <c:v>-9.5000000000000071</c:v>
                </c:pt>
                <c:pt idx="32">
                  <c:v>-5.4999999999999805</c:v>
                </c:pt>
                <c:pt idx="33">
                  <c:v>4.4999999999999991</c:v>
                </c:pt>
                <c:pt idx="34">
                  <c:v>-14.00000000000011</c:v>
                </c:pt>
                <c:pt idx="35">
                  <c:v>-2.9999999999999893</c:v>
                </c:pt>
                <c:pt idx="36">
                  <c:v>#N/A</c:v>
                </c:pt>
                <c:pt idx="37">
                  <c:v>-15.500000000000025</c:v>
                </c:pt>
                <c:pt idx="38">
                  <c:v>7.0000000000000551</c:v>
                </c:pt>
                <c:pt idx="39">
                  <c:v>-21.999999999999922</c:v>
                </c:pt>
                <c:pt idx="40">
                  <c:v>-59.999999999999943</c:v>
                </c:pt>
                <c:pt idx="41">
                  <c:v>-2.4999999999999893</c:v>
                </c:pt>
                <c:pt idx="42">
                  <c:v>-28.000000000000139</c:v>
                </c:pt>
                <c:pt idx="43">
                  <c:v>-10.499999999999963</c:v>
                </c:pt>
                <c:pt idx="44">
                  <c:v>#N/A</c:v>
                </c:pt>
                <c:pt idx="45">
                  <c:v>11.999999999999957</c:v>
                </c:pt>
                <c:pt idx="46">
                  <c:v>0.49999999999999822</c:v>
                </c:pt>
                <c:pt idx="47">
                  <c:v>1.4999999999999147</c:v>
                </c:pt>
                <c:pt idx="48">
                  <c:v>21.999999999999922</c:v>
                </c:pt>
                <c:pt idx="49">
                  <c:v>5.9999999999999787</c:v>
                </c:pt>
                <c:pt idx="50">
                  <c:v>-33</c:v>
                </c:pt>
                <c:pt idx="51">
                  <c:v>-7.5000000000000142</c:v>
                </c:pt>
                <c:pt idx="52">
                  <c:v>0.99999999999983658</c:v>
                </c:pt>
                <c:pt idx="53">
                  <c:v>13.000000000000034</c:v>
                </c:pt>
                <c:pt idx="54">
                  <c:v>-6.4999999999999769</c:v>
                </c:pt>
                <c:pt idx="55">
                  <c:v>-18.999999999999932</c:v>
                </c:pt>
                <c:pt idx="56">
                  <c:v>-4.0000000000001457</c:v>
                </c:pt>
                <c:pt idx="57">
                  <c:v>18.000000000000096</c:v>
                </c:pt>
                <c:pt idx="58">
                  <c:v>-58.000000000000114</c:v>
                </c:pt>
                <c:pt idx="59">
                  <c:v>-39.000000000000021</c:v>
                </c:pt>
                <c:pt idx="60">
                  <c:v>-12.999999999999794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2-4195-8289-C75FB1E0E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579519"/>
        <c:axId val="1948577599"/>
      </c:scatterChart>
      <c:valAx>
        <c:axId val="194857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577599"/>
        <c:crosses val="autoZero"/>
        <c:crossBetween val="midCat"/>
      </c:valAx>
      <c:valAx>
        <c:axId val="194857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57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Passenger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53205699595372"/>
          <c:y val="0.19443821811057774"/>
          <c:w val="0.81719324100418944"/>
          <c:h val="0.7823399015495323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Main!$W$2:$W$109</c:f>
              <c:numCache>
                <c:formatCode>0</c:formatCode>
                <c:ptCount val="108"/>
                <c:pt idx="0">
                  <c:v>16000000</c:v>
                </c:pt>
                <c:pt idx="1">
                  <c:v>66800000</c:v>
                </c:pt>
                <c:pt idx="2">
                  <c:v>12000000</c:v>
                </c:pt>
                <c:pt idx="3">
                  <c:v>35500000</c:v>
                </c:pt>
                <c:pt idx="4">
                  <c:v>7500000</c:v>
                </c:pt>
                <c:pt idx="5">
                  <c:v>28200000</c:v>
                </c:pt>
                <c:pt idx="6">
                  <c:v>2000000</c:v>
                </c:pt>
                <c:pt idx="7">
                  <c:v>250000</c:v>
                </c:pt>
                <c:pt idx="8">
                  <c:v>50000000</c:v>
                </c:pt>
                <c:pt idx="9">
                  <c:v>6000000</c:v>
                </c:pt>
                <c:pt idx="10">
                  <c:v>8000000</c:v>
                </c:pt>
                <c:pt idx="11">
                  <c:v>6400000</c:v>
                </c:pt>
                <c:pt idx="12">
                  <c:v>23000000</c:v>
                </c:pt>
                <c:pt idx="13">
                  <c:v>4000000</c:v>
                </c:pt>
                <c:pt idx="14">
                  <c:v>4100000</c:v>
                </c:pt>
                <c:pt idx="15">
                  <c:v>100000</c:v>
                </c:pt>
                <c:pt idx="16">
                  <c:v>1500000</c:v>
                </c:pt>
                <c:pt idx="17">
                  <c:v>14600000</c:v>
                </c:pt>
                <c:pt idx="18">
                  <c:v>14700000</c:v>
                </c:pt>
                <c:pt idx="19">
                  <c:v>1800000</c:v>
                </c:pt>
                <c:pt idx="20">
                  <c:v>#N/A</c:v>
                </c:pt>
                <c:pt idx="21">
                  <c:v>10700000</c:v>
                </c:pt>
                <c:pt idx="22">
                  <c:v>9800000</c:v>
                </c:pt>
                <c:pt idx="23">
                  <c:v>26800000</c:v>
                </c:pt>
                <c:pt idx="24">
                  <c:v>3800000</c:v>
                </c:pt>
                <c:pt idx="25">
                  <c:v>3100000</c:v>
                </c:pt>
                <c:pt idx="26">
                  <c:v>32000000</c:v>
                </c:pt>
                <c:pt idx="27">
                  <c:v>19100000</c:v>
                </c:pt>
                <c:pt idx="28">
                  <c:v>#N/A</c:v>
                </c:pt>
                <c:pt idx="29">
                  <c:v>6800000</c:v>
                </c:pt>
                <c:pt idx="30">
                  <c:v>1500000</c:v>
                </c:pt>
                <c:pt idx="31">
                  <c:v>1700000</c:v>
                </c:pt>
                <c:pt idx="32">
                  <c:v>130000</c:v>
                </c:pt>
                <c:pt idx="33">
                  <c:v>59400000</c:v>
                </c:pt>
                <c:pt idx="34">
                  <c:v>1700000</c:v>
                </c:pt>
                <c:pt idx="35">
                  <c:v>4800000</c:v>
                </c:pt>
                <c:pt idx="36">
                  <c:v>5900000</c:v>
                </c:pt>
                <c:pt idx="37">
                  <c:v>1300000</c:v>
                </c:pt>
                <c:pt idx="38">
                  <c:v>13600000</c:v>
                </c:pt>
                <c:pt idx="39">
                  <c:v>8700000</c:v>
                </c:pt>
                <c:pt idx="40">
                  <c:v>15300000</c:v>
                </c:pt>
                <c:pt idx="41">
                  <c:v>8000000</c:v>
                </c:pt>
                <c:pt idx="42">
                  <c:v>#N/A</c:v>
                </c:pt>
                <c:pt idx="43">
                  <c:v>80000000</c:v>
                </c:pt>
                <c:pt idx="44">
                  <c:v>5600000</c:v>
                </c:pt>
                <c:pt idx="45">
                  <c:v>1300000</c:v>
                </c:pt>
                <c:pt idx="46">
                  <c:v>#N/A</c:v>
                </c:pt>
                <c:pt idx="47">
                  <c:v>7800000</c:v>
                </c:pt>
                <c:pt idx="48">
                  <c:v>9300000</c:v>
                </c:pt>
                <c:pt idx="49">
                  <c:v>1700000</c:v>
                </c:pt>
                <c:pt idx="50">
                  <c:v>2800000</c:v>
                </c:pt>
                <c:pt idx="51">
                  <c:v>8100000</c:v>
                </c:pt>
                <c:pt idx="52">
                  <c:v>2100000</c:v>
                </c:pt>
                <c:pt idx="53">
                  <c:v>10000</c:v>
                </c:pt>
                <c:pt idx="54">
                  <c:v>33600000</c:v>
                </c:pt>
                <c:pt idx="55">
                  <c:v>#N/A</c:v>
                </c:pt>
                <c:pt idx="56">
                  <c:v>16200000</c:v>
                </c:pt>
                <c:pt idx="57">
                  <c:v>29700000</c:v>
                </c:pt>
                <c:pt idx="58">
                  <c:v>4800000</c:v>
                </c:pt>
                <c:pt idx="59">
                  <c:v>22300000</c:v>
                </c:pt>
                <c:pt idx="60">
                  <c:v>7800000</c:v>
                </c:pt>
                <c:pt idx="61">
                  <c:v>16000000</c:v>
                </c:pt>
                <c:pt idx="62">
                  <c:v>26100000</c:v>
                </c:pt>
                <c:pt idx="63">
                  <c:v>37000000</c:v>
                </c:pt>
                <c:pt idx="64">
                  <c:v>14200000</c:v>
                </c:pt>
                <c:pt idx="65">
                  <c:v>4000000</c:v>
                </c:pt>
                <c:pt idx="66">
                  <c:v>3900000</c:v>
                </c:pt>
                <c:pt idx="67">
                  <c:v>3300000</c:v>
                </c:pt>
                <c:pt idx="68">
                  <c:v>25100000</c:v>
                </c:pt>
                <c:pt idx="69">
                  <c:v>350000</c:v>
                </c:pt>
                <c:pt idx="70">
                  <c:v>310000</c:v>
                </c:pt>
                <c:pt idx="71">
                  <c:v>31100000</c:v>
                </c:pt>
                <c:pt idx="72">
                  <c:v>5600000</c:v>
                </c:pt>
                <c:pt idx="73">
                  <c:v>70300000</c:v>
                </c:pt>
                <c:pt idx="74">
                  <c:v>#N/A</c:v>
                </c:pt>
                <c:pt idx="75">
                  <c:v>120000</c:v>
                </c:pt>
                <c:pt idx="76">
                  <c:v>1600000</c:v>
                </c:pt>
                <c:pt idx="77">
                  <c:v>13800000</c:v>
                </c:pt>
                <c:pt idx="78">
                  <c:v>400000</c:v>
                </c:pt>
                <c:pt idx="79">
                  <c:v>6100000</c:v>
                </c:pt>
                <c:pt idx="80">
                  <c:v>6600000</c:v>
                </c:pt>
                <c:pt idx="81">
                  <c:v>280000</c:v>
                </c:pt>
                <c:pt idx="82">
                  <c:v>3900000</c:v>
                </c:pt>
                <c:pt idx="83">
                  <c:v>60000</c:v>
                </c:pt>
                <c:pt idx="84">
                  <c:v>200000</c:v>
                </c:pt>
                <c:pt idx="85">
                  <c:v>4500000</c:v>
                </c:pt>
                <c:pt idx="86">
                  <c:v>#N/A</c:v>
                </c:pt>
                <c:pt idx="87">
                  <c:v>7200000</c:v>
                </c:pt>
                <c:pt idx="88">
                  <c:v>21800000</c:v>
                </c:pt>
                <c:pt idx="89">
                  <c:v>800000</c:v>
                </c:pt>
                <c:pt idx="90">
                  <c:v>#N/A</c:v>
                </c:pt>
                <c:pt idx="91">
                  <c:v>3000000</c:v>
                </c:pt>
                <c:pt idx="92">
                  <c:v>3700000</c:v>
                </c:pt>
                <c:pt idx="93">
                  <c:v>15000000</c:v>
                </c:pt>
                <c:pt idx="94">
                  <c:v>7200000</c:v>
                </c:pt>
                <c:pt idx="95">
                  <c:v>850000</c:v>
                </c:pt>
                <c:pt idx="96">
                  <c:v>#N/A</c:v>
                </c:pt>
                <c:pt idx="97">
                  <c:v>4500000</c:v>
                </c:pt>
                <c:pt idx="98">
                  <c:v>300000</c:v>
                </c:pt>
                <c:pt idx="99">
                  <c:v>1800000</c:v>
                </c:pt>
                <c:pt idx="100">
                  <c:v>11300000</c:v>
                </c:pt>
                <c:pt idx="101">
                  <c:v>3000000</c:v>
                </c:pt>
                <c:pt idx="102">
                  <c:v>29500000</c:v>
                </c:pt>
                <c:pt idx="103">
                  <c:v>4400000</c:v>
                </c:pt>
                <c:pt idx="104">
                  <c:v>#N/A</c:v>
                </c:pt>
                <c:pt idx="105">
                  <c:v>18500000</c:v>
                </c:pt>
                <c:pt idx="106">
                  <c:v>3700000</c:v>
                </c:pt>
                <c:pt idx="107">
                  <c:v>28900000</c:v>
                </c:pt>
              </c:numCache>
            </c:numRef>
          </c:xVal>
          <c:yVal>
            <c:numRef>
              <c:f>Main!$Z$2:$Z$109</c:f>
              <c:numCache>
                <c:formatCode>0</c:formatCode>
                <c:ptCount val="108"/>
                <c:pt idx="0">
                  <c:v>-26.999999999999904</c:v>
                </c:pt>
                <c:pt idx="1">
                  <c:v>-2.9999999999999893</c:v>
                </c:pt>
                <c:pt idx="2">
                  <c:v>-59.999999999999943</c:v>
                </c:pt>
                <c:pt idx="3">
                  <c:v>4.9999999999999822</c:v>
                </c:pt>
                <c:pt idx="4">
                  <c:v>-52.000000000000057</c:v>
                </c:pt>
                <c:pt idx="5">
                  <c:v>2.9999999999999893</c:v>
                </c:pt>
                <c:pt idx="6">
                  <c:v>-6.9999999999999751</c:v>
                </c:pt>
                <c:pt idx="7">
                  <c:v>#N/A</c:v>
                </c:pt>
                <c:pt idx="8">
                  <c:v>3.9999999999999956</c:v>
                </c:pt>
                <c:pt idx="9">
                  <c:v>-23</c:v>
                </c:pt>
                <c:pt idx="10">
                  <c:v>#N/A</c:v>
                </c:pt>
                <c:pt idx="11">
                  <c:v>5.0000000000001421</c:v>
                </c:pt>
                <c:pt idx="12">
                  <c:v>15.500000000000185</c:v>
                </c:pt>
                <c:pt idx="13">
                  <c:v>11.000000000000121</c:v>
                </c:pt>
                <c:pt idx="14">
                  <c:v>3.0000000000001492</c:v>
                </c:pt>
                <c:pt idx="15">
                  <c:v>13.000000000000114</c:v>
                </c:pt>
                <c:pt idx="16">
                  <c:v>21.999999999999922</c:v>
                </c:pt>
                <c:pt idx="17">
                  <c:v>-51.999999999999972</c:v>
                </c:pt>
                <c:pt idx="18">
                  <c:v>15.000000000000107</c:v>
                </c:pt>
                <c:pt idx="19">
                  <c:v>14.999999999999947</c:v>
                </c:pt>
                <c:pt idx="20">
                  <c:v>-39.000000000000021</c:v>
                </c:pt>
                <c:pt idx="21">
                  <c:v>13.000000000000032</c:v>
                </c:pt>
                <c:pt idx="22">
                  <c:v>#N/A</c:v>
                </c:pt>
                <c:pt idx="23">
                  <c:v>3.9999999999999956</c:v>
                </c:pt>
                <c:pt idx="24">
                  <c:v>7.4999999999999734</c:v>
                </c:pt>
                <c:pt idx="25">
                  <c:v>12.499999999999876</c:v>
                </c:pt>
                <c:pt idx="26">
                  <c:v>10.999999999999961</c:v>
                </c:pt>
                <c:pt idx="27">
                  <c:v>-5.0000000000001421</c:v>
                </c:pt>
                <c:pt idx="28">
                  <c:v>-16.99999999999994</c:v>
                </c:pt>
                <c:pt idx="29">
                  <c:v>5.9999999999998188</c:v>
                </c:pt>
                <c:pt idx="30">
                  <c:v>6.9999999999999751</c:v>
                </c:pt>
                <c:pt idx="31">
                  <c:v>26.999999999999904</c:v>
                </c:pt>
                <c:pt idx="32">
                  <c:v>0.99999999999999645</c:v>
                </c:pt>
                <c:pt idx="33">
                  <c:v>1.9999999999999929</c:v>
                </c:pt>
                <c:pt idx="34">
                  <c:v>17.999999999999936</c:v>
                </c:pt>
                <c:pt idx="35">
                  <c:v>5.0000000000000222</c:v>
                </c:pt>
                <c:pt idx="36">
                  <c:v>12.500000000000036</c:v>
                </c:pt>
                <c:pt idx="37">
                  <c:v>-3.0000000000001492</c:v>
                </c:pt>
                <c:pt idx="38">
                  <c:v>10.999999999999961</c:v>
                </c:pt>
                <c:pt idx="39">
                  <c:v>-6.9999999999999751</c:v>
                </c:pt>
                <c:pt idx="40">
                  <c:v>0</c:v>
                </c:pt>
                <c:pt idx="41">
                  <c:v>123.99999999999996</c:v>
                </c:pt>
                <c:pt idx="42">
                  <c:v>-4.0000000000001457</c:v>
                </c:pt>
                <c:pt idx="43">
                  <c:v>7.9999999999999716</c:v>
                </c:pt>
                <c:pt idx="44">
                  <c:v>-18.999999999999932</c:v>
                </c:pt>
                <c:pt idx="45">
                  <c:v>-8.999999999999968</c:v>
                </c:pt>
                <c:pt idx="46">
                  <c:v>-94.999999999999829</c:v>
                </c:pt>
                <c:pt idx="47">
                  <c:v>6.4999999999999867</c:v>
                </c:pt>
                <c:pt idx="48">
                  <c:v>10.500000000000043</c:v>
                </c:pt>
                <c:pt idx="49">
                  <c:v>15.000000000000107</c:v>
                </c:pt>
                <c:pt idx="50">
                  <c:v>30.50000000000005</c:v>
                </c:pt>
                <c:pt idx="51">
                  <c:v>14</c:v>
                </c:pt>
                <c:pt idx="52">
                  <c:v>-0.99999999999991651</c:v>
                </c:pt>
                <c:pt idx="53">
                  <c:v>12.000000000000117</c:v>
                </c:pt>
                <c:pt idx="54">
                  <c:v>6.4999999999999769</c:v>
                </c:pt>
                <c:pt idx="55">
                  <c:v>1.9999999999999929</c:v>
                </c:pt>
                <c:pt idx="56">
                  <c:v>4.9999999999999822</c:v>
                </c:pt>
                <c:pt idx="57">
                  <c:v>6.4999999999999769</c:v>
                </c:pt>
                <c:pt idx="58">
                  <c:v>#N/A</c:v>
                </c:pt>
                <c:pt idx="59">
                  <c:v>4.0000000000000657</c:v>
                </c:pt>
                <c:pt idx="60">
                  <c:v>10.999999999999961</c:v>
                </c:pt>
                <c:pt idx="61">
                  <c:v>2.9999999999999893</c:v>
                </c:pt>
                <c:pt idx="62">
                  <c:v>-8.4999999999999858</c:v>
                </c:pt>
                <c:pt idx="63">
                  <c:v>0</c:v>
                </c:pt>
                <c:pt idx="64">
                  <c:v>1.5000000000000147</c:v>
                </c:pt>
                <c:pt idx="65">
                  <c:v>-58.000000000000114</c:v>
                </c:pt>
                <c:pt idx="66">
                  <c:v>17.500000000000014</c:v>
                </c:pt>
                <c:pt idx="67">
                  <c:v>3.9999999999999858</c:v>
                </c:pt>
                <c:pt idx="68">
                  <c:v>12.999999999999954</c:v>
                </c:pt>
                <c:pt idx="69">
                  <c:v>-23.000000000000238</c:v>
                </c:pt>
                <c:pt idx="70">
                  <c:v>-17.499999999999936</c:v>
                </c:pt>
                <c:pt idx="71">
                  <c:v>3.4999999999999876</c:v>
                </c:pt>
                <c:pt idx="72">
                  <c:v>10.500000000000043</c:v>
                </c:pt>
                <c:pt idx="73">
                  <c:v>-2.4999999999999112</c:v>
                </c:pt>
                <c:pt idx="74">
                  <c:v>-3.9999999999999858</c:v>
                </c:pt>
                <c:pt idx="75">
                  <c:v>-1.0000000000000764</c:v>
                </c:pt>
                <c:pt idx="76">
                  <c:v>5.0000000000000124</c:v>
                </c:pt>
                <c:pt idx="77">
                  <c:v>14.000000000000005</c:v>
                </c:pt>
                <c:pt idx="78">
                  <c:v>-0.99999999999983658</c:v>
                </c:pt>
                <c:pt idx="79">
                  <c:v>9.0000000000001279</c:v>
                </c:pt>
                <c:pt idx="80">
                  <c:v>-24.499999999999915</c:v>
                </c:pt>
                <c:pt idx="81">
                  <c:v>19.999999999999929</c:v>
                </c:pt>
                <c:pt idx="82">
                  <c:v>8.0000000000000515</c:v>
                </c:pt>
                <c:pt idx="83">
                  <c:v>-12.999999999999794</c:v>
                </c:pt>
                <c:pt idx="84">
                  <c:v>-39.000000000000021</c:v>
                </c:pt>
                <c:pt idx="85">
                  <c:v>-1.0000000000000764</c:v>
                </c:pt>
                <c:pt idx="86">
                  <c:v>#N/A</c:v>
                </c:pt>
                <c:pt idx="87">
                  <c:v>-75.000000000000057</c:v>
                </c:pt>
                <c:pt idx="88">
                  <c:v>-1.0000000000000764</c:v>
                </c:pt>
                <c:pt idx="89">
                  <c:v>-14.999999999999947</c:v>
                </c:pt>
                <c:pt idx="90">
                  <c:v>14.999999999999947</c:v>
                </c:pt>
                <c:pt idx="91">
                  <c:v>15.500000000000064</c:v>
                </c:pt>
                <c:pt idx="92">
                  <c:v>11.999999999999957</c:v>
                </c:pt>
                <c:pt idx="93">
                  <c:v>-21.000000000000007</c:v>
                </c:pt>
                <c:pt idx="94">
                  <c:v>-3.9999999999999858</c:v>
                </c:pt>
                <c:pt idx="95">
                  <c:v>-4.0000000000000258</c:v>
                </c:pt>
                <c:pt idx="96">
                  <c:v>-2.9999999999999893</c:v>
                </c:pt>
                <c:pt idx="97">
                  <c:v>19.000000000000092</c:v>
                </c:pt>
                <c:pt idx="98">
                  <c:v>22.500000000000078</c:v>
                </c:pt>
                <c:pt idx="99">
                  <c:v>13.000000000000034</c:v>
                </c:pt>
                <c:pt idx="100">
                  <c:v>-30.50000000000005</c:v>
                </c:pt>
                <c:pt idx="101">
                  <c:v>11.999999999999957</c:v>
                </c:pt>
                <c:pt idx="102">
                  <c:v>0.99999999999999645</c:v>
                </c:pt>
                <c:pt idx="103">
                  <c:v>20.000000000000007</c:v>
                </c:pt>
                <c:pt idx="104">
                  <c:v>0</c:v>
                </c:pt>
                <c:pt idx="105">
                  <c:v>-4.9999999999999423</c:v>
                </c:pt>
                <c:pt idx="106">
                  <c:v>19.999999999999929</c:v>
                </c:pt>
                <c:pt idx="107">
                  <c:v>-2.499999999999996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45-4F24-8C2C-94F2EF938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170048"/>
        <c:axId val="455180128"/>
      </c:scatterChart>
      <c:valAx>
        <c:axId val="45517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180128"/>
        <c:crosses val="autoZero"/>
        <c:crossBetween val="midCat"/>
      </c:valAx>
      <c:valAx>
        <c:axId val="4551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17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Distance to VNO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Main!$X$2:$X$109</c:f>
              <c:numCache>
                <c:formatCode>0</c:formatCode>
                <c:ptCount val="108"/>
                <c:pt idx="0">
                  <c:v>2653</c:v>
                </c:pt>
                <c:pt idx="1">
                  <c:v>1379</c:v>
                </c:pt>
                <c:pt idx="2">
                  <c:v>1674</c:v>
                </c:pt>
                <c:pt idx="3">
                  <c:v>1933</c:v>
                </c:pt>
                <c:pt idx="4">
                  <c:v>3115</c:v>
                </c:pt>
                <c:pt idx="5">
                  <c:v>1848</c:v>
                </c:pt>
                <c:pt idx="6">
                  <c:v>2648</c:v>
                </c:pt>
                <c:pt idx="7">
                  <c:v>823</c:v>
                </c:pt>
                <c:pt idx="8">
                  <c:v>2246</c:v>
                </c:pt>
                <c:pt idx="9">
                  <c:v>1957</c:v>
                </c:pt>
                <c:pt idx="10">
                  <c:v>1061</c:v>
                </c:pt>
                <c:pt idx="11">
                  <c:v>1222</c:v>
                </c:pt>
                <c:pt idx="12">
                  <c:v>808</c:v>
                </c:pt>
                <c:pt idx="13">
                  <c:v>988</c:v>
                </c:pt>
                <c:pt idx="14">
                  <c:v>1893</c:v>
                </c:pt>
                <c:pt idx="15">
                  <c:v>1298</c:v>
                </c:pt>
                <c:pt idx="16">
                  <c:v>988</c:v>
                </c:pt>
                <c:pt idx="17">
                  <c:v>929</c:v>
                </c:pt>
                <c:pt idx="18">
                  <c:v>916</c:v>
                </c:pt>
                <c:pt idx="19">
                  <c:v>1289</c:v>
                </c:pt>
                <c:pt idx="20">
                  <c:v>1811</c:v>
                </c:pt>
                <c:pt idx="21">
                  <c:v>1939</c:v>
                </c:pt>
                <c:pt idx="22">
                  <c:v>1228</c:v>
                </c:pt>
                <c:pt idx="23">
                  <c:v>811</c:v>
                </c:pt>
                <c:pt idx="24">
                  <c:v>1684</c:v>
                </c:pt>
                <c:pt idx="25">
                  <c:v>1180</c:v>
                </c:pt>
                <c:pt idx="26">
                  <c:v>1968</c:v>
                </c:pt>
                <c:pt idx="27">
                  <c:v>1234</c:v>
                </c:pt>
                <c:pt idx="28">
                  <c:v>1250</c:v>
                </c:pt>
                <c:pt idx="29">
                  <c:v>1324</c:v>
                </c:pt>
                <c:pt idx="30">
                  <c:v>2307</c:v>
                </c:pt>
                <c:pt idx="31">
                  <c:v>3365</c:v>
                </c:pt>
                <c:pt idx="32">
                  <c:v>1387</c:v>
                </c:pt>
                <c:pt idx="33">
                  <c:v>1182</c:v>
                </c:pt>
                <c:pt idx="34">
                  <c:v>1273</c:v>
                </c:pt>
                <c:pt idx="35">
                  <c:v>3923</c:v>
                </c:pt>
                <c:pt idx="36">
                  <c:v>428</c:v>
                </c:pt>
                <c:pt idx="37">
                  <c:v>1570</c:v>
                </c:pt>
                <c:pt idx="38">
                  <c:v>884</c:v>
                </c:pt>
                <c:pt idx="39">
                  <c:v>2126</c:v>
                </c:pt>
                <c:pt idx="40">
                  <c:v>627</c:v>
                </c:pt>
                <c:pt idx="41">
                  <c:v>2987</c:v>
                </c:pt>
                <c:pt idx="42">
                  <c:v>1061</c:v>
                </c:pt>
                <c:pt idx="43">
                  <c:v>1380</c:v>
                </c:pt>
                <c:pt idx="44">
                  <c:v>622</c:v>
                </c:pt>
                <c:pt idx="45">
                  <c:v>85</c:v>
                </c:pt>
                <c:pt idx="46">
                  <c:v>88</c:v>
                </c:pt>
                <c:pt idx="47">
                  <c:v>2803</c:v>
                </c:pt>
                <c:pt idx="48">
                  <c:v>632</c:v>
                </c:pt>
                <c:pt idx="49">
                  <c:v>1894</c:v>
                </c:pt>
                <c:pt idx="50">
                  <c:v>1828</c:v>
                </c:pt>
                <c:pt idx="51">
                  <c:v>2284</c:v>
                </c:pt>
                <c:pt idx="52">
                  <c:v>933</c:v>
                </c:pt>
                <c:pt idx="53">
                  <c:v>262</c:v>
                </c:pt>
                <c:pt idx="54">
                  <c:v>3121</c:v>
                </c:pt>
                <c:pt idx="55">
                  <c:v>1732</c:v>
                </c:pt>
                <c:pt idx="56">
                  <c:v>1731</c:v>
                </c:pt>
                <c:pt idx="57">
                  <c:v>1682</c:v>
                </c:pt>
                <c:pt idx="58">
                  <c:v>1329</c:v>
                </c:pt>
                <c:pt idx="59">
                  <c:v>2984</c:v>
                </c:pt>
                <c:pt idx="60">
                  <c:v>2201</c:v>
                </c:pt>
                <c:pt idx="61">
                  <c:v>1402</c:v>
                </c:pt>
                <c:pt idx="62">
                  <c:v>1470</c:v>
                </c:pt>
                <c:pt idx="63">
                  <c:v>1098</c:v>
                </c:pt>
                <c:pt idx="64">
                  <c:v>1805</c:v>
                </c:pt>
                <c:pt idx="65">
                  <c:v>1757</c:v>
                </c:pt>
                <c:pt idx="66">
                  <c:v>1029</c:v>
                </c:pt>
                <c:pt idx="67">
                  <c:v>1765</c:v>
                </c:pt>
                <c:pt idx="68">
                  <c:v>1003</c:v>
                </c:pt>
                <c:pt idx="69">
                  <c:v>699</c:v>
                </c:pt>
                <c:pt idx="70">
                  <c:v>271</c:v>
                </c:pt>
                <c:pt idx="71">
                  <c:v>2339</c:v>
                </c:pt>
                <c:pt idx="72">
                  <c:v>1659</c:v>
                </c:pt>
                <c:pt idx="73">
                  <c:v>1677</c:v>
                </c:pt>
                <c:pt idx="74">
                  <c:v>1684</c:v>
                </c:pt>
                <c:pt idx="75">
                  <c:v>1770</c:v>
                </c:pt>
                <c:pt idx="76">
                  <c:v>1323</c:v>
                </c:pt>
                <c:pt idx="77">
                  <c:v>892</c:v>
                </c:pt>
                <c:pt idx="78">
                  <c:v>1263</c:v>
                </c:pt>
                <c:pt idx="79">
                  <c:v>2058</c:v>
                </c:pt>
                <c:pt idx="80">
                  <c:v>261</c:v>
                </c:pt>
                <c:pt idx="81">
                  <c:v>1399</c:v>
                </c:pt>
                <c:pt idx="82">
                  <c:v>1708</c:v>
                </c:pt>
                <c:pt idx="83">
                  <c:v>711</c:v>
                </c:pt>
                <c:pt idx="84">
                  <c:v>1653</c:v>
                </c:pt>
                <c:pt idx="85">
                  <c:v>2876</c:v>
                </c:pt>
                <c:pt idx="86">
                  <c:v>189</c:v>
                </c:pt>
                <c:pt idx="87">
                  <c:v>1250</c:v>
                </c:pt>
                <c:pt idx="88">
                  <c:v>675</c:v>
                </c:pt>
                <c:pt idx="89">
                  <c:v>674</c:v>
                </c:pt>
                <c:pt idx="90">
                  <c:v>158</c:v>
                </c:pt>
                <c:pt idx="91">
                  <c:v>529</c:v>
                </c:pt>
                <c:pt idx="92">
                  <c:v>2082</c:v>
                </c:pt>
                <c:pt idx="93">
                  <c:v>2637</c:v>
                </c:pt>
                <c:pt idx="94">
                  <c:v>1421</c:v>
                </c:pt>
                <c:pt idx="95">
                  <c:v>1332</c:v>
                </c:pt>
                <c:pt idx="96">
                  <c:v>842</c:v>
                </c:pt>
                <c:pt idx="97">
                  <c:v>1570</c:v>
                </c:pt>
                <c:pt idx="98">
                  <c:v>647</c:v>
                </c:pt>
                <c:pt idx="99">
                  <c:v>1247</c:v>
                </c:pt>
                <c:pt idx="100">
                  <c:v>1316</c:v>
                </c:pt>
                <c:pt idx="101">
                  <c:v>1304</c:v>
                </c:pt>
                <c:pt idx="102">
                  <c:v>938</c:v>
                </c:pt>
                <c:pt idx="103">
                  <c:v>0</c:v>
                </c:pt>
                <c:pt idx="104">
                  <c:v>393</c:v>
                </c:pt>
                <c:pt idx="105">
                  <c:v>395</c:v>
                </c:pt>
                <c:pt idx="106">
                  <c:v>1127</c:v>
                </c:pt>
                <c:pt idx="107">
                  <c:v>1385</c:v>
                </c:pt>
              </c:numCache>
            </c:numRef>
          </c:xVal>
          <c:yVal>
            <c:numRef>
              <c:f>Main!$Z$2:$Z$109</c:f>
              <c:numCache>
                <c:formatCode>0</c:formatCode>
                <c:ptCount val="108"/>
                <c:pt idx="0">
                  <c:v>-26.999999999999904</c:v>
                </c:pt>
                <c:pt idx="1">
                  <c:v>-2.9999999999999893</c:v>
                </c:pt>
                <c:pt idx="2">
                  <c:v>-59.999999999999943</c:v>
                </c:pt>
                <c:pt idx="3">
                  <c:v>4.9999999999999822</c:v>
                </c:pt>
                <c:pt idx="4">
                  <c:v>-52.000000000000057</c:v>
                </c:pt>
                <c:pt idx="5">
                  <c:v>2.9999999999999893</c:v>
                </c:pt>
                <c:pt idx="6">
                  <c:v>-6.9999999999999751</c:v>
                </c:pt>
                <c:pt idx="7">
                  <c:v>#N/A</c:v>
                </c:pt>
                <c:pt idx="8">
                  <c:v>3.9999999999999956</c:v>
                </c:pt>
                <c:pt idx="9">
                  <c:v>-23</c:v>
                </c:pt>
                <c:pt idx="10">
                  <c:v>#N/A</c:v>
                </c:pt>
                <c:pt idx="11">
                  <c:v>5.0000000000001421</c:v>
                </c:pt>
                <c:pt idx="12">
                  <c:v>15.500000000000185</c:v>
                </c:pt>
                <c:pt idx="13">
                  <c:v>11.000000000000121</c:v>
                </c:pt>
                <c:pt idx="14">
                  <c:v>3.0000000000001492</c:v>
                </c:pt>
                <c:pt idx="15">
                  <c:v>13.000000000000114</c:v>
                </c:pt>
                <c:pt idx="16">
                  <c:v>21.999999999999922</c:v>
                </c:pt>
                <c:pt idx="17">
                  <c:v>-51.999999999999972</c:v>
                </c:pt>
                <c:pt idx="18">
                  <c:v>15.000000000000107</c:v>
                </c:pt>
                <c:pt idx="19">
                  <c:v>14.999999999999947</c:v>
                </c:pt>
                <c:pt idx="20">
                  <c:v>-39.000000000000021</c:v>
                </c:pt>
                <c:pt idx="21">
                  <c:v>13.000000000000032</c:v>
                </c:pt>
                <c:pt idx="22">
                  <c:v>#N/A</c:v>
                </c:pt>
                <c:pt idx="23">
                  <c:v>3.9999999999999956</c:v>
                </c:pt>
                <c:pt idx="24">
                  <c:v>7.4999999999999734</c:v>
                </c:pt>
                <c:pt idx="25">
                  <c:v>12.499999999999876</c:v>
                </c:pt>
                <c:pt idx="26">
                  <c:v>10.999999999999961</c:v>
                </c:pt>
                <c:pt idx="27">
                  <c:v>-5.0000000000001421</c:v>
                </c:pt>
                <c:pt idx="28">
                  <c:v>-16.99999999999994</c:v>
                </c:pt>
                <c:pt idx="29">
                  <c:v>5.9999999999998188</c:v>
                </c:pt>
                <c:pt idx="30">
                  <c:v>6.9999999999999751</c:v>
                </c:pt>
                <c:pt idx="31">
                  <c:v>26.999999999999904</c:v>
                </c:pt>
                <c:pt idx="32">
                  <c:v>0.99999999999999645</c:v>
                </c:pt>
                <c:pt idx="33">
                  <c:v>1.9999999999999929</c:v>
                </c:pt>
                <c:pt idx="34">
                  <c:v>17.999999999999936</c:v>
                </c:pt>
                <c:pt idx="35">
                  <c:v>5.0000000000000222</c:v>
                </c:pt>
                <c:pt idx="36">
                  <c:v>12.500000000000036</c:v>
                </c:pt>
                <c:pt idx="37">
                  <c:v>-3.0000000000001492</c:v>
                </c:pt>
                <c:pt idx="38">
                  <c:v>10.999999999999961</c:v>
                </c:pt>
                <c:pt idx="39">
                  <c:v>-6.9999999999999751</c:v>
                </c:pt>
                <c:pt idx="40">
                  <c:v>0</c:v>
                </c:pt>
                <c:pt idx="41">
                  <c:v>123.99999999999996</c:v>
                </c:pt>
                <c:pt idx="42">
                  <c:v>-4.0000000000001457</c:v>
                </c:pt>
                <c:pt idx="43">
                  <c:v>7.9999999999999716</c:v>
                </c:pt>
                <c:pt idx="44">
                  <c:v>-18.999999999999932</c:v>
                </c:pt>
                <c:pt idx="45">
                  <c:v>-8.999999999999968</c:v>
                </c:pt>
                <c:pt idx="46">
                  <c:v>-94.999999999999829</c:v>
                </c:pt>
                <c:pt idx="47">
                  <c:v>6.4999999999999867</c:v>
                </c:pt>
                <c:pt idx="48">
                  <c:v>10.500000000000043</c:v>
                </c:pt>
                <c:pt idx="49">
                  <c:v>15.000000000000107</c:v>
                </c:pt>
                <c:pt idx="50">
                  <c:v>30.50000000000005</c:v>
                </c:pt>
                <c:pt idx="51">
                  <c:v>14</c:v>
                </c:pt>
                <c:pt idx="52">
                  <c:v>-0.99999999999991651</c:v>
                </c:pt>
                <c:pt idx="53">
                  <c:v>12.000000000000117</c:v>
                </c:pt>
                <c:pt idx="54">
                  <c:v>6.4999999999999769</c:v>
                </c:pt>
                <c:pt idx="55">
                  <c:v>1.9999999999999929</c:v>
                </c:pt>
                <c:pt idx="56">
                  <c:v>4.9999999999999822</c:v>
                </c:pt>
                <c:pt idx="57">
                  <c:v>6.4999999999999769</c:v>
                </c:pt>
                <c:pt idx="58">
                  <c:v>#N/A</c:v>
                </c:pt>
                <c:pt idx="59">
                  <c:v>4.0000000000000657</c:v>
                </c:pt>
                <c:pt idx="60">
                  <c:v>10.999999999999961</c:v>
                </c:pt>
                <c:pt idx="61">
                  <c:v>2.9999999999999893</c:v>
                </c:pt>
                <c:pt idx="62">
                  <c:v>-8.4999999999999858</c:v>
                </c:pt>
                <c:pt idx="63">
                  <c:v>0</c:v>
                </c:pt>
                <c:pt idx="64">
                  <c:v>1.5000000000000147</c:v>
                </c:pt>
                <c:pt idx="65">
                  <c:v>-58.000000000000114</c:v>
                </c:pt>
                <c:pt idx="66">
                  <c:v>17.500000000000014</c:v>
                </c:pt>
                <c:pt idx="67">
                  <c:v>3.9999999999999858</c:v>
                </c:pt>
                <c:pt idx="68">
                  <c:v>12.999999999999954</c:v>
                </c:pt>
                <c:pt idx="69">
                  <c:v>-23.000000000000238</c:v>
                </c:pt>
                <c:pt idx="70">
                  <c:v>-17.499999999999936</c:v>
                </c:pt>
                <c:pt idx="71">
                  <c:v>3.4999999999999876</c:v>
                </c:pt>
                <c:pt idx="72">
                  <c:v>10.500000000000043</c:v>
                </c:pt>
                <c:pt idx="73">
                  <c:v>-2.4999999999999112</c:v>
                </c:pt>
                <c:pt idx="74">
                  <c:v>-3.9999999999999858</c:v>
                </c:pt>
                <c:pt idx="75">
                  <c:v>-1.0000000000000764</c:v>
                </c:pt>
                <c:pt idx="76">
                  <c:v>5.0000000000000124</c:v>
                </c:pt>
                <c:pt idx="77">
                  <c:v>14.000000000000005</c:v>
                </c:pt>
                <c:pt idx="78">
                  <c:v>-0.99999999999983658</c:v>
                </c:pt>
                <c:pt idx="79">
                  <c:v>9.0000000000001279</c:v>
                </c:pt>
                <c:pt idx="80">
                  <c:v>-24.499999999999915</c:v>
                </c:pt>
                <c:pt idx="81">
                  <c:v>19.999999999999929</c:v>
                </c:pt>
                <c:pt idx="82">
                  <c:v>8.0000000000000515</c:v>
                </c:pt>
                <c:pt idx="83">
                  <c:v>-12.999999999999794</c:v>
                </c:pt>
                <c:pt idx="84">
                  <c:v>-39.000000000000021</c:v>
                </c:pt>
                <c:pt idx="85">
                  <c:v>-1.0000000000000764</c:v>
                </c:pt>
                <c:pt idx="86">
                  <c:v>#N/A</c:v>
                </c:pt>
                <c:pt idx="87">
                  <c:v>-75.000000000000057</c:v>
                </c:pt>
                <c:pt idx="88">
                  <c:v>-1.0000000000000764</c:v>
                </c:pt>
                <c:pt idx="89">
                  <c:v>-14.999999999999947</c:v>
                </c:pt>
                <c:pt idx="90">
                  <c:v>14.999999999999947</c:v>
                </c:pt>
                <c:pt idx="91">
                  <c:v>15.500000000000064</c:v>
                </c:pt>
                <c:pt idx="92">
                  <c:v>11.999999999999957</c:v>
                </c:pt>
                <c:pt idx="93">
                  <c:v>-21.000000000000007</c:v>
                </c:pt>
                <c:pt idx="94">
                  <c:v>-3.9999999999999858</c:v>
                </c:pt>
                <c:pt idx="95">
                  <c:v>-4.0000000000000258</c:v>
                </c:pt>
                <c:pt idx="96">
                  <c:v>-2.9999999999999893</c:v>
                </c:pt>
                <c:pt idx="97">
                  <c:v>19.000000000000092</c:v>
                </c:pt>
                <c:pt idx="98">
                  <c:v>22.500000000000078</c:v>
                </c:pt>
                <c:pt idx="99">
                  <c:v>13.000000000000034</c:v>
                </c:pt>
                <c:pt idx="100">
                  <c:v>-30.50000000000005</c:v>
                </c:pt>
                <c:pt idx="101">
                  <c:v>11.999999999999957</c:v>
                </c:pt>
                <c:pt idx="102">
                  <c:v>0.99999999999999645</c:v>
                </c:pt>
                <c:pt idx="103">
                  <c:v>20.000000000000007</c:v>
                </c:pt>
                <c:pt idx="104">
                  <c:v>0</c:v>
                </c:pt>
                <c:pt idx="105">
                  <c:v>-4.9999999999999423</c:v>
                </c:pt>
                <c:pt idx="106">
                  <c:v>19.999999999999929</c:v>
                </c:pt>
                <c:pt idx="107">
                  <c:v>-2.499999999999996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FD-4F49-BBE5-B04F28E71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183488"/>
        <c:axId val="359308624"/>
      </c:scatterChart>
      <c:valAx>
        <c:axId val="45518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308624"/>
        <c:crosses val="autoZero"/>
        <c:crossBetween val="midCat"/>
      </c:valAx>
      <c:valAx>
        <c:axId val="35930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18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Main!$Y$2:$Y$109</c:f>
              <c:numCache>
                <c:formatCode>#,##0</c:formatCode>
                <c:ptCount val="108"/>
                <c:pt idx="0" formatCode="General">
                  <c:v>500</c:v>
                </c:pt>
                <c:pt idx="1">
                  <c:v>2787</c:v>
                </c:pt>
                <c:pt idx="2" formatCode="General">
                  <c:v>750</c:v>
                </c:pt>
                <c:pt idx="3">
                  <c:v>1300</c:v>
                </c:pt>
                <c:pt idx="4">
                  <c:v>2000</c:v>
                </c:pt>
                <c:pt idx="5">
                  <c:v>1600</c:v>
                </c:pt>
                <c:pt idx="6" formatCode="General">
                  <c:v>185</c:v>
                </c:pt>
                <c:pt idx="7" formatCode="General">
                  <c:v>196</c:v>
                </c:pt>
                <c:pt idx="8">
                  <c:v>1530</c:v>
                </c:pt>
                <c:pt idx="9" formatCode="General">
                  <c:v>400</c:v>
                </c:pt>
                <c:pt idx="10" formatCode="General">
                  <c:v>980</c:v>
                </c:pt>
                <c:pt idx="11" formatCode="General">
                  <c:v>220</c:v>
                </c:pt>
                <c:pt idx="12">
                  <c:v>1470</c:v>
                </c:pt>
                <c:pt idx="13" formatCode="General">
                  <c:v>450</c:v>
                </c:pt>
                <c:pt idx="14" formatCode="General">
                  <c:v>480</c:v>
                </c:pt>
                <c:pt idx="15" formatCode="General">
                  <c:v>68</c:v>
                </c:pt>
                <c:pt idx="16" formatCode="General">
                  <c:v>140</c:v>
                </c:pt>
                <c:pt idx="17">
                  <c:v>1200</c:v>
                </c:pt>
                <c:pt idx="18">
                  <c:v>1515</c:v>
                </c:pt>
                <c:pt idx="19" formatCode="General">
                  <c:v>250</c:v>
                </c:pt>
                <c:pt idx="20" formatCode="General">
                  <c:v>115</c:v>
                </c:pt>
                <c:pt idx="21" formatCode="General">
                  <c:v>220</c:v>
                </c:pt>
                <c:pt idx="22">
                  <c:v>1000</c:v>
                </c:pt>
                <c:pt idx="23">
                  <c:v>1100</c:v>
                </c:pt>
                <c:pt idx="24" formatCode="General">
                  <c:v>80</c:v>
                </c:pt>
                <c:pt idx="25" formatCode="General">
                  <c:v>126</c:v>
                </c:pt>
                <c:pt idx="26" formatCode="General">
                  <c:v>670</c:v>
                </c:pt>
                <c:pt idx="27" formatCode="General">
                  <c:v>613</c:v>
                </c:pt>
                <c:pt idx="28" formatCode="General">
                  <c:v>120</c:v>
                </c:pt>
                <c:pt idx="29" formatCode="General">
                  <c:v>330</c:v>
                </c:pt>
                <c:pt idx="30">
                  <c:v>4300</c:v>
                </c:pt>
                <c:pt idx="31" formatCode="General">
                  <c:v>150</c:v>
                </c:pt>
                <c:pt idx="32" formatCode="General">
                  <c:v>160</c:v>
                </c:pt>
                <c:pt idx="33">
                  <c:v>2300</c:v>
                </c:pt>
                <c:pt idx="34" formatCode="General">
                  <c:v>560</c:v>
                </c:pt>
                <c:pt idx="35" formatCode="General">
                  <c:v>100</c:v>
                </c:pt>
                <c:pt idx="36" formatCode="General">
                  <c:v>240</c:v>
                </c:pt>
                <c:pt idx="37" formatCode="General">
                  <c:v>145</c:v>
                </c:pt>
                <c:pt idx="38" formatCode="General">
                  <c:v>570</c:v>
                </c:pt>
                <c:pt idx="39" formatCode="General">
                  <c:v>210</c:v>
                </c:pt>
                <c:pt idx="40">
                  <c:v>1800</c:v>
                </c:pt>
                <c:pt idx="41">
                  <c:v>1200</c:v>
                </c:pt>
                <c:pt idx="42" formatCode="General">
                  <c:v>360</c:v>
                </c:pt>
                <c:pt idx="43">
                  <c:v>7650</c:v>
                </c:pt>
                <c:pt idx="44" formatCode="General">
                  <c:v>460</c:v>
                </c:pt>
                <c:pt idx="45" formatCode="General">
                  <c:v>280</c:v>
                </c:pt>
                <c:pt idx="46" formatCode="General">
                  <c:v>112</c:v>
                </c:pt>
                <c:pt idx="47">
                  <c:v>2500</c:v>
                </c:pt>
                <c:pt idx="48" formatCode="General">
                  <c:v>310</c:v>
                </c:pt>
                <c:pt idx="49" formatCode="General">
                  <c:v>220</c:v>
                </c:pt>
                <c:pt idx="50" formatCode="General">
                  <c:v>140</c:v>
                </c:pt>
                <c:pt idx="51" formatCode="General">
                  <c:v>520</c:v>
                </c:pt>
                <c:pt idx="52">
                  <c:v>1400</c:v>
                </c:pt>
                <c:pt idx="53" formatCode="General">
                  <c:v>212</c:v>
                </c:pt>
                <c:pt idx="54" formatCode="General">
                  <c:v>500</c:v>
                </c:pt>
                <c:pt idx="55" formatCode="General">
                  <c:v>200</c:v>
                </c:pt>
                <c:pt idx="56" formatCode="General">
                  <c:v>225</c:v>
                </c:pt>
                <c:pt idx="57" formatCode="General">
                  <c:v>950</c:v>
                </c:pt>
                <c:pt idx="58" formatCode="General">
                  <c:v>400</c:v>
                </c:pt>
                <c:pt idx="59" formatCode="General">
                  <c:v>600</c:v>
                </c:pt>
                <c:pt idx="60" formatCode="General">
                  <c:v>310</c:v>
                </c:pt>
                <c:pt idx="61" formatCode="General">
                  <c:v>350</c:v>
                </c:pt>
                <c:pt idx="62">
                  <c:v>1220</c:v>
                </c:pt>
                <c:pt idx="63">
                  <c:v>1560</c:v>
                </c:pt>
                <c:pt idx="64" formatCode="General">
                  <c:v>370</c:v>
                </c:pt>
                <c:pt idx="65" formatCode="General">
                  <c:v>425</c:v>
                </c:pt>
                <c:pt idx="66" formatCode="General">
                  <c:v>519</c:v>
                </c:pt>
                <c:pt idx="67" formatCode="General">
                  <c:v>170</c:v>
                </c:pt>
                <c:pt idx="68">
                  <c:v>1300</c:v>
                </c:pt>
                <c:pt idx="69" formatCode="General">
                  <c:v>260</c:v>
                </c:pt>
                <c:pt idx="70" formatCode="General">
                  <c:v>176</c:v>
                </c:pt>
                <c:pt idx="71" formatCode="General">
                  <c:v>630</c:v>
                </c:pt>
                <c:pt idx="72" formatCode="General">
                  <c:v>110</c:v>
                </c:pt>
                <c:pt idx="73">
                  <c:v>3238</c:v>
                </c:pt>
                <c:pt idx="74" formatCode="General">
                  <c:v>553</c:v>
                </c:pt>
                <c:pt idx="75" formatCode="General">
                  <c:v>180</c:v>
                </c:pt>
                <c:pt idx="76" formatCode="General">
                  <c:v>270</c:v>
                </c:pt>
                <c:pt idx="77" formatCode="General">
                  <c:v>920</c:v>
                </c:pt>
                <c:pt idx="78" formatCode="General">
                  <c:v>215</c:v>
                </c:pt>
                <c:pt idx="79" formatCode="General">
                  <c:v>190</c:v>
                </c:pt>
                <c:pt idx="80" formatCode="General">
                  <c:v>650</c:v>
                </c:pt>
                <c:pt idx="81" formatCode="General">
                  <c:v>160</c:v>
                </c:pt>
                <c:pt idx="82" formatCode="General">
                  <c:v>160</c:v>
                </c:pt>
                <c:pt idx="83" formatCode="General">
                  <c:v>300</c:v>
                </c:pt>
                <c:pt idx="84" formatCode="General">
                  <c:v>110</c:v>
                </c:pt>
                <c:pt idx="85">
                  <c:v>1100</c:v>
                </c:pt>
                <c:pt idx="86" formatCode="General">
                  <c:v>730</c:v>
                </c:pt>
                <c:pt idx="87" formatCode="General">
                  <c:v>500</c:v>
                </c:pt>
                <c:pt idx="88">
                  <c:v>3300</c:v>
                </c:pt>
                <c:pt idx="89" formatCode="General">
                  <c:v>128</c:v>
                </c:pt>
                <c:pt idx="90" formatCode="General">
                  <c:v>110</c:v>
                </c:pt>
                <c:pt idx="91" formatCode="General">
                  <c:v>430</c:v>
                </c:pt>
                <c:pt idx="92" formatCode="General">
                  <c:v>350</c:v>
                </c:pt>
                <c:pt idx="93">
                  <c:v>2000</c:v>
                </c:pt>
                <c:pt idx="94" formatCode="General">
                  <c:v>290</c:v>
                </c:pt>
                <c:pt idx="95" formatCode="General">
                  <c:v>85</c:v>
                </c:pt>
                <c:pt idx="96" formatCode="General">
                  <c:v>140</c:v>
                </c:pt>
                <c:pt idx="97" formatCode="General">
                  <c:v>300</c:v>
                </c:pt>
                <c:pt idx="98" formatCode="General">
                  <c:v>240</c:v>
                </c:pt>
                <c:pt idx="99" formatCode="General">
                  <c:v>220</c:v>
                </c:pt>
                <c:pt idx="100" formatCode="General">
                  <c:v>260</c:v>
                </c:pt>
                <c:pt idx="101" formatCode="General">
                  <c:v>110</c:v>
                </c:pt>
                <c:pt idx="102">
                  <c:v>1000</c:v>
                </c:pt>
                <c:pt idx="103" formatCode="General">
                  <c:v>326</c:v>
                </c:pt>
                <c:pt idx="104" formatCode="General">
                  <c:v>160</c:v>
                </c:pt>
                <c:pt idx="105" formatCode="General">
                  <c:v>834</c:v>
                </c:pt>
                <c:pt idx="106" formatCode="General">
                  <c:v>400</c:v>
                </c:pt>
                <c:pt idx="107" formatCode="General">
                  <c:v>880</c:v>
                </c:pt>
              </c:numCache>
            </c:numRef>
          </c:xVal>
          <c:yVal>
            <c:numRef>
              <c:f>Main!$Z$2:$Z$109</c:f>
              <c:numCache>
                <c:formatCode>0</c:formatCode>
                <c:ptCount val="108"/>
                <c:pt idx="0">
                  <c:v>-26.999999999999904</c:v>
                </c:pt>
                <c:pt idx="1">
                  <c:v>-2.9999999999999893</c:v>
                </c:pt>
                <c:pt idx="2">
                  <c:v>-59.999999999999943</c:v>
                </c:pt>
                <c:pt idx="3">
                  <c:v>4.9999999999999822</c:v>
                </c:pt>
                <c:pt idx="4">
                  <c:v>-52.000000000000057</c:v>
                </c:pt>
                <c:pt idx="5">
                  <c:v>2.9999999999999893</c:v>
                </c:pt>
                <c:pt idx="6">
                  <c:v>-6.9999999999999751</c:v>
                </c:pt>
                <c:pt idx="7">
                  <c:v>#N/A</c:v>
                </c:pt>
                <c:pt idx="8">
                  <c:v>3.9999999999999956</c:v>
                </c:pt>
                <c:pt idx="9">
                  <c:v>-23</c:v>
                </c:pt>
                <c:pt idx="10">
                  <c:v>#N/A</c:v>
                </c:pt>
                <c:pt idx="11">
                  <c:v>5.0000000000001421</c:v>
                </c:pt>
                <c:pt idx="12">
                  <c:v>15.500000000000185</c:v>
                </c:pt>
                <c:pt idx="13">
                  <c:v>11.000000000000121</c:v>
                </c:pt>
                <c:pt idx="14">
                  <c:v>3.0000000000001492</c:v>
                </c:pt>
                <c:pt idx="15">
                  <c:v>13.000000000000114</c:v>
                </c:pt>
                <c:pt idx="16">
                  <c:v>21.999999999999922</c:v>
                </c:pt>
                <c:pt idx="17">
                  <c:v>-51.999999999999972</c:v>
                </c:pt>
                <c:pt idx="18">
                  <c:v>15.000000000000107</c:v>
                </c:pt>
                <c:pt idx="19">
                  <c:v>14.999999999999947</c:v>
                </c:pt>
                <c:pt idx="20">
                  <c:v>-39.000000000000021</c:v>
                </c:pt>
                <c:pt idx="21">
                  <c:v>13.000000000000032</c:v>
                </c:pt>
                <c:pt idx="22">
                  <c:v>#N/A</c:v>
                </c:pt>
                <c:pt idx="23">
                  <c:v>3.9999999999999956</c:v>
                </c:pt>
                <c:pt idx="24">
                  <c:v>7.4999999999999734</c:v>
                </c:pt>
                <c:pt idx="25">
                  <c:v>12.499999999999876</c:v>
                </c:pt>
                <c:pt idx="26">
                  <c:v>10.999999999999961</c:v>
                </c:pt>
                <c:pt idx="27">
                  <c:v>-5.0000000000001421</c:v>
                </c:pt>
                <c:pt idx="28">
                  <c:v>-16.99999999999994</c:v>
                </c:pt>
                <c:pt idx="29">
                  <c:v>5.9999999999998188</c:v>
                </c:pt>
                <c:pt idx="30">
                  <c:v>6.9999999999999751</c:v>
                </c:pt>
                <c:pt idx="31">
                  <c:v>26.999999999999904</c:v>
                </c:pt>
                <c:pt idx="32">
                  <c:v>0.99999999999999645</c:v>
                </c:pt>
                <c:pt idx="33">
                  <c:v>1.9999999999999929</c:v>
                </c:pt>
                <c:pt idx="34">
                  <c:v>17.999999999999936</c:v>
                </c:pt>
                <c:pt idx="35">
                  <c:v>5.0000000000000222</c:v>
                </c:pt>
                <c:pt idx="36">
                  <c:v>12.500000000000036</c:v>
                </c:pt>
                <c:pt idx="37">
                  <c:v>-3.0000000000001492</c:v>
                </c:pt>
                <c:pt idx="38">
                  <c:v>10.999999999999961</c:v>
                </c:pt>
                <c:pt idx="39">
                  <c:v>-6.9999999999999751</c:v>
                </c:pt>
                <c:pt idx="40">
                  <c:v>0</c:v>
                </c:pt>
                <c:pt idx="41">
                  <c:v>123.99999999999996</c:v>
                </c:pt>
                <c:pt idx="42">
                  <c:v>-4.0000000000001457</c:v>
                </c:pt>
                <c:pt idx="43">
                  <c:v>7.9999999999999716</c:v>
                </c:pt>
                <c:pt idx="44">
                  <c:v>-18.999999999999932</c:v>
                </c:pt>
                <c:pt idx="45">
                  <c:v>-8.999999999999968</c:v>
                </c:pt>
                <c:pt idx="46">
                  <c:v>-94.999999999999829</c:v>
                </c:pt>
                <c:pt idx="47">
                  <c:v>6.4999999999999867</c:v>
                </c:pt>
                <c:pt idx="48">
                  <c:v>10.500000000000043</c:v>
                </c:pt>
                <c:pt idx="49">
                  <c:v>15.000000000000107</c:v>
                </c:pt>
                <c:pt idx="50">
                  <c:v>30.50000000000005</c:v>
                </c:pt>
                <c:pt idx="51">
                  <c:v>14</c:v>
                </c:pt>
                <c:pt idx="52">
                  <c:v>-0.99999999999991651</c:v>
                </c:pt>
                <c:pt idx="53">
                  <c:v>12.000000000000117</c:v>
                </c:pt>
                <c:pt idx="54">
                  <c:v>6.4999999999999769</c:v>
                </c:pt>
                <c:pt idx="55">
                  <c:v>1.9999999999999929</c:v>
                </c:pt>
                <c:pt idx="56">
                  <c:v>4.9999999999999822</c:v>
                </c:pt>
                <c:pt idx="57">
                  <c:v>6.4999999999999769</c:v>
                </c:pt>
                <c:pt idx="58">
                  <c:v>#N/A</c:v>
                </c:pt>
                <c:pt idx="59">
                  <c:v>4.0000000000000657</c:v>
                </c:pt>
                <c:pt idx="60">
                  <c:v>10.999999999999961</c:v>
                </c:pt>
                <c:pt idx="61">
                  <c:v>2.9999999999999893</c:v>
                </c:pt>
                <c:pt idx="62">
                  <c:v>-8.4999999999999858</c:v>
                </c:pt>
                <c:pt idx="63">
                  <c:v>0</c:v>
                </c:pt>
                <c:pt idx="64">
                  <c:v>1.5000000000000147</c:v>
                </c:pt>
                <c:pt idx="65">
                  <c:v>-58.000000000000114</c:v>
                </c:pt>
                <c:pt idx="66">
                  <c:v>17.500000000000014</c:v>
                </c:pt>
                <c:pt idx="67">
                  <c:v>3.9999999999999858</c:v>
                </c:pt>
                <c:pt idx="68">
                  <c:v>12.999999999999954</c:v>
                </c:pt>
                <c:pt idx="69">
                  <c:v>-23.000000000000238</c:v>
                </c:pt>
                <c:pt idx="70">
                  <c:v>-17.499999999999936</c:v>
                </c:pt>
                <c:pt idx="71">
                  <c:v>3.4999999999999876</c:v>
                </c:pt>
                <c:pt idx="72">
                  <c:v>10.500000000000043</c:v>
                </c:pt>
                <c:pt idx="73">
                  <c:v>-2.4999999999999112</c:v>
                </c:pt>
                <c:pt idx="74">
                  <c:v>-3.9999999999999858</c:v>
                </c:pt>
                <c:pt idx="75">
                  <c:v>-1.0000000000000764</c:v>
                </c:pt>
                <c:pt idx="76">
                  <c:v>5.0000000000000124</c:v>
                </c:pt>
                <c:pt idx="77">
                  <c:v>14.000000000000005</c:v>
                </c:pt>
                <c:pt idx="78">
                  <c:v>-0.99999999999983658</c:v>
                </c:pt>
                <c:pt idx="79">
                  <c:v>9.0000000000001279</c:v>
                </c:pt>
                <c:pt idx="80">
                  <c:v>-24.499999999999915</c:v>
                </c:pt>
                <c:pt idx="81">
                  <c:v>19.999999999999929</c:v>
                </c:pt>
                <c:pt idx="82">
                  <c:v>8.0000000000000515</c:v>
                </c:pt>
                <c:pt idx="83">
                  <c:v>-12.999999999999794</c:v>
                </c:pt>
                <c:pt idx="84">
                  <c:v>-39.000000000000021</c:v>
                </c:pt>
                <c:pt idx="85">
                  <c:v>-1.0000000000000764</c:v>
                </c:pt>
                <c:pt idx="86">
                  <c:v>#N/A</c:v>
                </c:pt>
                <c:pt idx="87">
                  <c:v>-75.000000000000057</c:v>
                </c:pt>
                <c:pt idx="88">
                  <c:v>-1.0000000000000764</c:v>
                </c:pt>
                <c:pt idx="89">
                  <c:v>-14.999999999999947</c:v>
                </c:pt>
                <c:pt idx="90">
                  <c:v>14.999999999999947</c:v>
                </c:pt>
                <c:pt idx="91">
                  <c:v>15.500000000000064</c:v>
                </c:pt>
                <c:pt idx="92">
                  <c:v>11.999999999999957</c:v>
                </c:pt>
                <c:pt idx="93">
                  <c:v>-21.000000000000007</c:v>
                </c:pt>
                <c:pt idx="94">
                  <c:v>-3.9999999999999858</c:v>
                </c:pt>
                <c:pt idx="95">
                  <c:v>-4.0000000000000258</c:v>
                </c:pt>
                <c:pt idx="96">
                  <c:v>-2.9999999999999893</c:v>
                </c:pt>
                <c:pt idx="97">
                  <c:v>19.000000000000092</c:v>
                </c:pt>
                <c:pt idx="98">
                  <c:v>22.500000000000078</c:v>
                </c:pt>
                <c:pt idx="99">
                  <c:v>13.000000000000034</c:v>
                </c:pt>
                <c:pt idx="100">
                  <c:v>-30.50000000000005</c:v>
                </c:pt>
                <c:pt idx="101">
                  <c:v>11.999999999999957</c:v>
                </c:pt>
                <c:pt idx="102">
                  <c:v>0.99999999999999645</c:v>
                </c:pt>
                <c:pt idx="103">
                  <c:v>20.000000000000007</c:v>
                </c:pt>
                <c:pt idx="104">
                  <c:v>0</c:v>
                </c:pt>
                <c:pt idx="105">
                  <c:v>-4.9999999999999423</c:v>
                </c:pt>
                <c:pt idx="106">
                  <c:v>19.999999999999929</c:v>
                </c:pt>
                <c:pt idx="107">
                  <c:v>-2.499999999999996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43-4F5A-9E46-93E374976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602352"/>
        <c:axId val="472604752"/>
      </c:scatterChart>
      <c:valAx>
        <c:axId val="47260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04752"/>
        <c:crosses val="autoZero"/>
        <c:crossBetween val="midCat"/>
      </c:valAx>
      <c:valAx>
        <c:axId val="47260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0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214051</xdr:colOff>
      <xdr:row>6</xdr:row>
      <xdr:rowOff>6234</xdr:rowOff>
    </xdr:from>
    <xdr:to>
      <xdr:col>47</xdr:col>
      <xdr:colOff>443344</xdr:colOff>
      <xdr:row>59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22178-3554-9DAE-15B5-0ED012ED2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1601</xdr:colOff>
      <xdr:row>2</xdr:row>
      <xdr:rowOff>39571</xdr:rowOff>
    </xdr:from>
    <xdr:to>
      <xdr:col>39</xdr:col>
      <xdr:colOff>274128</xdr:colOff>
      <xdr:row>16</xdr:row>
      <xdr:rowOff>138440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3DAE55-C5DA-3182-FE52-7239FA84F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1017748</xdr:colOff>
      <xdr:row>2</xdr:row>
      <xdr:rowOff>53116</xdr:rowOff>
    </xdr:from>
    <xdr:to>
      <xdr:col>31</xdr:col>
      <xdr:colOff>89839</xdr:colOff>
      <xdr:row>17</xdr:row>
      <xdr:rowOff>14557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BA3831-9FC0-00B5-CD57-A5704DC19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1006602</xdr:colOff>
      <xdr:row>19</xdr:row>
      <xdr:rowOff>91807</xdr:rowOff>
    </xdr:from>
    <xdr:to>
      <xdr:col>31</xdr:col>
      <xdr:colOff>78693</xdr:colOff>
      <xdr:row>35</xdr:row>
      <xdr:rowOff>52985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05BE56-FBC0-E988-3E26-2406B4C1C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995404</xdr:colOff>
      <xdr:row>38</xdr:row>
      <xdr:rowOff>26278</xdr:rowOff>
    </xdr:from>
    <xdr:to>
      <xdr:col>31</xdr:col>
      <xdr:colOff>101713</xdr:colOff>
      <xdr:row>53</xdr:row>
      <xdr:rowOff>148035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368C8A4-A9BD-6002-4AB1-591BAFD7F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as Rascon" refreshedDate="46261.564721643517" createdVersion="8" refreshedVersion="8" minRefreshableVersion="3" recordCount="1553" xr:uid="{1EBA720C-B456-462C-A547-BC66D6A283E1}">
  <cacheSource type="worksheet">
    <worksheetSource ref="B1:M1048576" sheet="Main"/>
  </cacheSource>
  <cacheFields count="11">
    <cacheField name="Airline" numFmtId="0">
      <sharedItems containsBlank="1" count="74">
        <s v="airBaltic"/>
        <s v="Wizz Air"/>
        <s v="LOT"/>
        <s v="SAS"/>
        <s v="SkyUp Airlines"/>
        <s v="Compass Air Cargo"/>
        <s v="Lauda Europe"/>
        <s v="Finnair"/>
        <s v="Electra Airways"/>
        <s v="Ryanair"/>
        <s v="Turkish Airlines"/>
        <s v="Lufthansa"/>
        <s v="Heston Airlines"/>
        <s v="GetJet Airlines"/>
        <s v="Norwegian"/>
        <s v="N/A"/>
        <s v="Israir Airlines"/>
        <s v="Eurowings"/>
        <s v="AVIATOR.S5"/>
        <s v="Valletta Airlines"/>
        <s v="SkyLine Express"/>
        <s v="Aegean Airlines"/>
        <s v="Austrian Airlines"/>
        <s v="CityJet"/>
        <s v="DHL"/>
        <s v="Malta Air"/>
        <s v="Turkish Cargo"/>
        <s v="Avion Express"/>
        <s v="arkia"/>
        <s v="Charter Jets"/>
        <s v="Union Aviation"/>
        <s v="Flylili"/>
        <s v="ULS Airlines Cargo"/>
        <s v="Flexjet"/>
        <s v="Spree Flug"/>
        <s v="Cargo Air"/>
        <s v="Tyrol Air Ambulance"/>
        <s v="Carpatair"/>
        <s v="FSH Aviation"/>
        <s v="JetStream"/>
        <s v="Windrose Air Jetcharter"/>
        <s v="Scanwings"/>
        <s v="Bul Air"/>
        <s v="REVA Air Ambulance"/>
        <s v="Smart Jet"/>
        <s v="Jetfly On-Demand"/>
        <s v="FlyOne"/>
        <s v="ASL Airlines"/>
        <s v="SCAT"/>
        <s v="Fly My Sky"/>
        <m/>
        <s v="Lufthansa (100th Anniversary Livery)" u="1"/>
        <s v="airBaltic (Lithuanian Flag Livery)" u="1"/>
        <s v="airBaltic (Latvian Flag Livery)" u="1"/>
        <s v="Norwegian (Elsa Beskow Livery)" u="1"/>
        <s v="airBaltic (Estonian Flag Livery)" u="1"/>
        <s v="Lufthansa (Die Maus Sticker)" u="1"/>
        <s v="LOT (Visit North Moravia Livery)" u="1"/>
        <s v="LOT (Retro Livery)" u="1"/>
        <s v="Norwegian (Charles Lindbergh Livery)" u="1"/>
        <s v="airBaltic (100th Airbus A220 Sticker)" u="1"/>
        <s v="Lufthansa (Star Alliance Livery)" u="1"/>
        <s v="LOT (Star Alliance Livery)" u="1"/>
        <s v="airBaltic (Baltic Heritage Livery)" u="1"/>
        <s v="Norwegian (Camillia Collett Livery)" u="1"/>
        <s v="Norwegian (Otto Sverdrup Livery)" u="1"/>
        <s v="Finnair (Oneworld Livery)" u="1"/>
        <s v="Lufthansa (Superstar Heritage Livery)" u="1"/>
        <s v="LOT (Warmia Mazury Livery)" u="1"/>
        <s v="Norwegian (Aleksis Kivi Livery)" u="1"/>
        <s v="Austrian Airlines (Star Alliance Livery)" u="1"/>
        <s v="Norwegian (Anne-Cath. Vestly Livery)" u="1"/>
        <s v="Norwegian (Minna Canth Livery)" u="1"/>
        <s v="Lufthansa (Lovehansa Livery)" u="1"/>
      </sharedItems>
    </cacheField>
    <cacheField name="Status" numFmtId="0">
      <sharedItems containsBlank="1"/>
    </cacheField>
    <cacheField name="Landing day" numFmtId="164">
      <sharedItems containsNonDate="0" containsDate="1" containsString="0" containsBlank="1" minDate="2026-07-02T00:00:00" maxDate="2026-07-26T00:00:00"/>
    </cacheField>
    <cacheField name="Landing time" numFmtId="165">
      <sharedItems containsDate="1" containsBlank="1" containsMixedTypes="1" minDate="1899-12-30T00:01:00" maxDate="1899-12-30T23:59:00"/>
    </cacheField>
    <cacheField name="City" numFmtId="0">
      <sharedItems containsBlank="1"/>
    </cacheField>
    <cacheField name="Airport" numFmtId="0">
      <sharedItems containsBlank="1"/>
    </cacheField>
    <cacheField name="Aircraft Model" numFmtId="0">
      <sharedItems containsBlank="1"/>
    </cacheField>
    <cacheField name="Day" numFmtId="164">
      <sharedItems containsNonDate="0" containsDate="1" containsString="0" containsBlank="1" minDate="2026-07-02T00:00:00" maxDate="2026-07-26T00:00:00"/>
    </cacheField>
    <cacheField name="Local Time" numFmtId="20">
      <sharedItems containsNonDate="0" containsDate="1" containsString="0" containsBlank="1" minDate="1899-12-30T00:10:00" maxDate="1899-12-30T23:59:00"/>
    </cacheField>
    <cacheField name="Difference" numFmtId="165">
      <sharedItems containsDate="1" containsBlank="1" containsMixedTypes="1" minDate="1899-12-30T00:00:00" maxDate="1899-12-30T09:33:00"/>
    </cacheField>
    <cacheField name="Status difference" numFmtId="0">
      <sharedItems containsBlank="1" count="5">
        <s v="Delayed"/>
        <s v="On time"/>
        <e v="#N/A"/>
        <m/>
        <e v="#VALUE!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mas Rascon" refreshedDate="46279.503322222219" backgroundQuery="1" createdVersion="8" refreshedVersion="8" minRefreshableVersion="3" recordCount="0" supportSubquery="1" supportAdvancedDrill="1" xr:uid="{676701B7-B9F8-4DDB-9DD9-E5FAEB67D22E}">
  <cacheSource type="external" connectionId="1"/>
  <cacheFields count="3">
    <cacheField name="[Range].[Weekday].[Weekday]" caption="Weekday" numFmtId="0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Range].[Status difference].[Status difference]" caption="Status difference" numFmtId="0" hierarchy="1" level="1">
      <sharedItems count="2">
        <s v="Delayed"/>
        <s v="On Time"/>
      </sharedItems>
    </cacheField>
    <cacheField name="[Measures].[Count of Status difference]" caption="Count of Status difference" numFmtId="0" hierarchy="10" level="32767"/>
  </cacheFields>
  <cacheHierarchies count="13">
    <cacheHierarchy uniqueName="[Range].[Weekday]" caption="Weekday" attribute="1" defaultMemberUniqueName="[Range].[Weekday].[All]" allUniqueName="[Range].[Weekda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tatus difference]" caption="Status difference" attribute="1" defaultMemberUniqueName="[Range].[Status difference].[All]" allUniqueName="[Range].[Status difference].[All]" dimensionUniqueName="[Range]" displayFolder="" count="2" memberValueDatatype="130" unbalanced="0">
      <fieldsUsage count="2">
        <fieldUsage x="-1"/>
        <fieldUsage x="1"/>
      </fieldsUsage>
    </cacheHierarchy>
    <cacheHierarchy uniqueName="[Range 2].[Hour]" caption="Hour" attribute="1" defaultMemberUniqueName="[Range 2].[Hour].[All]" allUniqueName="[Range 2].[Hour].[All]" dimensionUniqueName="[Range 2]" displayFolder="" count="0" memberValueDatatype="130" unbalanced="0"/>
    <cacheHierarchy uniqueName="[Range 2].[Status difference]" caption="Status difference" attribute="1" defaultMemberUniqueName="[Range 2].[Status difference].[All]" allUniqueName="[Range 2].[Status difference].[All]" dimensionUniqueName="[Range 2]" displayFolder="" count="0" memberValueDatatype="130" unbalanced="0"/>
    <cacheHierarchy uniqueName="[Range 3].[Airline]" caption="Airline" attribute="1" defaultMemberUniqueName="[Range 3].[Airline].[All]" allUniqueName="[Range 3].[Airline].[All]" dimensionUniqueName="[Range 3]" displayFolder="" count="0" memberValueDatatype="130" unbalanced="0"/>
    <cacheHierarchy uniqueName="[Range 3].[Arrival status]" caption="Arrival status" attribute="1" defaultMemberUniqueName="[Range 3].[Arrival status].[All]" allUniqueName="[Range 3].[Arrival status].[All]" dimensionUniqueName="[Range 3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Count of Status difference]" caption="Count of Status differenc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tatus difference 2]" caption="Count of Status difference 2" measure="1" displayFolder="" measureGroup="Range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rrival status]" caption="Count of Arrival status" measure="1" displayFolder="" measureGroup="Range 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2" uniqueName="[Range 2]" caption="Range 2"/>
    <dimension name="Range 3" uniqueName="[Range 3]" caption="Range 3"/>
  </dimensions>
  <measureGroups count="3">
    <measureGroup name="Range" caption="Range"/>
    <measureGroup name="Range 2" caption="Range 2"/>
    <measureGroup name="Range 3" caption="Range 3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mas Rascon" refreshedDate="46279.503321064818" backgroundQuery="1" createdVersion="8" refreshedVersion="8" minRefreshableVersion="3" recordCount="0" supportSubquery="1" supportAdvancedDrill="1" xr:uid="{5FC15779-7147-40DA-8EE4-774BA0FBDF2B}">
  <cacheSource type="external" connectionId="1"/>
  <cacheFields count="3">
    <cacheField name="[Range 2].[Hour].[Hour]" caption="Hour" numFmtId="0" hierarchy="2" level="1">
      <sharedItems count="23">
        <s v="0"/>
        <s v="1"/>
        <s v="10"/>
        <s v="11"/>
        <s v="12"/>
        <s v="13"/>
        <s v="14"/>
        <s v="15"/>
        <s v="16"/>
        <s v="17"/>
        <s v="18"/>
        <s v="19"/>
        <s v="2"/>
        <s v="20"/>
        <s v="21"/>
        <s v="22"/>
        <s v="23"/>
        <s v="3"/>
        <s v="4"/>
        <s v="5"/>
        <s v="7"/>
        <s v="8"/>
        <s v="9"/>
      </sharedItems>
    </cacheField>
    <cacheField name="[Range 2].[Status difference].[Status difference]" caption="Status difference" numFmtId="0" hierarchy="3" level="1">
      <sharedItems count="2">
        <s v="Delayed"/>
        <s v="On Time"/>
      </sharedItems>
    </cacheField>
    <cacheField name="[Measures].[Count of Status difference 2]" caption="Count of Status difference 2" numFmtId="0" hierarchy="11" level="32767"/>
  </cacheFields>
  <cacheHierarchies count="13">
    <cacheHierarchy uniqueName="[Range].[Weekday]" caption="Weekday" attribute="1" defaultMemberUniqueName="[Range].[Weekday].[All]" allUniqueName="[Range].[Weekday].[All]" dimensionUniqueName="[Range]" displayFolder="" count="0" memberValueDatatype="130" unbalanced="0"/>
    <cacheHierarchy uniqueName="[Range].[Status difference]" caption="Status difference" attribute="1" defaultMemberUniqueName="[Range].[Status difference].[All]" allUniqueName="[Range].[Status difference].[All]" dimensionUniqueName="[Range]" displayFolder="" count="0" memberValueDatatype="130" unbalanced="0"/>
    <cacheHierarchy uniqueName="[Range 2].[Hour]" caption="Hour" attribute="1" defaultMemberUniqueName="[Range 2].[Hour].[All]" allUniqueName="[Range 2].[Hour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tatus difference]" caption="Status difference" attribute="1" defaultMemberUniqueName="[Range 2].[Status difference].[All]" allUniqueName="[Range 2].[Status difference].[All]" dimensionUniqueName="[Range 2]" displayFolder="" count="2" memberValueDatatype="130" unbalanced="0">
      <fieldsUsage count="2">
        <fieldUsage x="-1"/>
        <fieldUsage x="1"/>
      </fieldsUsage>
    </cacheHierarchy>
    <cacheHierarchy uniqueName="[Range 3].[Airline]" caption="Airline" attribute="1" defaultMemberUniqueName="[Range 3].[Airline].[All]" allUniqueName="[Range 3].[Airline].[All]" dimensionUniqueName="[Range 3]" displayFolder="" count="0" memberValueDatatype="130" unbalanced="0"/>
    <cacheHierarchy uniqueName="[Range 3].[Arrival status]" caption="Arrival status" attribute="1" defaultMemberUniqueName="[Range 3].[Arrival status].[All]" allUniqueName="[Range 3].[Arrival status].[All]" dimensionUniqueName="[Range 3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Count of Status difference]" caption="Count of Status differenc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tatus difference 2]" caption="Count of Status difference 2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rrival status]" caption="Count of Arrival status" measure="1" displayFolder="" measureGroup="Range 3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2" uniqueName="[Range 2]" caption="Range 2"/>
    <dimension name="Range 3" uniqueName="[Range 3]" caption="Range 3"/>
  </dimensions>
  <measureGroups count="3">
    <measureGroup name="Range" caption="Range"/>
    <measureGroup name="Range 2" caption="Range 2"/>
    <measureGroup name="Range 3" caption="Range 3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mas Rascon" refreshedDate="46279.530426736113" backgroundQuery="1" createdVersion="8" refreshedVersion="8" minRefreshableVersion="3" recordCount="0" supportSubquery="1" supportAdvancedDrill="1" xr:uid="{8CEBAA1F-4A79-46B6-AFD1-858DB63EF21C}">
  <cacheSource type="external" connectionId="1"/>
  <cacheFields count="3">
    <cacheField name="[Range 3].[Airline].[Airline]" caption="Airline" numFmtId="0" hierarchy="4" level="1">
      <sharedItems count="11">
        <s v="airBaltic"/>
        <s v="Eurowings"/>
        <s v="Finnair"/>
        <s v="GetJet Airlines"/>
        <s v="Heston Airlines"/>
        <s v="LOT"/>
        <s v="Lufthansa"/>
        <s v="Ryanair"/>
        <s v="SAS"/>
        <s v="Turkish Airlines"/>
        <s v="Wizz Air"/>
      </sharedItems>
    </cacheField>
    <cacheField name="[Range 3].[Arrival status].[Arrival status]" caption="Arrival status" numFmtId="0" hierarchy="5" level="1">
      <sharedItems count="2">
        <s v="Delayed"/>
        <s v="On Time"/>
      </sharedItems>
    </cacheField>
    <cacheField name="[Measures].[Count of Arrival status]" caption="Count of Arrival status" numFmtId="0" hierarchy="12" level="32767"/>
  </cacheFields>
  <cacheHierarchies count="13">
    <cacheHierarchy uniqueName="[Range].[Weekday]" caption="Weekday" attribute="1" defaultMemberUniqueName="[Range].[Weekday].[All]" allUniqueName="[Range].[Weekday].[All]" dimensionUniqueName="[Range]" displayFolder="" count="0" memberValueDatatype="130" unbalanced="0"/>
    <cacheHierarchy uniqueName="[Range].[Status difference]" caption="Status difference" attribute="1" defaultMemberUniqueName="[Range].[Status difference].[All]" allUniqueName="[Range].[Status difference].[All]" dimensionUniqueName="[Range]" displayFolder="" count="0" memberValueDatatype="130" unbalanced="0"/>
    <cacheHierarchy uniqueName="[Range 2].[Hour]" caption="Hour" attribute="1" defaultMemberUniqueName="[Range 2].[Hour].[All]" allUniqueName="[Range 2].[Hour].[All]" dimensionUniqueName="[Range 2]" displayFolder="" count="0" memberValueDatatype="130" unbalanced="0"/>
    <cacheHierarchy uniqueName="[Range 2].[Status difference]" caption="Status difference" attribute="1" defaultMemberUniqueName="[Range 2].[Status difference].[All]" allUniqueName="[Range 2].[Status difference].[All]" dimensionUniqueName="[Range 2]" displayFolder="" count="0" memberValueDatatype="130" unbalanced="0"/>
    <cacheHierarchy uniqueName="[Range 3].[Airline]" caption="Airline" attribute="1" defaultMemberUniqueName="[Range 3].[Airline].[All]" allUniqueName="[Range 3].[Airline].[All]" dimensionUniqueName="[Range 3]" displayFolder="" count="2" memberValueDatatype="130" unbalanced="0">
      <fieldsUsage count="2">
        <fieldUsage x="-1"/>
        <fieldUsage x="0"/>
      </fieldsUsage>
    </cacheHierarchy>
    <cacheHierarchy uniqueName="[Range 3].[Arrival status]" caption="Arrival status" attribute="1" defaultMemberUniqueName="[Range 3].[Arrival status].[All]" allUniqueName="[Range 3].[Arrival status].[All]" dimensionUniqueName="[Range 3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Count of Status difference]" caption="Count of Status differenc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tatus difference 2]" caption="Count of Status difference 2" measure="1" displayFolder="" measureGroup="Range 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rrival status]" caption="Count of Arrival status" measure="1" displayFolder="" measureGroup="Range 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2" uniqueName="[Range 2]" caption="Range 2"/>
    <dimension name="Range 3" uniqueName="[Range 3]" caption="Range 3"/>
  </dimensions>
  <measureGroups count="3">
    <measureGroup name="Range" caption="Range"/>
    <measureGroup name="Range 2" caption="Range 2"/>
    <measureGroup name="Range 3" caption="Range 3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3">
  <r>
    <x v="0"/>
    <s v="Landed 01:14"/>
    <d v="2026-07-02T00:00:00"/>
    <d v="1899-12-30T01:14:00"/>
    <s v="Riga"/>
    <s v="Riga International Airport"/>
    <s v="Airbus A220-300"/>
    <d v="2026-07-02T00:00:00"/>
    <d v="1899-12-30T00:30:00"/>
    <d v="1899-12-30T00:44:00"/>
    <x v="0"/>
  </r>
  <r>
    <x v="1"/>
    <s v="Landed 03:48"/>
    <d v="2026-07-02T00:00:00"/>
    <d v="1899-12-30T03:48:00"/>
    <s v="Barcelona"/>
    <s v="Barcelona El Prat Airport"/>
    <s v="Airbus A321-271NX"/>
    <d v="2026-07-02T00:00:00"/>
    <d v="1899-12-30T00:30:00"/>
    <d v="1899-12-30T03:18:00"/>
    <x v="0"/>
  </r>
  <r>
    <x v="2"/>
    <s v="Landed 01:43"/>
    <d v="2026-07-02T00:00:00"/>
    <d v="1899-12-30T01:43:00"/>
    <s v="Warsaw"/>
    <s v="Warsaw Chopin Airport"/>
    <s v="Boeing 737-89P"/>
    <d v="2026-07-02T00:00:00"/>
    <d v="1899-12-30T00:40:00"/>
    <d v="1899-12-30T01:03:00"/>
    <x v="0"/>
  </r>
  <r>
    <x v="0"/>
    <s v="Landed 02:21"/>
    <d v="2026-07-02T00:00:00"/>
    <d v="1899-12-30T02:21:00"/>
    <s v="Munich"/>
    <s v="Munich Airport"/>
    <s v="Airbus A220-300"/>
    <d v="2026-07-02T00:00:00"/>
    <d v="1899-12-30T00:45:00"/>
    <d v="1899-12-30T01:36:00"/>
    <x v="0"/>
  </r>
  <r>
    <x v="0"/>
    <s v="Landed 01:52"/>
    <d v="2026-07-02T00:00:00"/>
    <d v="1899-12-30T01:52:00"/>
    <s v="Prague"/>
    <s v="Prague Vaclav Havel Airport"/>
    <s v="Airbus A220-300"/>
    <d v="2026-07-02T00:00:00"/>
    <d v="1899-12-30T00:50:00"/>
    <d v="1899-12-30T01:02:00"/>
    <x v="0"/>
  </r>
  <r>
    <x v="1"/>
    <s v="Landed 01:32"/>
    <d v="2026-07-02T00:00:00"/>
    <d v="1899-12-30T01:32:00"/>
    <s v="Milan"/>
    <s v="Milan Malpensa Airport"/>
    <s v="Airbus A321-271NX"/>
    <d v="2026-07-02T00:00:00"/>
    <d v="1899-12-30T01:20:00"/>
    <d v="1899-12-30T00:12:00"/>
    <x v="1"/>
  </r>
  <r>
    <x v="0"/>
    <s v="Landed 02:48"/>
    <d v="2026-07-02T00:00:00"/>
    <d v="1899-12-30T02:48:00"/>
    <s v="Zurich"/>
    <s v="Zurich Airport"/>
    <s v="Airbus A220-300"/>
    <d v="2026-07-02T00:00:00"/>
    <d v="1899-12-30T01:25:00"/>
    <d v="1899-12-30T01:23:00"/>
    <x v="0"/>
  </r>
  <r>
    <x v="3"/>
    <s v="Landed 01:21"/>
    <d v="2026-07-02T00:00:00"/>
    <d v="1899-12-30T01:21:00"/>
    <s v="Copenhagen"/>
    <s v="Copenhagen Airport"/>
    <s v="Mitsubishi CRJ-900ER"/>
    <d v="2026-07-02T00:00:00"/>
    <d v="1899-12-30T01:25:00"/>
    <d v="1899-12-30T00:04:00"/>
    <x v="1"/>
  </r>
  <r>
    <x v="4"/>
    <s v="Landed 04:08"/>
    <d v="2026-07-02T00:00:00"/>
    <d v="1899-12-30T04:08:00"/>
    <s v="Sharm el-Sheikh"/>
    <s v="Sharm el-Sheikh International Airport"/>
    <s v="Boeing 737-8Z0"/>
    <d v="2026-07-02T00:00:00"/>
    <d v="1899-12-30T04:07:00"/>
    <d v="1899-12-30T00:01:00"/>
    <x v="1"/>
  </r>
  <r>
    <x v="0"/>
    <s v="Landed 08:04"/>
    <d v="2026-07-02T00:00:00"/>
    <d v="1899-12-30T08:04:00"/>
    <s v="Riga"/>
    <s v="Riga International Airport"/>
    <s v="Airbus A220-300"/>
    <d v="2026-07-02T00:00:00"/>
    <d v="1899-12-30T07:00:00"/>
    <d v="1899-12-30T01:04:00"/>
    <x v="0"/>
  </r>
  <r>
    <x v="5"/>
    <s v="Landed 07:31"/>
    <d v="2026-07-02T00:00:00"/>
    <d v="1899-12-30T07:31:00"/>
    <s v="Leipzig"/>
    <s v="Leipzig Halle Airport"/>
    <s v="Boeing 737-86N(SF)"/>
    <d v="2026-07-02T00:00:00"/>
    <d v="1899-12-30T07:37:00"/>
    <d v="1899-12-30T00:06:00"/>
    <x v="1"/>
  </r>
  <r>
    <x v="0"/>
    <s v="Landed 08:28"/>
    <d v="2026-07-02T00:00:00"/>
    <d v="1899-12-30T08:28:00"/>
    <s v="Riga"/>
    <s v="Riga International Airport"/>
    <s v="Airbus A220-300"/>
    <d v="2026-07-02T00:00:00"/>
    <d v="1899-12-30T08:40:00"/>
    <d v="1899-12-30T00:12:00"/>
    <x v="1"/>
  </r>
  <r>
    <x v="6"/>
    <s v="Landed 08:53"/>
    <d v="2026-07-02T00:00:00"/>
    <d v="1899-12-30T08:53:00"/>
    <s v="Vienna"/>
    <s v="Vienna International Airport"/>
    <s v="Airbus A320-214"/>
    <d v="2026-07-02T00:00:00"/>
    <d v="1899-12-30T09:05:00"/>
    <d v="1899-12-30T00:12:00"/>
    <x v="1"/>
  </r>
  <r>
    <x v="7"/>
    <s v="Landed 09:22"/>
    <d v="2026-07-02T00:00:00"/>
    <d v="1899-12-30T09:22:00"/>
    <s v="Helsinki"/>
    <s v="Helsinki Vantaa Airport"/>
    <s v="ATR 72-500"/>
    <d v="2026-07-02T00:00:00"/>
    <d v="1899-12-30T09:20:00"/>
    <d v="1899-12-30T00:02:00"/>
    <x v="1"/>
  </r>
  <r>
    <x v="1"/>
    <s v="Landed 08:48"/>
    <d v="2026-07-02T00:00:00"/>
    <d v="1899-12-30T08:48:00"/>
    <s v="Tallinn"/>
    <s v="Tallinn Lennart Meri Airport"/>
    <s v="Airbus A321-271NX"/>
    <d v="2026-07-02T00:00:00"/>
    <d v="1899-12-30T09:20:00"/>
    <d v="1899-12-30T00:32:00"/>
    <x v="0"/>
  </r>
  <r>
    <x v="8"/>
    <s v="Landed 09:12"/>
    <d v="2026-07-02T00:00:00"/>
    <d v="1899-12-30T09:12:00"/>
    <s v="Tel Aviv"/>
    <s v="Tel Aviv Ben Gurion International Airport"/>
    <s v="Airbus A320-232"/>
    <d v="2026-07-02T00:00:00"/>
    <d v="1899-12-30T09:50:00"/>
    <d v="1899-12-30T00:38:00"/>
    <x v="0"/>
  </r>
  <r>
    <x v="9"/>
    <s v="Landed 11:36"/>
    <d v="2026-07-02T00:00:00"/>
    <d v="1899-12-30T11:36:00"/>
    <s v="Corfu"/>
    <s v="Corfu International Airport"/>
    <s v="Boeing 737-8AS"/>
    <d v="2026-07-02T00:00:00"/>
    <d v="1899-12-30T09:55:00"/>
    <d v="1899-12-30T01:41:00"/>
    <x v="0"/>
  </r>
  <r>
    <x v="2"/>
    <s v="Landed 10:40"/>
    <d v="2026-07-02T00:00:00"/>
    <d v="1899-12-30T10:40:00"/>
    <s v="Warsaw"/>
    <s v="Warsaw Chopin Airport"/>
    <s v="Embraer E195AR"/>
    <d v="2026-07-02T00:00:00"/>
    <d v="1899-12-30T10:05:00"/>
    <d v="1899-12-30T00:35:00"/>
    <x v="0"/>
  </r>
  <r>
    <x v="0"/>
    <s v="Landed 11:33"/>
    <d v="2026-07-02T00:00:00"/>
    <d v="1899-12-30T11:33:00"/>
    <s v="Tallinn"/>
    <s v="Tallinn Lennart Meri Airport"/>
    <s v="Airbus A220-300"/>
    <d v="2026-07-02T00:00:00"/>
    <d v="1899-12-30T10:45:00"/>
    <d v="1899-12-30T00:48:00"/>
    <x v="0"/>
  </r>
  <r>
    <x v="10"/>
    <s v="Landed 10:22"/>
    <d v="2026-07-02T00:00:00"/>
    <d v="1899-12-30T10:22:00"/>
    <s v="Istanbul"/>
    <s v="Istanbul Airport"/>
    <s v="Airbus A321-271NX"/>
    <d v="2026-07-02T00:00:00"/>
    <d v="1899-12-30T10:45:00"/>
    <d v="1899-12-30T00:23:00"/>
    <x v="0"/>
  </r>
  <r>
    <x v="9"/>
    <s v="Landed 11:49"/>
    <d v="2026-07-02T00:00:00"/>
    <d v="1899-12-30T11:49:00"/>
    <s v="London"/>
    <s v="London Stansted Airport"/>
    <s v="Boeing 737-8AS"/>
    <d v="2026-07-02T00:00:00"/>
    <d v="1899-12-30T12:00:00"/>
    <d v="1899-12-30T00:11:00"/>
    <x v="1"/>
  </r>
  <r>
    <x v="9"/>
    <s v="Landed 12:03"/>
    <d v="2026-07-02T00:00:00"/>
    <d v="1899-12-30T12:03:00"/>
    <s v="Athens"/>
    <s v="Athens Eleftherios Venizelos"/>
    <s v="Boeing 737-8AS"/>
    <d v="2026-07-02T00:00:00"/>
    <d v="1899-12-30T12:35:00"/>
    <d v="1899-12-30T00:32:00"/>
    <x v="0"/>
  </r>
  <r>
    <x v="11"/>
    <s v="Landed 13:15"/>
    <d v="2026-07-02T00:00:00"/>
    <d v="1899-12-30T13:15:00"/>
    <s v="Frankfurt"/>
    <s v="Frankfurt Airport"/>
    <s v="Airbus A320-271N"/>
    <d v="2026-07-02T00:00:00"/>
    <d v="1899-12-30T12:40:00"/>
    <d v="1899-12-30T00:35:00"/>
    <x v="0"/>
  </r>
  <r>
    <x v="1"/>
    <s v="Landed 12:29"/>
    <d v="2026-07-02T00:00:00"/>
    <d v="1899-12-30T12:29:00"/>
    <s v="London"/>
    <s v="London Luton Airport"/>
    <s v="Airbus A321-271NX"/>
    <d v="2026-07-02T00:00:00"/>
    <d v="1899-12-30T12:50:00"/>
    <d v="1899-12-30T00:21:00"/>
    <x v="0"/>
  </r>
  <r>
    <x v="12"/>
    <s v="Landed 12:37"/>
    <d v="2026-07-02T00:00:00"/>
    <d v="1899-12-30T12:37:00"/>
    <s v="Antalya"/>
    <s v="Antalya Airport"/>
    <s v="Airbus A320-214"/>
    <d v="2026-07-02T00:00:00"/>
    <d v="1899-12-30T12:55:00"/>
    <d v="1899-12-30T00:18:00"/>
    <x v="0"/>
  </r>
  <r>
    <x v="7"/>
    <s v="Landed 13:21"/>
    <d v="2026-07-02T00:00:00"/>
    <d v="1899-12-30T13:21:00"/>
    <s v="Helsinki"/>
    <s v="Helsinki Vantaa Airport"/>
    <s v="ATR 72-500"/>
    <d v="2026-07-02T00:00:00"/>
    <d v="1899-12-30T13:00:00"/>
    <d v="1899-12-30T00:21:00"/>
    <x v="0"/>
  </r>
  <r>
    <x v="13"/>
    <s v="Landed 13:16"/>
    <d v="2026-07-02T00:00:00"/>
    <d v="1899-12-30T13:16:00"/>
    <s v="Antalya"/>
    <s v="Antalya Airport"/>
    <s v="Boeing 737-85P"/>
    <d v="2026-07-02T00:00:00"/>
    <d v="1899-12-30T13:13:00"/>
    <d v="1899-12-30T00:03:00"/>
    <x v="1"/>
  </r>
  <r>
    <x v="9"/>
    <s v="Landed 13:06"/>
    <d v="2026-07-02T00:00:00"/>
    <d v="1899-12-30T13:06:00"/>
    <s v="Malta"/>
    <s v="Malta Luqa International Airport"/>
    <s v="Boeing 737-8AS"/>
    <d v="2026-07-02T00:00:00"/>
    <d v="1899-12-30T13:20:00"/>
    <d v="1899-12-30T00:14:00"/>
    <x v="1"/>
  </r>
  <r>
    <x v="0"/>
    <s v="Landed 13:02"/>
    <d v="2026-07-02T00:00:00"/>
    <d v="1899-12-30T13:02:00"/>
    <s v="Zurich"/>
    <s v="Zurich Airport"/>
    <s v="Airbus A220-300"/>
    <d v="2026-07-02T00:00:00"/>
    <d v="1899-12-30T13:25:00"/>
    <d v="1899-12-30T00:23:00"/>
    <x v="0"/>
  </r>
  <r>
    <x v="0"/>
    <s v="Landed 13:28"/>
    <d v="2026-07-02T00:00:00"/>
    <d v="1899-12-30T13:28:00"/>
    <s v="Amsterdam"/>
    <s v="Amsterdam Schiphol Airport"/>
    <s v="Airbus A220-300"/>
    <d v="2026-07-02T00:00:00"/>
    <d v="1899-12-30T13:25:00"/>
    <d v="1899-12-30T00:03:00"/>
    <x v="1"/>
  </r>
  <r>
    <x v="13"/>
    <s v="Landed 13:32"/>
    <d v="2026-07-02T00:00:00"/>
    <d v="1899-12-30T13:32:00"/>
    <s v="Olbia"/>
    <s v="Olbia Costa Smeralda Airport"/>
    <s v="Airbus A320-216"/>
    <d v="2026-07-02T00:00:00"/>
    <d v="1899-12-30T13:39:00"/>
    <d v="1899-12-30T00:07:00"/>
    <x v="1"/>
  </r>
  <r>
    <x v="2"/>
    <s v="Landed 13:49"/>
    <d v="2026-07-02T00:00:00"/>
    <d v="1899-12-30T13:49:00"/>
    <s v="Warsaw"/>
    <s v="Warsaw Chopin Airport"/>
    <s v="Embraer E175STD"/>
    <d v="2026-07-02T00:00:00"/>
    <d v="1899-12-30T13:50:00"/>
    <d v="1899-12-30T00:01:00"/>
    <x v="1"/>
  </r>
  <r>
    <x v="1"/>
    <s v="Landed 13:58"/>
    <d v="2026-07-02T00:00:00"/>
    <d v="1899-12-30T13:58:00"/>
    <s v="Billund"/>
    <s v="Billund Airport"/>
    <s v="Airbus A321-271NX"/>
    <d v="2026-07-02T00:00:00"/>
    <d v="1899-12-30T14:10:00"/>
    <d v="1899-12-30T00:12:00"/>
    <x v="1"/>
  </r>
  <r>
    <x v="0"/>
    <s v="Landed 14:22"/>
    <d v="2026-07-02T00:00:00"/>
    <d v="1899-12-30T14:22:00"/>
    <s v="Riga"/>
    <s v="Riga International Airport"/>
    <s v="Airbus A220-300"/>
    <d v="2026-07-02T00:00:00"/>
    <d v="1899-12-30T14:35:00"/>
    <d v="1899-12-30T00:13:00"/>
    <x v="1"/>
  </r>
  <r>
    <x v="14"/>
    <s v="Landed 15:00"/>
    <d v="2026-07-02T00:00:00"/>
    <d v="1899-12-30T15:00:00"/>
    <s v="Oslo"/>
    <s v="Oslo Gardermoen Airport"/>
    <s v="Boeing 737-8JP"/>
    <d v="2026-07-02T00:00:00"/>
    <d v="1899-12-30T15:05:00"/>
    <d v="1899-12-30T00:05:00"/>
    <x v="1"/>
  </r>
  <r>
    <x v="3"/>
    <s v="Landed 15:07"/>
    <d v="2026-07-02T00:00:00"/>
    <d v="1899-12-30T15:07:00"/>
    <s v="Copenhagen"/>
    <s v="Copenhagen Airport"/>
    <s v="Mitsubishi CRJ-900LR"/>
    <d v="2026-07-02T00:00:00"/>
    <d v="1899-12-30T15:15:00"/>
    <d v="1899-12-30T00:08:00"/>
    <x v="1"/>
  </r>
  <r>
    <x v="9"/>
    <s v="Landed 16:09"/>
    <d v="2026-07-02T00:00:00"/>
    <d v="1899-12-30T16:09:00"/>
    <s v="Milan"/>
    <s v="Milan Bergamo Orio al Serio International Airport"/>
    <s v="Boeing 737 MAX 8-200"/>
    <d v="2026-07-02T00:00:00"/>
    <d v="1899-12-30T15:30:00"/>
    <d v="1899-12-30T00:39:00"/>
    <x v="0"/>
  </r>
  <r>
    <x v="1"/>
    <s v="Landed 15:24"/>
    <d v="2026-07-02T00:00:00"/>
    <d v="1899-12-30T15:24:00"/>
    <s v="Reykjavik"/>
    <s v="Keflavik International Airport"/>
    <s v="Airbus A321-271NX"/>
    <d v="2026-07-02T00:00:00"/>
    <d v="1899-12-30T15:30:00"/>
    <d v="1899-12-30T00:06:00"/>
    <x v="1"/>
  </r>
  <r>
    <x v="0"/>
    <s v="Landed 16:37"/>
    <d v="2026-07-02T00:00:00"/>
    <d v="1899-12-30T16:37:00"/>
    <s v="Hamburg"/>
    <s v="Hamburg Airport"/>
    <s v="Airbus A220-300"/>
    <d v="2026-07-02T00:00:00"/>
    <d v="1899-12-30T16:00:00"/>
    <d v="1899-12-30T00:37:00"/>
    <x v="0"/>
  </r>
  <r>
    <x v="15"/>
    <s v="Landed 16:12"/>
    <d v="2026-07-02T00:00:00"/>
    <d v="1899-12-30T16:12:00"/>
    <s v="Pula"/>
    <s v="Pula Airport"/>
    <s v="Cessna CitationJet"/>
    <d v="2026-07-02T00:00:00"/>
    <d v="1899-12-30T16:11:00"/>
    <d v="1899-12-30T00:01:00"/>
    <x v="1"/>
  </r>
  <r>
    <x v="2"/>
    <s v="Landed 16:06"/>
    <d v="2026-07-02T00:00:00"/>
    <d v="1899-12-30T16:06:00"/>
    <s v="Warsaw"/>
    <s v="Warsaw Chopin Airport"/>
    <s v="Embraer E175LR"/>
    <d v="2026-07-02T00:00:00"/>
    <d v="1899-12-30T16:20:00"/>
    <d v="1899-12-30T00:14:00"/>
    <x v="1"/>
  </r>
  <r>
    <x v="9"/>
    <s v="Landed 16:45"/>
    <d v="2026-07-02T00:00:00"/>
    <d v="1899-12-30T16:45:00"/>
    <s v="Berlin"/>
    <s v="Berlin Brandenburg Airport"/>
    <s v="Boeing 737-8AS"/>
    <d v="2026-07-02T00:00:00"/>
    <d v="1899-12-30T17:05:00"/>
    <d v="1899-12-30T00:20:00"/>
    <x v="0"/>
  </r>
  <r>
    <x v="7"/>
    <s v="Landed 17:53"/>
    <d v="2026-07-02T00:00:00"/>
    <d v="1899-12-30T17:53:00"/>
    <s v="Helsinki"/>
    <s v="Helsinki Vantaa Airport"/>
    <s v="ATR 72-500"/>
    <d v="2026-07-02T00:00:00"/>
    <d v="1899-12-30T17:55:00"/>
    <d v="1899-12-30T00:02:00"/>
    <x v="1"/>
  </r>
  <r>
    <x v="9"/>
    <s v="Landed 18:23"/>
    <d v="2026-07-02T00:00:00"/>
    <d v="1899-12-30T18:23:00"/>
    <s v="Oslo"/>
    <s v="Oslo Gardermoen Airport"/>
    <s v="Boeing 737-8AS"/>
    <d v="2026-07-02T00:00:00"/>
    <d v="1899-12-30T18:30:00"/>
    <d v="1899-12-30T00:07:00"/>
    <x v="1"/>
  </r>
  <r>
    <x v="2"/>
    <s v="Landed 18:35"/>
    <d v="2026-07-02T00:00:00"/>
    <d v="1899-12-30T18:35:00"/>
    <s v="Warsaw"/>
    <s v="Warsaw Chopin Airport"/>
    <s v="Boeing 737 MAX 8"/>
    <d v="2026-07-02T00:00:00"/>
    <d v="1899-12-30T18:35:00"/>
    <d v="1899-12-30T00:00:00"/>
    <x v="1"/>
  </r>
  <r>
    <x v="11"/>
    <s v="Landed 18:49"/>
    <d v="2026-07-02T00:00:00"/>
    <d v="1899-12-30T18:49:00"/>
    <s v="Frankfurt"/>
    <s v="Frankfurt Airport"/>
    <s v="Airbus A320-214"/>
    <d v="2026-07-02T00:00:00"/>
    <d v="1899-12-30T18:50:00"/>
    <d v="1899-12-30T00:01:00"/>
    <x v="1"/>
  </r>
  <r>
    <x v="1"/>
    <s v="Landed 18:47"/>
    <d v="2026-07-02T00:00:00"/>
    <d v="1899-12-30T18:47:00"/>
    <s v="Kutaisi"/>
    <s v="Kutaisi International Airport"/>
    <s v="Airbus A321-271NX"/>
    <d v="2026-07-02T00:00:00"/>
    <d v="1899-12-30T18:50:00"/>
    <d v="1899-12-30T00:03:00"/>
    <x v="1"/>
  </r>
  <r>
    <x v="1"/>
    <s v="Landed 18:57"/>
    <d v="2026-07-02T00:00:00"/>
    <d v="1899-12-30T18:57:00"/>
    <s v="Gdansk"/>
    <s v="Gdansk Lech Walesa Airport"/>
    <s v="Airbus A321-271NX"/>
    <d v="2026-07-02T00:00:00"/>
    <d v="1899-12-30T19:10:00"/>
    <d v="1899-12-30T00:13:00"/>
    <x v="1"/>
  </r>
  <r>
    <x v="1"/>
    <s v="Landed 19:47"/>
    <d v="2026-07-02T00:00:00"/>
    <d v="1899-12-30T19:47:00"/>
    <s v="Tirana"/>
    <s v="Tirana International Airport"/>
    <s v="Airbus A321-271NX"/>
    <d v="2026-07-02T00:00:00"/>
    <d v="1899-12-30T19:10:00"/>
    <d v="1899-12-30T00:37:00"/>
    <x v="0"/>
  </r>
  <r>
    <x v="0"/>
    <s v="Landed 19:19"/>
    <d v="2026-07-02T00:00:00"/>
    <d v="1899-12-30T19:19:00"/>
    <s v="Dusseldorf"/>
    <s v="Dusseldorf Airport"/>
    <s v="Airbus A220-300"/>
    <d v="2026-07-02T00:00:00"/>
    <d v="1899-12-30T19:20:00"/>
    <d v="1899-12-30T00:01:00"/>
    <x v="1"/>
  </r>
  <r>
    <x v="10"/>
    <s v="Landed 19:12"/>
    <d v="2026-07-02T00:00:00"/>
    <d v="1899-12-30T19:12:00"/>
    <s v="Istanbul"/>
    <s v="Istanbul Airport"/>
    <s v="Airbus A321-231"/>
    <d v="2026-07-02T00:00:00"/>
    <d v="1899-12-30T19:30:00"/>
    <d v="1899-12-30T00:18:00"/>
    <x v="0"/>
  </r>
  <r>
    <x v="0"/>
    <s v="Landed 19:37"/>
    <d v="2026-07-02T00:00:00"/>
    <d v="1899-12-30T19:37:00"/>
    <s v="Amsterdam"/>
    <s v="Amsterdam Schiphol Airport"/>
    <s v="Airbus A220-300"/>
    <d v="2026-07-02T00:00:00"/>
    <d v="1899-12-30T19:50:00"/>
    <d v="1899-12-30T00:13:00"/>
    <x v="1"/>
  </r>
  <r>
    <x v="9"/>
    <s v="Landed 20:22"/>
    <d v="2026-07-02T00:00:00"/>
    <d v="1899-12-30T20:22:00"/>
    <s v="London"/>
    <s v="London Luton Airport"/>
    <s v="Boeing 737 MAX 8-200"/>
    <d v="2026-07-02T00:00:00"/>
    <d v="1899-12-30T20:10:00"/>
    <d v="1899-12-30T00:12:00"/>
    <x v="1"/>
  </r>
  <r>
    <x v="1"/>
    <s v="Landed 19:51"/>
    <d v="2026-07-02T00:00:00"/>
    <d v="1899-12-30T19:51:00"/>
    <s v="Dortmund"/>
    <s v="Dortmund Airport"/>
    <s v="Airbus A321-271NX"/>
    <d v="2026-07-02T00:00:00"/>
    <d v="1899-12-30T20:15:00"/>
    <d v="1899-12-30T00:24:00"/>
    <x v="0"/>
  </r>
  <r>
    <x v="0"/>
    <s v="Landed 21:11"/>
    <d v="2026-07-02T00:00:00"/>
    <d v="1899-12-30T21:11:00"/>
    <s v="Riga"/>
    <s v="Riga International Airport"/>
    <s v="Airbus A220-300"/>
    <d v="2026-07-02T00:00:00"/>
    <d v="1899-12-30T20:50:00"/>
    <d v="1899-12-30T00:21:00"/>
    <x v="0"/>
  </r>
  <r>
    <x v="13"/>
    <s v="Landed 20:57"/>
    <d v="2026-07-02T00:00:00"/>
    <d v="1899-12-30T20:57:00"/>
    <s v="Burgas"/>
    <s v="Burgas Airport"/>
    <s v="Boeing 737-85P"/>
    <d v="2026-07-02T00:00:00"/>
    <d v="1899-12-30T20:50:00"/>
    <d v="1899-12-30T00:07:00"/>
    <x v="1"/>
  </r>
  <r>
    <x v="14"/>
    <s v="Landed 20:44"/>
    <d v="2026-07-02T00:00:00"/>
    <d v="1899-12-30T20:44:00"/>
    <s v="Stockholm"/>
    <s v="Stockholm Arlanda Airport"/>
    <s v="Boeing 737 MAX 8"/>
    <d v="2026-07-02T00:00:00"/>
    <d v="1899-12-30T21:00:00"/>
    <d v="1899-12-30T00:16:00"/>
    <x v="0"/>
  </r>
  <r>
    <x v="7"/>
    <s v="Landed 21:23"/>
    <d v="2026-07-02T00:00:00"/>
    <d v="1899-12-30T21:23:00"/>
    <s v="Helsinki"/>
    <s v="Helsinki Vantaa Airport"/>
    <s v="ATR 72-500"/>
    <d v="2026-07-02T00:00:00"/>
    <d v="1899-12-30T21:10:00"/>
    <d v="1899-12-30T00:13:00"/>
    <x v="1"/>
  </r>
  <r>
    <x v="16"/>
    <s v="Landed 21:08"/>
    <d v="2026-07-02T00:00:00"/>
    <d v="1899-12-30T21:08:00"/>
    <s v="Tel Aviv"/>
    <s v="Tel Aviv Ben Gurion International Airport"/>
    <s v="Airbus A320-232"/>
    <d v="2026-07-02T00:00:00"/>
    <d v="1899-12-30T21:15:00"/>
    <d v="1899-12-30T00:07:00"/>
    <x v="1"/>
  </r>
  <r>
    <x v="0"/>
    <s v="Delayed 01:04"/>
    <d v="2026-07-02T00:00:00"/>
    <e v="#N/A"/>
    <s v="Tallinn"/>
    <s v="Tallinn Lennart Meri Airport"/>
    <s v="Airbus A220-300"/>
    <d v="2026-07-02T00:00:00"/>
    <d v="1899-12-30T21:45:00"/>
    <e v="#N/A"/>
    <x v="2"/>
  </r>
  <r>
    <x v="2"/>
    <s v="Landed 22:38"/>
    <d v="2026-07-02T00:00:00"/>
    <d v="1899-12-30T22:38:00"/>
    <s v="Warsaw"/>
    <s v="Warsaw Chopin Airport"/>
    <s v="Embraer E190STD"/>
    <d v="2026-07-02T00:00:00"/>
    <d v="1899-12-30T22:20:00"/>
    <d v="1899-12-30T00:18:00"/>
    <x v="0"/>
  </r>
  <r>
    <x v="17"/>
    <s v="Landed 22:04"/>
    <d v="2026-07-02T00:00:00"/>
    <d v="1899-12-30T22:04:00"/>
    <s v="Antalya"/>
    <s v="Antalya Airport"/>
    <s v="Airbus A320-232"/>
    <d v="2026-07-02T00:00:00"/>
    <d v="1899-12-30T22:35:00"/>
    <d v="1899-12-30T00:31:00"/>
    <x v="0"/>
  </r>
  <r>
    <x v="10"/>
    <s v="Unknown"/>
    <d v="2026-07-02T00:00:00"/>
    <e v="#N/A"/>
    <s v="Bucharest"/>
    <s v="Bucharest Henri Coanda International Airport"/>
    <s v="N/A"/>
    <d v="2026-07-02T00:00:00"/>
    <d v="1899-12-30T22:40:00"/>
    <e v="#N/A"/>
    <x v="2"/>
  </r>
  <r>
    <x v="13"/>
    <s v="Landed 23:59"/>
    <d v="2026-07-02T00:00:00"/>
    <d v="1899-12-30T23:59:00"/>
    <s v="Heraklion"/>
    <s v="Heraklion International Airport"/>
    <s v="Boeing 737-83N"/>
    <d v="2026-07-02T00:00:00"/>
    <d v="1899-12-30T22:48:00"/>
    <d v="1899-12-30T01:11:00"/>
    <x v="0"/>
  </r>
  <r>
    <x v="0"/>
    <s v="Landed 23:25"/>
    <d v="2026-07-02T00:00:00"/>
    <d v="1899-12-30T23:25:00"/>
    <s v="Paris"/>
    <s v="Paris Charles de Gaulle Airport"/>
    <s v="Airbus A220-300"/>
    <d v="2026-07-02T00:00:00"/>
    <d v="1899-12-30T23:05:00"/>
    <d v="1899-12-30T00:20:00"/>
    <x v="0"/>
  </r>
  <r>
    <x v="9"/>
    <s v="Landed 22:52"/>
    <d v="2026-07-02T00:00:00"/>
    <d v="1899-12-30T22:52:00"/>
    <s v="Rome"/>
    <s v="Rome Ciampino Airport"/>
    <s v="Boeing 737-8AS"/>
    <d v="2026-07-02T00:00:00"/>
    <d v="1899-12-30T23:25:00"/>
    <d v="1899-12-30T00:33:00"/>
    <x v="0"/>
  </r>
  <r>
    <x v="11"/>
    <s v="Landed 23:21"/>
    <d v="2026-07-02T00:00:00"/>
    <d v="1899-12-30T23:21:00"/>
    <s v="Frankfurt"/>
    <s v="Frankfurt Airport"/>
    <s v="Airbus A321-131"/>
    <d v="2026-07-02T00:00:00"/>
    <d v="1899-12-30T23:35:00"/>
    <d v="1899-12-30T00:14:00"/>
    <x v="1"/>
  </r>
  <r>
    <x v="9"/>
    <s v="Landed 23:48"/>
    <d v="2026-07-02T00:00:00"/>
    <d v="1899-12-30T23:48:00"/>
    <s v="Venice"/>
    <s v="Venice Treviso Airport"/>
    <s v="Boeing 737-8AS"/>
    <d v="2026-07-02T00:00:00"/>
    <d v="1899-12-30T23:55:00"/>
    <d v="1899-12-30T00:07:00"/>
    <x v="1"/>
  </r>
  <r>
    <x v="0"/>
    <s v="Landed 23:52"/>
    <d v="2026-07-02T00:00:00"/>
    <d v="1899-12-30T23:52:00"/>
    <s v="Berlin"/>
    <s v="Berlin Brandenburg Airport"/>
    <s v="Airbus A220-300"/>
    <d v="2026-07-03T00:00:00"/>
    <d v="1899-12-30T00:15:00"/>
    <d v="1899-12-30T00:23:00"/>
    <x v="1"/>
  </r>
  <r>
    <x v="1"/>
    <s v="Landed 23:55"/>
    <d v="2026-07-02T00:00:00"/>
    <d v="1899-12-30T23:55:00"/>
    <s v="Turku"/>
    <s v="Turku Airport"/>
    <s v="Airbus A321-271NX"/>
    <d v="2026-07-03T00:00:00"/>
    <d v="1899-12-30T00:15:00"/>
    <d v="1899-12-30T00:20:00"/>
    <x v="1"/>
  </r>
  <r>
    <x v="0"/>
    <s v="Landed 00:46"/>
    <d v="2026-07-03T00:00:00"/>
    <d v="1899-12-30T00:46:00"/>
    <s v="Riga"/>
    <s v="Riga International Airport"/>
    <s v="Airbus A220-300"/>
    <d v="2026-07-03T00:00:00"/>
    <d v="1899-12-30T00:30:00"/>
    <d v="1899-12-30T00:16:00"/>
    <x v="0"/>
  </r>
  <r>
    <x v="1"/>
    <s v="Landed 00:13"/>
    <d v="2026-07-03T00:00:00"/>
    <d v="1899-12-30T00:13:00"/>
    <s v="Barcelona"/>
    <s v="Barcelona El Prat Airport"/>
    <s v="Airbus A321-271NX"/>
    <d v="2026-07-03T00:00:00"/>
    <d v="1899-12-30T00:30:00"/>
    <d v="1899-12-30T00:17:00"/>
    <x v="0"/>
  </r>
  <r>
    <x v="12"/>
    <s v="Landed 00:29"/>
    <d v="2026-07-03T00:00:00"/>
    <d v="1899-12-30T00:29:00"/>
    <s v="Hamburg"/>
    <s v="Hamburg Airport"/>
    <s v="Airbus A320-232"/>
    <d v="2026-07-03T00:00:00"/>
    <d v="1899-12-30T00:35:00"/>
    <d v="1899-12-30T00:06:00"/>
    <x v="1"/>
  </r>
  <r>
    <x v="2"/>
    <s v="Landed 00:49"/>
    <d v="2026-07-03T00:00:00"/>
    <d v="1899-12-30T00:49:00"/>
    <s v="Warsaw"/>
    <s v="Warsaw Chopin Airport"/>
    <s v="Embraer E195LR"/>
    <d v="2026-07-03T00:00:00"/>
    <d v="1899-12-30T00:40:00"/>
    <d v="1899-12-30T00:09:00"/>
    <x v="1"/>
  </r>
  <r>
    <x v="0"/>
    <s v="Landed 00:36"/>
    <d v="2026-07-03T00:00:00"/>
    <d v="1899-12-30T00:36:00"/>
    <s v="Munich"/>
    <s v="Munich Airport"/>
    <s v="Airbus A220-300"/>
    <d v="2026-07-03T00:00:00"/>
    <d v="1899-12-30T00:45:00"/>
    <d v="1899-12-30T00:09:00"/>
    <x v="1"/>
  </r>
  <r>
    <x v="13"/>
    <s v="Landed 01:09"/>
    <d v="2026-07-03T00:00:00"/>
    <d v="1899-12-30T01:09:00"/>
    <s v="Bergen"/>
    <s v="Bergen Flesland Airport"/>
    <s v="Airbus A321-211"/>
    <d v="2026-07-03T00:00:00"/>
    <d v="1899-12-30T00:56:00"/>
    <d v="1899-12-30T00:13:00"/>
    <x v="1"/>
  </r>
  <r>
    <x v="0"/>
    <s v="Landed 01:16"/>
    <d v="2026-07-03T00:00:00"/>
    <d v="1899-12-30T01:16:00"/>
    <s v="Zurich"/>
    <s v="Zurich Airport"/>
    <s v="Airbus A220-300"/>
    <d v="2026-07-03T00:00:00"/>
    <d v="1899-12-30T01:25:00"/>
    <d v="1899-12-30T00:09:00"/>
    <x v="1"/>
  </r>
  <r>
    <x v="3"/>
    <s v="Landed 01:19"/>
    <d v="2026-07-03T00:00:00"/>
    <d v="1899-12-30T01:19:00"/>
    <s v="Copenhagen"/>
    <s v="Copenhagen Airport"/>
    <s v="Mitsubishi CRJ-900LR"/>
    <d v="2026-07-03T00:00:00"/>
    <d v="1899-12-30T01:25:00"/>
    <d v="1899-12-30T00:06:00"/>
    <x v="1"/>
  </r>
  <r>
    <x v="1"/>
    <s v="Landed 01:59"/>
    <d v="2026-07-03T00:00:00"/>
    <d v="1899-12-30T01:59:00"/>
    <s v="Podgorica"/>
    <s v="Podgorica Airport"/>
    <s v="Airbus A321-271NX"/>
    <d v="2026-07-03T00:00:00"/>
    <d v="1899-12-30T01:25:00"/>
    <d v="1899-12-30T00:34:00"/>
    <x v="0"/>
  </r>
  <r>
    <x v="5"/>
    <s v="Landed 07:33"/>
    <d v="2026-07-03T00:00:00"/>
    <d v="1899-12-30T07:33:00"/>
    <s v="Leipzig"/>
    <s v="Leipzig Halle Airport"/>
    <s v="Boeing 737-86N(SF)"/>
    <d v="2026-07-03T00:00:00"/>
    <d v="1899-12-30T07:33:00"/>
    <d v="1899-12-30T00:00:00"/>
    <x v="1"/>
  </r>
  <r>
    <x v="0"/>
    <s v="Landed 11:03"/>
    <d v="2026-07-03T00:00:00"/>
    <d v="1899-12-30T11:03:00"/>
    <s v="Riga"/>
    <s v="Riga International Airport"/>
    <s v="Airbus A220-300"/>
    <d v="2026-07-03T00:00:00"/>
    <d v="1899-12-30T08:40:00"/>
    <d v="1899-12-30T02:23:00"/>
    <x v="0"/>
  </r>
  <r>
    <x v="1"/>
    <s v="Landed 08:33"/>
    <d v="2026-07-03T00:00:00"/>
    <d v="1899-12-30T08:33:00"/>
    <s v="Krakow"/>
    <s v="Krakow John Paul II International Airport"/>
    <s v="Airbus A321-231"/>
    <d v="2026-07-03T00:00:00"/>
    <d v="1899-12-30T08:50:00"/>
    <d v="1899-12-30T00:17:00"/>
    <x v="0"/>
  </r>
  <r>
    <x v="7"/>
    <s v="Landed 08:53"/>
    <d v="2026-07-03T00:00:00"/>
    <d v="1899-12-30T08:53:00"/>
    <s v="Helsinki"/>
    <s v="Helsinki Vantaa Airport"/>
    <s v="Embraer E190LR"/>
    <d v="2026-07-03T00:00:00"/>
    <d v="1899-12-30T08:55:00"/>
    <d v="1899-12-30T00:02:00"/>
    <x v="1"/>
  </r>
  <r>
    <x v="1"/>
    <s v="Landed 08:51"/>
    <d v="2026-07-03T00:00:00"/>
    <d v="1899-12-30T08:51:00"/>
    <s v="Tallinn"/>
    <s v="Tallinn Lennart Meri Airport"/>
    <s v="Airbus A321-271NX"/>
    <d v="2026-07-03T00:00:00"/>
    <d v="1899-12-30T09:20:00"/>
    <d v="1899-12-30T00:29:00"/>
    <x v="0"/>
  </r>
  <r>
    <x v="9"/>
    <s v="Landed 09:05"/>
    <d v="2026-07-03T00:00:00"/>
    <d v="1899-12-30T09:05:00"/>
    <s v="Milan"/>
    <s v="Milan Bergamo Orio al Serio International Airport"/>
    <s v="Boeing 737-8AS"/>
    <d v="2026-07-03T00:00:00"/>
    <d v="1899-12-30T09:35:00"/>
    <d v="1899-12-30T00:30:00"/>
    <x v="0"/>
  </r>
  <r>
    <x v="15"/>
    <s v="Landed 10:09"/>
    <d v="2026-07-03T00:00:00"/>
    <d v="1899-12-30T10:09:00"/>
    <s v="Palanga"/>
    <s v="Palanga International Airport"/>
    <s v="Diamond DA42 NG Twin Star"/>
    <d v="2026-07-03T00:00:00"/>
    <d v="1899-12-30T09:38:00"/>
    <d v="1899-12-30T00:31:00"/>
    <x v="0"/>
  </r>
  <r>
    <x v="2"/>
    <s v="Diverted to WAW"/>
    <d v="2026-07-03T00:00:00"/>
    <e v="#N/A"/>
    <s v="Warsaw"/>
    <s v="Warsaw Chopin Airport"/>
    <s v="Embraer E190AR"/>
    <d v="2026-07-03T00:00:00"/>
    <d v="1899-12-30T10:05:00"/>
    <e v="#N/A"/>
    <x v="2"/>
  </r>
  <r>
    <x v="10"/>
    <s v="Landed 10:24"/>
    <d v="2026-07-03T00:00:00"/>
    <d v="1899-12-30T10:24:00"/>
    <s v="Istanbul"/>
    <s v="Istanbul Airport"/>
    <s v="Boeing 737-8F2"/>
    <d v="2026-07-03T00:00:00"/>
    <d v="1899-12-30T10:45:00"/>
    <d v="1899-12-30T00:21:00"/>
    <x v="0"/>
  </r>
  <r>
    <x v="17"/>
    <s v="Landed 10:59"/>
    <d v="2026-07-03T00:00:00"/>
    <d v="1899-12-30T10:59:00"/>
    <s v="Tivat"/>
    <s v="Tivat Airport"/>
    <s v="Airbus A320-232"/>
    <d v="2026-07-03T00:00:00"/>
    <d v="1899-12-30T11:00:00"/>
    <d v="1899-12-30T00:01:00"/>
    <x v="1"/>
  </r>
  <r>
    <x v="9"/>
    <s v="Landed 10:48"/>
    <d v="2026-07-03T00:00:00"/>
    <d v="1899-12-30T10:48:00"/>
    <s v="London"/>
    <s v="London Luton Airport"/>
    <s v="Boeing 737 MAX 8-200"/>
    <d v="2026-07-03T00:00:00"/>
    <d v="1899-12-30T11:10:00"/>
    <d v="1899-12-30T00:22:00"/>
    <x v="0"/>
  </r>
  <r>
    <x v="13"/>
    <s v="Landed 11:56"/>
    <d v="2026-07-03T00:00:00"/>
    <d v="1899-12-30T11:56:00"/>
    <s v="Varna"/>
    <s v="Varna Airport"/>
    <s v="Boeing 737-83N"/>
    <d v="2026-07-03T00:00:00"/>
    <d v="1899-12-30T12:13:00"/>
    <d v="1899-12-30T00:17:00"/>
    <x v="0"/>
  </r>
  <r>
    <x v="0"/>
    <s v="Landed 12:08"/>
    <d v="2026-07-03T00:00:00"/>
    <d v="1899-12-30T12:08:00"/>
    <s v="Prague"/>
    <s v="Prague Vaclav Havel Airport"/>
    <s v="Airbus A220-300"/>
    <d v="2026-07-03T00:00:00"/>
    <d v="1899-12-30T12:25:00"/>
    <d v="1899-12-30T00:17:00"/>
    <x v="0"/>
  </r>
  <r>
    <x v="11"/>
    <s v="Landed 12:32"/>
    <d v="2026-07-03T00:00:00"/>
    <d v="1899-12-30T12:32:00"/>
    <s v="Frankfurt"/>
    <s v="Frankfurt Airport"/>
    <s v="Airbus A321-231"/>
    <d v="2026-07-03T00:00:00"/>
    <d v="1899-12-30T12:40:00"/>
    <d v="1899-12-30T00:08:00"/>
    <x v="1"/>
  </r>
  <r>
    <x v="1"/>
    <s v="Landed 13:22"/>
    <d v="2026-07-03T00:00:00"/>
    <d v="1899-12-30T13:22:00"/>
    <s v="London"/>
    <s v="London Luton Airport"/>
    <s v="Airbus A321-271NX"/>
    <d v="2026-07-03T00:00:00"/>
    <d v="1899-12-30T12:50:00"/>
    <d v="1899-12-30T00:32:00"/>
    <x v="0"/>
  </r>
  <r>
    <x v="7"/>
    <s v="Landed 13:15"/>
    <d v="2026-07-03T00:00:00"/>
    <d v="1899-12-30T13:15:00"/>
    <s v="Helsinki"/>
    <s v="Helsinki Vantaa Airport"/>
    <s v="ATR 72-500"/>
    <d v="2026-07-03T00:00:00"/>
    <d v="1899-12-30T13:00:00"/>
    <d v="1899-12-30T00:15:00"/>
    <x v="1"/>
  </r>
  <r>
    <x v="12"/>
    <s v="Landed 12:57"/>
    <d v="2026-07-03T00:00:00"/>
    <d v="1899-12-30T12:57:00"/>
    <s v="Antalya"/>
    <s v="Antalya Airport"/>
    <s v="Airbus A320-232"/>
    <d v="2026-07-03T00:00:00"/>
    <d v="1899-12-30T13:02:00"/>
    <d v="1899-12-30T00:05:00"/>
    <x v="1"/>
  </r>
  <r>
    <x v="9"/>
    <s v="Landed 13:08"/>
    <d v="2026-07-03T00:00:00"/>
    <d v="1899-12-30T13:08:00"/>
    <s v="Barcelona"/>
    <s v="Barcelona El Prat Airport"/>
    <s v="Boeing 737-8AS"/>
    <d v="2026-07-03T00:00:00"/>
    <d v="1899-12-30T13:20:00"/>
    <d v="1899-12-30T00:12:00"/>
    <x v="1"/>
  </r>
  <r>
    <x v="9"/>
    <s v="Landed 13:03"/>
    <d v="2026-07-03T00:00:00"/>
    <d v="1899-12-30T13:03:00"/>
    <s v="Dublin"/>
    <s v="Dublin Airport"/>
    <s v="Boeing 737-8AS"/>
    <d v="2026-07-03T00:00:00"/>
    <d v="1899-12-30T13:20:00"/>
    <d v="1899-12-30T00:17:00"/>
    <x v="0"/>
  </r>
  <r>
    <x v="0"/>
    <s v="Landed 13:11"/>
    <d v="2026-07-03T00:00:00"/>
    <d v="1899-12-30T13:11:00"/>
    <s v="Amsterdam"/>
    <s v="Amsterdam Schiphol Airport"/>
    <s v="Airbus A220-300"/>
    <d v="2026-07-03T00:00:00"/>
    <d v="1899-12-30T13:25:00"/>
    <d v="1899-12-30T00:14:00"/>
    <x v="1"/>
  </r>
  <r>
    <x v="2"/>
    <s v="Landed 13:55"/>
    <d v="2026-07-03T00:00:00"/>
    <d v="1899-12-30T13:55:00"/>
    <s v="Warsaw"/>
    <s v="Warsaw Chopin Airport"/>
    <s v="Boeing 737-89P"/>
    <d v="2026-07-03T00:00:00"/>
    <d v="1899-12-30T13:50:00"/>
    <d v="1899-12-30T00:05:00"/>
    <x v="1"/>
  </r>
  <r>
    <x v="1"/>
    <s v="Landed 13:47"/>
    <d v="2026-07-03T00:00:00"/>
    <d v="1899-12-30T13:47:00"/>
    <s v="Budapest"/>
    <s v="Budapest Ferenc Liszt International Airport"/>
    <s v="Airbus A321-271NX"/>
    <d v="2026-07-03T00:00:00"/>
    <d v="1899-12-30T14:10:00"/>
    <d v="1899-12-30T00:23:00"/>
    <x v="0"/>
  </r>
  <r>
    <x v="0"/>
    <s v="Landed 14:53"/>
    <d v="2026-07-03T00:00:00"/>
    <d v="1899-12-30T14:53:00"/>
    <s v="Heraklion"/>
    <s v="Heraklion International Airport"/>
    <s v="Airbus A220-300"/>
    <d v="2026-07-03T00:00:00"/>
    <d v="1899-12-30T14:30:00"/>
    <d v="1899-12-30T00:23:00"/>
    <x v="0"/>
  </r>
  <r>
    <x v="0"/>
    <s v="Landed 15:04"/>
    <d v="2026-07-03T00:00:00"/>
    <d v="1899-12-30T15:04:00"/>
    <s v="Riga"/>
    <s v="Riga International Airport"/>
    <s v="Airbus A220-300"/>
    <d v="2026-07-03T00:00:00"/>
    <d v="1899-12-30T14:35:00"/>
    <d v="1899-12-30T00:29:00"/>
    <x v="0"/>
  </r>
  <r>
    <x v="3"/>
    <s v="Landed 15:35"/>
    <d v="2026-07-03T00:00:00"/>
    <d v="1899-12-30T15:35:00"/>
    <s v="Copenhagen"/>
    <s v="Copenhagen Airport"/>
    <s v="Mitsubishi CRJ-900LR"/>
    <d v="2026-07-03T00:00:00"/>
    <d v="1899-12-30T15:15:00"/>
    <d v="1899-12-30T00:20:00"/>
    <x v="0"/>
  </r>
  <r>
    <x v="0"/>
    <s v="Landed 15:20"/>
    <d v="2026-07-03T00:00:00"/>
    <d v="1899-12-30T15:20:00"/>
    <s v="Brussels"/>
    <s v="Brussels Airport"/>
    <s v="Airbus A220-300"/>
    <d v="2026-07-03T00:00:00"/>
    <d v="1899-12-30T15:25:00"/>
    <d v="1899-12-30T00:05:00"/>
    <x v="1"/>
  </r>
  <r>
    <x v="18"/>
    <s v="Landed 15:15"/>
    <d v="2026-07-03T00:00:00"/>
    <d v="1899-12-30T15:15:00"/>
    <s v="Bolzano"/>
    <s v="Bolzano Airport"/>
    <s v="Cessna Citation M2"/>
    <d v="2026-07-03T00:00:00"/>
    <d v="1899-12-30T15:28:00"/>
    <d v="1899-12-30T00:13:00"/>
    <x v="1"/>
  </r>
  <r>
    <x v="9"/>
    <s v="Landed 15:11"/>
    <d v="2026-07-03T00:00:00"/>
    <d v="1899-12-30T15:11:00"/>
    <s v="Turin"/>
    <s v="Turin Caselle Airport"/>
    <s v="Boeing 737-8AS"/>
    <d v="2026-07-03T00:00:00"/>
    <d v="1899-12-30T15:30:00"/>
    <d v="1899-12-30T00:19:00"/>
    <x v="0"/>
  </r>
  <r>
    <x v="1"/>
    <s v="Landed 15:24"/>
    <d v="2026-07-03T00:00:00"/>
    <d v="1899-12-30T15:24:00"/>
    <s v="Malaga"/>
    <s v="Malaga Costa Del Sol Airport"/>
    <s v="Airbus A321-271NX"/>
    <d v="2026-07-03T00:00:00"/>
    <d v="1899-12-30T15:35:00"/>
    <d v="1899-12-30T00:11:00"/>
    <x v="1"/>
  </r>
  <r>
    <x v="9"/>
    <s v="Landed 16:06"/>
    <d v="2026-07-03T00:00:00"/>
    <d v="1899-12-30T16:06:00"/>
    <s v="Paris"/>
    <s v="Paris Beauvais-Tille Airport"/>
    <s v="Boeing 737 MAX 8-200"/>
    <d v="2026-07-03T00:00:00"/>
    <d v="1899-12-30T15:40:00"/>
    <d v="1899-12-30T00:26:00"/>
    <x v="0"/>
  </r>
  <r>
    <x v="2"/>
    <s v="Landed 16:22"/>
    <d v="2026-07-03T00:00:00"/>
    <d v="1899-12-30T16:22:00"/>
    <s v="Warsaw"/>
    <s v="Warsaw Chopin Airport"/>
    <s v="Embraer E175LR"/>
    <d v="2026-07-03T00:00:00"/>
    <d v="1899-12-30T16:20:00"/>
    <d v="1899-12-30T00:02:00"/>
    <x v="1"/>
  </r>
  <r>
    <x v="7"/>
    <s v="Landed 17:16"/>
    <d v="2026-07-03T00:00:00"/>
    <d v="1899-12-30T17:16:00"/>
    <s v="Helsinki"/>
    <s v="Helsinki Vantaa Airport"/>
    <s v="Embraer E190LR"/>
    <d v="2026-07-03T00:00:00"/>
    <d v="1899-12-30T17:10:00"/>
    <d v="1899-12-30T00:06:00"/>
    <x v="1"/>
  </r>
  <r>
    <x v="9"/>
    <s v="Landed 17:08"/>
    <d v="2026-07-03T00:00:00"/>
    <d v="1899-12-30T17:08:00"/>
    <s v="Corfu"/>
    <s v="Corfu International Airport"/>
    <s v="Boeing 737-8AS"/>
    <d v="2026-07-03T00:00:00"/>
    <d v="1899-12-30T17:15:00"/>
    <d v="1899-12-30T00:07:00"/>
    <x v="1"/>
  </r>
  <r>
    <x v="0"/>
    <s v="Landed 18:53"/>
    <d v="2026-07-03T00:00:00"/>
    <d v="1899-12-30T18:53:00"/>
    <s v="Tallinn"/>
    <s v="Tallinn Lennart Meri Airport"/>
    <s v="Airbus A220-300"/>
    <d v="2026-07-03T00:00:00"/>
    <d v="1899-12-30T17:20:00"/>
    <d v="1899-12-30T01:33:00"/>
    <x v="0"/>
  </r>
  <r>
    <x v="15"/>
    <s v="Landed 18:13"/>
    <d v="2026-07-03T00:00:00"/>
    <d v="1899-12-30T18:13:00"/>
    <s v="Salerno"/>
    <s v="Salerno Costa d'Amalfi Airport"/>
    <s v="Embraer Phenom 300E"/>
    <d v="2026-07-03T00:00:00"/>
    <d v="1899-12-30T17:34:00"/>
    <d v="1899-12-30T00:39:00"/>
    <x v="0"/>
  </r>
  <r>
    <x v="9"/>
    <s v="Landed 18:07"/>
    <d v="2026-07-03T00:00:00"/>
    <d v="1899-12-30T18:07:00"/>
    <s v="Oslo"/>
    <s v="Oslo Gardermoen Airport"/>
    <s v="Boeing 737-8AS"/>
    <d v="2026-07-03T00:00:00"/>
    <d v="1899-12-30T18:20:00"/>
    <d v="1899-12-30T00:13:00"/>
    <x v="1"/>
  </r>
  <r>
    <x v="19"/>
    <s v="Landed 18:18"/>
    <d v="2026-07-03T00:00:00"/>
    <d v="1899-12-30T18:18:00"/>
    <s v="Tel Aviv"/>
    <s v="Tel Aviv Ben Gurion International Airport"/>
    <s v="Airbus A320-232"/>
    <d v="2026-07-03T00:00:00"/>
    <d v="1899-12-30T18:30:00"/>
    <d v="1899-12-30T00:12:00"/>
    <x v="1"/>
  </r>
  <r>
    <x v="2"/>
    <s v="Landed 18:40"/>
    <d v="2026-07-03T00:00:00"/>
    <d v="1899-12-30T18:40:00"/>
    <s v="Warsaw"/>
    <s v="Warsaw Chopin Airport"/>
    <s v="Embraer E195AR"/>
    <d v="2026-07-03T00:00:00"/>
    <d v="1899-12-30T18:35:00"/>
    <d v="1899-12-30T00:05:00"/>
    <x v="1"/>
  </r>
  <r>
    <x v="1"/>
    <s v="Landed 19:02"/>
    <d v="2026-07-03T00:00:00"/>
    <d v="1899-12-30T19:02:00"/>
    <s v="Eindhoven"/>
    <s v="Eindhoven Airport"/>
    <s v="Airbus A321-271NX"/>
    <d v="2026-07-03T00:00:00"/>
    <d v="1899-12-30T18:45:00"/>
    <d v="1899-12-30T00:17:00"/>
    <x v="0"/>
  </r>
  <r>
    <x v="11"/>
    <s v="Landed 18:44"/>
    <d v="2026-07-03T00:00:00"/>
    <d v="1899-12-30T18:44:00"/>
    <s v="Frankfurt"/>
    <s v="Frankfurt Airport"/>
    <s v="Airbus A321-231"/>
    <d v="2026-07-03T00:00:00"/>
    <d v="1899-12-30T18:55:00"/>
    <d v="1899-12-30T00:11:00"/>
    <x v="1"/>
  </r>
  <r>
    <x v="9"/>
    <s v="Landed 18:30"/>
    <d v="2026-07-03T00:00:00"/>
    <d v="1899-12-30T18:30:00"/>
    <s v="Rome"/>
    <s v="Rome Ciampino Airport"/>
    <s v="Boeing 737 MAX 8-200"/>
    <d v="2026-07-03T00:00:00"/>
    <d v="1899-12-30T19:05:00"/>
    <d v="1899-12-30T00:35:00"/>
    <x v="0"/>
  </r>
  <r>
    <x v="9"/>
    <s v="Landed 19:17"/>
    <d v="2026-07-03T00:00:00"/>
    <d v="1899-12-30T19:17:00"/>
    <s v="Eindhoven"/>
    <s v="Eindhoven Airport"/>
    <s v="Boeing 737-8AS"/>
    <d v="2026-07-03T00:00:00"/>
    <d v="1899-12-30T19:05:00"/>
    <d v="1899-12-30T00:12:00"/>
    <x v="1"/>
  </r>
  <r>
    <x v="10"/>
    <s v="Landed 19:13"/>
    <d v="2026-07-03T00:00:00"/>
    <d v="1899-12-30T19:13:00"/>
    <s v="Istanbul"/>
    <s v="Istanbul Airport"/>
    <s v="Boeing 737 MAX 8"/>
    <d v="2026-07-03T00:00:00"/>
    <d v="1899-12-30T19:30:00"/>
    <d v="1899-12-30T00:17:00"/>
    <x v="0"/>
  </r>
  <r>
    <x v="0"/>
    <s v="Landed 19:31"/>
    <d v="2026-07-03T00:00:00"/>
    <d v="1899-12-30T19:31:00"/>
    <s v="Amsterdam"/>
    <s v="Amsterdam Schiphol Airport"/>
    <s v="Airbus A220-300"/>
    <d v="2026-07-03T00:00:00"/>
    <d v="1899-12-30T19:50:00"/>
    <d v="1899-12-30T00:19:00"/>
    <x v="0"/>
  </r>
  <r>
    <x v="7"/>
    <s v="Landed 22:15"/>
    <d v="2026-07-03T00:00:00"/>
    <d v="1899-12-30T22:15:00"/>
    <s v="Helsinki"/>
    <s v="Helsinki Vantaa Airport"/>
    <s v="ATR 72-500"/>
    <d v="2026-07-03T00:00:00"/>
    <d v="1899-12-30T21:10:00"/>
    <d v="1899-12-30T01:05:00"/>
    <x v="0"/>
  </r>
  <r>
    <x v="0"/>
    <s v="Canceled"/>
    <d v="2026-07-03T00:00:00"/>
    <e v="#N/A"/>
    <s v="Paris"/>
    <s v="Paris Charles de Gaulle Airport"/>
    <s v="Airbus A220-300"/>
    <d v="2026-07-03T00:00:00"/>
    <d v="1899-12-30T21:55:00"/>
    <e v="#N/A"/>
    <x v="2"/>
  </r>
  <r>
    <x v="13"/>
    <s v="Landed 22:08"/>
    <d v="2026-07-03T00:00:00"/>
    <d v="1899-12-30T22:08:00"/>
    <s v="Bodrum"/>
    <s v="Bodrum Milas Airport"/>
    <s v="Boeing 737-83N"/>
    <d v="2026-07-03T00:00:00"/>
    <d v="1899-12-30T22:11:00"/>
    <d v="1899-12-30T00:03:00"/>
    <x v="1"/>
  </r>
  <r>
    <x v="13"/>
    <s v="Landed 22:18"/>
    <d v="2026-07-03T00:00:00"/>
    <d v="1899-12-30T22:18:00"/>
    <s v="Heraklion"/>
    <s v="Heraklion International Airport"/>
    <s v="Boeing 737-85P"/>
    <d v="2026-07-03T00:00:00"/>
    <d v="1899-12-30T22:19:00"/>
    <d v="1899-12-30T00:01:00"/>
    <x v="1"/>
  </r>
  <r>
    <x v="2"/>
    <s v="Landed 22:40"/>
    <d v="2026-07-03T00:00:00"/>
    <d v="1899-12-30T22:40:00"/>
    <s v="Warsaw"/>
    <s v="Warsaw Chopin Airport"/>
    <s v="Embraer E195LR"/>
    <d v="2026-07-03T00:00:00"/>
    <d v="1899-12-30T22:20:00"/>
    <d v="1899-12-30T00:20:00"/>
    <x v="0"/>
  </r>
  <r>
    <x v="0"/>
    <s v="Delayed 00:06"/>
    <d v="2026-07-03T00:00:00"/>
    <e v="#N/A"/>
    <s v="Munich"/>
    <s v="Munich Airport"/>
    <s v="Airbus A220-300"/>
    <d v="2026-07-03T00:00:00"/>
    <d v="1899-12-30T22:45:00"/>
    <e v="#N/A"/>
    <x v="2"/>
  </r>
  <r>
    <x v="0"/>
    <s v="Unknown"/>
    <d v="2026-07-03T00:00:00"/>
    <e v="#N/A"/>
    <s v="Riga"/>
    <s v="Riga International Airport"/>
    <s v="Airbus A220-300"/>
    <d v="2026-07-03T00:00:00"/>
    <d v="1899-12-30T22:50:00"/>
    <e v="#N/A"/>
    <x v="2"/>
  </r>
  <r>
    <x v="17"/>
    <s v="Delayed 00:56"/>
    <d v="2026-07-03T00:00:00"/>
    <e v="#N/A"/>
    <s v="Barcelona"/>
    <s v="Barcelona El Prat Airport"/>
    <s v="Airbus A320-232"/>
    <d v="2026-07-03T00:00:00"/>
    <d v="1899-12-30T23:05:00"/>
    <e v="#N/A"/>
    <x v="2"/>
  </r>
  <r>
    <x v="20"/>
    <s v="Landed 23:07"/>
    <d v="2026-07-03T00:00:00"/>
    <d v="1899-12-30T23:07:00"/>
    <s v="Antalya"/>
    <s v="Antalya Airport"/>
    <s v="Boeing 777-31H(ER)"/>
    <d v="2026-07-03T00:00:00"/>
    <d v="1899-12-30T23:13:00"/>
    <d v="1899-12-30T00:06:00"/>
    <x v="1"/>
  </r>
  <r>
    <x v="9"/>
    <s v="Landed 23:28"/>
    <d v="2026-07-03T00:00:00"/>
    <d v="1899-12-30T23:28:00"/>
    <s v="London"/>
    <s v="London Stansted Airport"/>
    <s v="Boeing 737 MAX 8-200"/>
    <d v="2026-07-03T00:00:00"/>
    <d v="1899-12-30T23:35:00"/>
    <d v="1899-12-30T00:07:00"/>
    <x v="1"/>
  </r>
  <r>
    <x v="11"/>
    <s v="Landed 23:24"/>
    <d v="2026-07-03T00:00:00"/>
    <d v="1899-12-30T23:24:00"/>
    <s v="Frankfurt"/>
    <s v="Frankfurt Airport"/>
    <s v="Airbus A321-231"/>
    <d v="2026-07-03T00:00:00"/>
    <d v="1899-12-30T23:35:00"/>
    <d v="1899-12-30T00:11:00"/>
    <x v="1"/>
  </r>
  <r>
    <x v="9"/>
    <s v="Landed 23:33"/>
    <d v="2026-07-03T00:00:00"/>
    <d v="1899-12-30T23:33:00"/>
    <s v="Oslo"/>
    <s v="Oslo Gardermoen Airport"/>
    <s v="Boeing 737-8AS"/>
    <d v="2026-07-03T00:00:00"/>
    <d v="1899-12-30T23:50:00"/>
    <d v="1899-12-30T00:17:00"/>
    <x v="0"/>
  </r>
  <r>
    <x v="9"/>
    <s v="Landed 23:50"/>
    <d v="2026-07-03T00:00:00"/>
    <d v="1899-12-30T23:50:00"/>
    <s v="Milan"/>
    <s v="Milan Bergamo Orio al Serio International Airport"/>
    <s v="Boeing 737-8AS"/>
    <d v="2026-07-04T00:00:00"/>
    <d v="1899-12-30T00:10:00"/>
    <d v="1899-12-30T00:20:00"/>
    <x v="1"/>
  </r>
  <r>
    <x v="0"/>
    <s v="Landed 02:00"/>
    <d v="2026-07-04T00:00:00"/>
    <d v="1899-12-30T02:00:00"/>
    <s v="Riga"/>
    <s v="Riga International Airport"/>
    <s v="Airbus A220-300"/>
    <d v="2026-07-04T00:00:00"/>
    <d v="1899-12-30T00:30:00"/>
    <d v="1899-12-30T01:30:00"/>
    <x v="0"/>
  </r>
  <r>
    <x v="2"/>
    <s v="Landed 00:43"/>
    <d v="2026-07-04T00:00:00"/>
    <d v="1899-12-30T00:43:00"/>
    <s v="Warsaw"/>
    <s v="Warsaw Chopin Airport"/>
    <s v="Embraer E195LR"/>
    <d v="2026-07-04T00:00:00"/>
    <d v="1899-12-30T00:40:00"/>
    <d v="1899-12-30T00:03:00"/>
    <x v="1"/>
  </r>
  <r>
    <x v="1"/>
    <s v="Landed 00:26"/>
    <d v="2026-07-04T00:00:00"/>
    <d v="1899-12-30T00:26:00"/>
    <s v="Reykjavik"/>
    <s v="Keflavik International Airport"/>
    <s v="Airbus A321-271NX"/>
    <d v="2026-07-04T00:00:00"/>
    <d v="1899-12-30T00:40:00"/>
    <d v="1899-12-30T00:14:00"/>
    <x v="1"/>
  </r>
  <r>
    <x v="0"/>
    <s v="Landed 02:04"/>
    <d v="2026-07-04T00:00:00"/>
    <d v="1899-12-30T02:04:00"/>
    <s v="Riga"/>
    <s v="Riga International Airport"/>
    <s v="Airbus A220-300"/>
    <d v="2026-07-04T00:00:00"/>
    <d v="1899-12-30T00:43:00"/>
    <d v="1899-12-30T01:21:00"/>
    <x v="0"/>
  </r>
  <r>
    <x v="1"/>
    <s v="Landed 01:01"/>
    <d v="2026-07-04T00:00:00"/>
    <d v="1899-12-30T01:01:00"/>
    <s v="Larnaca"/>
    <s v="Larnaca International Airport"/>
    <s v="Airbus A321-271NX"/>
    <d v="2026-07-04T00:00:00"/>
    <d v="1899-12-30T01:05:00"/>
    <d v="1899-12-30T00:04:00"/>
    <x v="1"/>
  </r>
  <r>
    <x v="1"/>
    <s v="Landed 01:53"/>
    <d v="2026-07-04T00:00:00"/>
    <d v="1899-12-30T01:53:00"/>
    <s v="Milan"/>
    <s v="Milan Malpensa Airport"/>
    <s v="Airbus A321-271NX"/>
    <d v="2026-07-04T00:00:00"/>
    <d v="1899-12-30T01:20:00"/>
    <d v="1899-12-30T00:33:00"/>
    <x v="0"/>
  </r>
  <r>
    <x v="0"/>
    <s v="Landed 01:35"/>
    <d v="2026-07-04T00:00:00"/>
    <d v="1899-12-30T01:35:00"/>
    <s v="Zurich"/>
    <s v="Zurich Airport"/>
    <s v="Airbus A220-300"/>
    <d v="2026-07-04T00:00:00"/>
    <d v="1899-12-30T01:25:00"/>
    <d v="1899-12-30T00:10:00"/>
    <x v="1"/>
  </r>
  <r>
    <x v="3"/>
    <s v="Landed 01:25"/>
    <d v="2026-07-04T00:00:00"/>
    <d v="1899-12-30T01:25:00"/>
    <s v="Copenhagen"/>
    <s v="Copenhagen Airport"/>
    <s v="Mitsubishi CRJ-900ER"/>
    <d v="2026-07-04T00:00:00"/>
    <d v="1899-12-30T01:25:00"/>
    <d v="1899-12-30T00:00:00"/>
    <x v="1"/>
  </r>
  <r>
    <x v="10"/>
    <s v="Unknown"/>
    <d v="2026-07-04T00:00:00"/>
    <e v="#N/A"/>
    <s v="Istanbul"/>
    <s v="Istanbul Airport"/>
    <s v="N/A"/>
    <d v="2026-07-04T00:00:00"/>
    <d v="1899-12-30T07:35:00"/>
    <e v="#N/A"/>
    <x v="2"/>
  </r>
  <r>
    <x v="0"/>
    <s v="Landed 09:47"/>
    <d v="2026-07-04T00:00:00"/>
    <d v="1899-12-30T09:47:00"/>
    <s v="Riga"/>
    <s v="Riga International Airport"/>
    <s v="Airbus A220-300"/>
    <d v="2026-07-04T00:00:00"/>
    <d v="1899-12-30T08:40:00"/>
    <d v="1899-12-30T01:07:00"/>
    <x v="0"/>
  </r>
  <r>
    <x v="7"/>
    <s v="Landed 09:07"/>
    <d v="2026-07-04T00:00:00"/>
    <d v="1899-12-30T09:07:00"/>
    <s v="Helsinki"/>
    <s v="Helsinki Vantaa Airport"/>
    <s v="ATR 72-500"/>
    <d v="2026-07-04T00:00:00"/>
    <d v="1899-12-30T09:20:00"/>
    <d v="1899-12-30T00:13:00"/>
    <x v="1"/>
  </r>
  <r>
    <x v="1"/>
    <s v="Landed 08:47"/>
    <d v="2026-07-04T00:00:00"/>
    <d v="1899-12-30T08:47:00"/>
    <s v="Tallinn"/>
    <s v="Tallinn Lennart Meri Airport"/>
    <s v="Airbus A321-271NX"/>
    <d v="2026-07-04T00:00:00"/>
    <d v="1899-12-30T09:20:00"/>
    <d v="1899-12-30T00:33:00"/>
    <x v="0"/>
  </r>
  <r>
    <x v="14"/>
    <s v="Landed 09:15"/>
    <d v="2026-07-04T00:00:00"/>
    <d v="1899-12-30T09:15:00"/>
    <s v="Oslo"/>
    <s v="Oslo Gardermoen Airport"/>
    <s v="Boeing 737-8JP"/>
    <d v="2026-07-04T00:00:00"/>
    <d v="1899-12-30T09:40:00"/>
    <d v="1899-12-30T00:25:00"/>
    <x v="0"/>
  </r>
  <r>
    <x v="9"/>
    <s v="Landed 09:39"/>
    <d v="2026-07-04T00:00:00"/>
    <d v="1899-12-30T09:39:00"/>
    <s v="Oslo"/>
    <s v="Oslo Gardermoen Airport"/>
    <s v="Boeing 737-8AS"/>
    <d v="2026-07-04T00:00:00"/>
    <d v="1899-12-30T09:55:00"/>
    <d v="1899-12-30T00:16:00"/>
    <x v="0"/>
  </r>
  <r>
    <x v="2"/>
    <s v="Landed 10:27"/>
    <d v="2026-07-04T00:00:00"/>
    <d v="1899-12-30T10:27:00"/>
    <s v="Warsaw"/>
    <s v="Warsaw Chopin Airport"/>
    <s v="Embraer E175STD"/>
    <d v="2026-07-04T00:00:00"/>
    <d v="1899-12-30T10:05:00"/>
    <d v="1899-12-30T00:22:00"/>
    <x v="0"/>
  </r>
  <r>
    <x v="9"/>
    <s v="Landed 10:02"/>
    <d v="2026-07-04T00:00:00"/>
    <d v="1899-12-30T10:02:00"/>
    <s v="Barcelona"/>
    <s v="Barcelona El Prat Airport"/>
    <s v="Boeing 737-8AS"/>
    <d v="2026-07-04T00:00:00"/>
    <d v="1899-12-30T10:15:00"/>
    <d v="1899-12-30T00:13:00"/>
    <x v="1"/>
  </r>
  <r>
    <x v="10"/>
    <s v="Landed 10:37"/>
    <d v="2026-07-04T00:00:00"/>
    <d v="1899-12-30T10:37:00"/>
    <s v="Istanbul"/>
    <s v="Istanbul Airport"/>
    <s v="Boeing 737 MAX 8"/>
    <d v="2026-07-04T00:00:00"/>
    <d v="1899-12-30T10:45:00"/>
    <d v="1899-12-30T00:08:00"/>
    <x v="1"/>
  </r>
  <r>
    <x v="9"/>
    <s v="Landed 10:40"/>
    <d v="2026-07-04T00:00:00"/>
    <d v="1899-12-30T10:40:00"/>
    <s v="Nuremberg"/>
    <s v="Nuremberg Airport"/>
    <s v="Boeing 737-8AS"/>
    <d v="2026-07-04T00:00:00"/>
    <d v="1899-12-30T11:00:00"/>
    <d v="1899-12-30T00:20:00"/>
    <x v="0"/>
  </r>
  <r>
    <x v="9"/>
    <s v="Landed 10:46"/>
    <d v="2026-07-04T00:00:00"/>
    <d v="1899-12-30T10:46:00"/>
    <s v="Berlin"/>
    <s v="Berlin Brandenburg Airport"/>
    <s v="Boeing 737-8AS"/>
    <d v="2026-07-04T00:00:00"/>
    <d v="1899-12-30T11:05:00"/>
    <d v="1899-12-30T00:19:00"/>
    <x v="0"/>
  </r>
  <r>
    <x v="1"/>
    <s v="Landed 11:25"/>
    <d v="2026-07-04T00:00:00"/>
    <d v="1899-12-30T11:25:00"/>
    <s v="Catania"/>
    <s v="Catania Fontanarossa Airport"/>
    <s v="Airbus A321-271NX"/>
    <d v="2026-07-04T00:00:00"/>
    <d v="1899-12-30T11:35:00"/>
    <d v="1899-12-30T00:10:00"/>
    <x v="1"/>
  </r>
  <r>
    <x v="0"/>
    <s v="Landed 12:06"/>
    <d v="2026-07-04T00:00:00"/>
    <d v="1899-12-30T12:06:00"/>
    <s v="Munich"/>
    <s v="Munich Airport"/>
    <s v="Airbus A220-300"/>
    <d v="2026-07-04T00:00:00"/>
    <d v="1899-12-30T12:00:00"/>
    <d v="1899-12-30T00:06:00"/>
    <x v="1"/>
  </r>
  <r>
    <x v="12"/>
    <s v="Landed 12:45"/>
    <d v="2026-07-04T00:00:00"/>
    <d v="1899-12-30T12:45:00"/>
    <s v="Antalya"/>
    <s v="Antalya Airport"/>
    <s v="Airbus A320-232"/>
    <d v="2026-07-04T00:00:00"/>
    <d v="1899-12-30T12:37:00"/>
    <d v="1899-12-30T00:08:00"/>
    <x v="1"/>
  </r>
  <r>
    <x v="11"/>
    <s v="Landed 12:49"/>
    <d v="2026-07-04T00:00:00"/>
    <d v="1899-12-30T12:49:00"/>
    <s v="Frankfurt"/>
    <s v="Frankfurt Airport"/>
    <s v="Airbus A321-231"/>
    <d v="2026-07-04T00:00:00"/>
    <d v="1899-12-30T12:40:00"/>
    <d v="1899-12-30T00:09:00"/>
    <x v="1"/>
  </r>
  <r>
    <x v="13"/>
    <s v="Landed 13:00"/>
    <d v="2026-07-04T00:00:00"/>
    <d v="1899-12-30T13:00:00"/>
    <s v="Patras"/>
    <s v="Patras Araxos Airport"/>
    <s v="Boeing 737-83N"/>
    <d v="2026-07-04T00:00:00"/>
    <d v="1899-12-30T12:45:00"/>
    <d v="1899-12-30T00:15:00"/>
    <x v="1"/>
  </r>
  <r>
    <x v="7"/>
    <s v="Landed 13:38"/>
    <d v="2026-07-04T00:00:00"/>
    <d v="1899-12-30T13:38:00"/>
    <s v="Helsinki"/>
    <s v="Helsinki Vantaa Airport"/>
    <s v="ATR 72-500"/>
    <d v="2026-07-04T00:00:00"/>
    <d v="1899-12-30T13:00:00"/>
    <d v="1899-12-30T00:38:00"/>
    <x v="0"/>
  </r>
  <r>
    <x v="13"/>
    <s v="Landed 13:08"/>
    <d v="2026-07-04T00:00:00"/>
    <d v="1899-12-30T13:08:00"/>
    <s v="Antalya"/>
    <s v="Antalya Airport"/>
    <s v="Boeing 737-85P"/>
    <d v="2026-07-04T00:00:00"/>
    <d v="1899-12-30T13:18:00"/>
    <d v="1899-12-30T00:10:00"/>
    <x v="1"/>
  </r>
  <r>
    <x v="0"/>
    <s v="Landed 13:26"/>
    <d v="2026-07-04T00:00:00"/>
    <d v="1899-12-30T13:26:00"/>
    <s v="Amsterdam"/>
    <s v="Amsterdam Schiphol Airport"/>
    <s v="Airbus A220-300"/>
    <d v="2026-07-04T00:00:00"/>
    <d v="1899-12-30T13:25:00"/>
    <d v="1899-12-30T00:01:00"/>
    <x v="1"/>
  </r>
  <r>
    <x v="9"/>
    <s v="Landed 13:04"/>
    <d v="2026-07-04T00:00:00"/>
    <d v="1899-12-30T13:04:00"/>
    <s v="London"/>
    <s v="London Luton Airport"/>
    <s v="Boeing 737 MAX 8-200"/>
    <d v="2026-07-04T00:00:00"/>
    <d v="1899-12-30T13:25:00"/>
    <d v="1899-12-30T00:21:00"/>
    <x v="0"/>
  </r>
  <r>
    <x v="9"/>
    <s v="Landed 13:21"/>
    <d v="2026-07-04T00:00:00"/>
    <d v="1899-12-30T13:21:00"/>
    <s v="Rome"/>
    <s v="Rome Ciampino Airport"/>
    <s v="Boeing 737 MAX 8-200"/>
    <d v="2026-07-04T00:00:00"/>
    <d v="1899-12-30T13:40:00"/>
    <d v="1899-12-30T00:19:00"/>
    <x v="0"/>
  </r>
  <r>
    <x v="17"/>
    <s v="Landed 13:39"/>
    <d v="2026-07-04T00:00:00"/>
    <d v="1899-12-30T13:39:00"/>
    <s v="Antalya"/>
    <s v="Antalya Airport"/>
    <s v="Airbus A320-232"/>
    <d v="2026-07-04T00:00:00"/>
    <d v="1899-12-30T13:40:00"/>
    <d v="1899-12-30T00:01:00"/>
    <x v="1"/>
  </r>
  <r>
    <x v="2"/>
    <s v="Landed 15:27"/>
    <d v="2026-07-04T00:00:00"/>
    <d v="1899-12-30T15:27:00"/>
    <s v="Warsaw"/>
    <s v="Warsaw Chopin Airport"/>
    <s v="Embraer E190STD"/>
    <d v="2026-07-04T00:00:00"/>
    <d v="1899-12-30T13:50:00"/>
    <d v="1899-12-30T01:37:00"/>
    <x v="0"/>
  </r>
  <r>
    <x v="1"/>
    <s v="Landed 13:57"/>
    <d v="2026-07-04T00:00:00"/>
    <d v="1899-12-30T13:57:00"/>
    <s v="Billund"/>
    <s v="Billund Airport"/>
    <s v="Airbus A321-271NX"/>
    <d v="2026-07-04T00:00:00"/>
    <d v="1899-12-30T14:10:00"/>
    <d v="1899-12-30T00:13:00"/>
    <x v="1"/>
  </r>
  <r>
    <x v="9"/>
    <s v="Landed 14:14"/>
    <d v="2026-07-04T00:00:00"/>
    <d v="1899-12-30T14:14:00"/>
    <s v="Oslo"/>
    <s v="Oslo Gardermoen Airport"/>
    <s v="Boeing 737-8AS"/>
    <d v="2026-07-04T00:00:00"/>
    <d v="1899-12-30T14:30:00"/>
    <d v="1899-12-30T00:16:00"/>
    <x v="0"/>
  </r>
  <r>
    <x v="1"/>
    <s v="Landed 14:18"/>
    <d v="2026-07-04T00:00:00"/>
    <d v="1899-12-30T14:18:00"/>
    <s v="Kutaisi"/>
    <s v="Kutaisi International Airport"/>
    <s v="Airbus A321-271NX"/>
    <d v="2026-07-04T00:00:00"/>
    <d v="1899-12-30T14:35:00"/>
    <d v="1899-12-30T00:17:00"/>
    <x v="0"/>
  </r>
  <r>
    <x v="3"/>
    <s v="Landed 15:17"/>
    <d v="2026-07-04T00:00:00"/>
    <d v="1899-12-30T15:17:00"/>
    <s v="Copenhagen"/>
    <s v="Copenhagen Airport"/>
    <s v="Mitsubishi CRJ-900ER"/>
    <d v="2026-07-04T00:00:00"/>
    <d v="1899-12-30T15:15:00"/>
    <d v="1899-12-30T00:02:00"/>
    <x v="1"/>
  </r>
  <r>
    <x v="9"/>
    <s v="Landed 15:14"/>
    <d v="2026-07-04T00:00:00"/>
    <d v="1899-12-30T15:14:00"/>
    <s v="Venice"/>
    <s v="Venice Treviso Airport"/>
    <s v="Boeing 737-8AS"/>
    <d v="2026-07-04T00:00:00"/>
    <d v="1899-12-30T15:25:00"/>
    <d v="1899-12-30T00:11:00"/>
    <x v="1"/>
  </r>
  <r>
    <x v="0"/>
    <s v="Landed 16:40"/>
    <d v="2026-07-04T00:00:00"/>
    <d v="1899-12-30T16:40:00"/>
    <s v="Riga"/>
    <s v="Riga International Airport"/>
    <s v="Airbus A220-300"/>
    <d v="2026-07-04T00:00:00"/>
    <d v="1899-12-30T16:05:00"/>
    <d v="1899-12-30T00:35:00"/>
    <x v="0"/>
  </r>
  <r>
    <x v="2"/>
    <s v="Landed 16:33"/>
    <d v="2026-07-04T00:00:00"/>
    <d v="1899-12-30T16:33:00"/>
    <s v="Warsaw"/>
    <s v="Warsaw Chopin Airport"/>
    <s v="Embraer E195LR"/>
    <d v="2026-07-04T00:00:00"/>
    <d v="1899-12-30T16:20:00"/>
    <d v="1899-12-30T00:13:00"/>
    <x v="1"/>
  </r>
  <r>
    <x v="9"/>
    <s v="Landed 16:23"/>
    <d v="2026-07-04T00:00:00"/>
    <d v="1899-12-30T16:23:00"/>
    <s v="London"/>
    <s v="London Stansted Airport"/>
    <s v="Boeing 737-8AS"/>
    <d v="2026-07-04T00:00:00"/>
    <d v="1899-12-30T16:35:00"/>
    <d v="1899-12-30T00:12:00"/>
    <x v="1"/>
  </r>
  <r>
    <x v="9"/>
    <s v="Landed 16:42"/>
    <d v="2026-07-04T00:00:00"/>
    <d v="1899-12-30T16:42:00"/>
    <s v="Milan"/>
    <s v="Milan Bergamo Orio al Serio International Airport"/>
    <s v="Boeing 737-8AS"/>
    <d v="2026-07-04T00:00:00"/>
    <d v="1899-12-30T16:55:00"/>
    <d v="1899-12-30T00:13:00"/>
    <x v="1"/>
  </r>
  <r>
    <x v="1"/>
    <s v="Landed 17:09"/>
    <d v="2026-07-04T00:00:00"/>
    <d v="1899-12-30T17:09:00"/>
    <s v="Gdansk"/>
    <s v="Gdansk Lech Walesa Airport"/>
    <s v="Airbus A321-271NX"/>
    <d v="2026-07-04T00:00:00"/>
    <d v="1899-12-30T17:00:00"/>
    <d v="1899-12-30T00:09:00"/>
    <x v="1"/>
  </r>
  <r>
    <x v="7"/>
    <s v="Landed 18:20"/>
    <d v="2026-07-04T00:00:00"/>
    <d v="1899-12-30T18:20:00"/>
    <s v="Helsinki"/>
    <s v="Helsinki Vantaa Airport"/>
    <s v="ATR 72-500"/>
    <d v="2026-07-04T00:00:00"/>
    <d v="1899-12-30T17:55:00"/>
    <d v="1899-12-30T00:25:00"/>
    <x v="0"/>
  </r>
  <r>
    <x v="1"/>
    <s v="Landed 18:02"/>
    <d v="2026-07-04T00:00:00"/>
    <d v="1899-12-30T18:02:00"/>
    <s v="Tirana"/>
    <s v="Tirana International Airport"/>
    <s v="Airbus A321-271NX"/>
    <d v="2026-07-04T00:00:00"/>
    <d v="1899-12-30T18:05:00"/>
    <d v="1899-12-30T00:03:00"/>
    <x v="1"/>
  </r>
  <r>
    <x v="0"/>
    <s v="Landed 18:44"/>
    <d v="2026-07-04T00:00:00"/>
    <d v="1899-12-30T18:44:00"/>
    <s v="Malaga"/>
    <s v="Malaga Costa Del Sol Airport"/>
    <s v="Airbus A220-300"/>
    <d v="2026-07-04T00:00:00"/>
    <d v="1899-12-30T18:20:00"/>
    <d v="1899-12-30T00:24:00"/>
    <x v="0"/>
  </r>
  <r>
    <x v="2"/>
    <s v="Landed 19:12"/>
    <d v="2026-07-04T00:00:00"/>
    <d v="1899-12-30T19:12:00"/>
    <s v="Warsaw"/>
    <s v="Warsaw Chopin Airport"/>
    <s v="Embraer E190STD"/>
    <d v="2026-07-04T00:00:00"/>
    <d v="1899-12-30T18:35:00"/>
    <d v="1899-12-30T00:37:00"/>
    <x v="0"/>
  </r>
  <r>
    <x v="10"/>
    <s v="Landed 19:32"/>
    <d v="2026-07-04T00:00:00"/>
    <d v="1899-12-30T19:32:00"/>
    <s v="Istanbul"/>
    <s v="Istanbul Airport"/>
    <s v="Boeing 737-8F2"/>
    <d v="2026-07-04T00:00:00"/>
    <d v="1899-12-30T19:30:00"/>
    <d v="1899-12-30T00:02:00"/>
    <x v="1"/>
  </r>
  <r>
    <x v="0"/>
    <s v="Landed 19:42"/>
    <d v="2026-07-04T00:00:00"/>
    <d v="1899-12-30T19:42:00"/>
    <s v="Amsterdam"/>
    <s v="Amsterdam Schiphol Airport"/>
    <s v="Airbus A220-300"/>
    <d v="2026-07-04T00:00:00"/>
    <d v="1899-12-30T19:50:00"/>
    <d v="1899-12-30T00:08:00"/>
    <x v="1"/>
  </r>
  <r>
    <x v="1"/>
    <s v="Landed 19:52"/>
    <d v="2026-07-04T00:00:00"/>
    <d v="1899-12-30T19:52:00"/>
    <s v="Dortmund"/>
    <s v="Dortmund Airport"/>
    <s v="Airbus A321-271NX"/>
    <d v="2026-07-04T00:00:00"/>
    <d v="1899-12-30T20:15:00"/>
    <d v="1899-12-30T00:23:00"/>
    <x v="0"/>
  </r>
  <r>
    <x v="0"/>
    <s v="Landed 20:49"/>
    <d v="2026-07-04T00:00:00"/>
    <d v="1899-12-30T20:49:00"/>
    <s v="Riga"/>
    <s v="Riga International Airport"/>
    <s v="Airbus A220-300"/>
    <d v="2026-07-04T00:00:00"/>
    <d v="1899-12-30T20:50:00"/>
    <d v="1899-12-30T00:01:00"/>
    <x v="1"/>
  </r>
  <r>
    <x v="12"/>
    <s v="Landed 21:18"/>
    <d v="2026-07-04T00:00:00"/>
    <d v="1899-12-30T21:18:00"/>
    <s v="Heraklion"/>
    <s v="Heraklion International Airport"/>
    <s v="Airbus A320-232"/>
    <d v="2026-07-04T00:00:00"/>
    <d v="1899-12-30T21:08:00"/>
    <d v="1899-12-30T00:10:00"/>
    <x v="1"/>
  </r>
  <r>
    <x v="7"/>
    <s v="Landed 21:07"/>
    <d v="2026-07-04T00:00:00"/>
    <d v="1899-12-30T21:07:00"/>
    <s v="Helsinki"/>
    <s v="Helsinki Vantaa Airport"/>
    <s v="ATR 72-500"/>
    <d v="2026-07-04T00:00:00"/>
    <d v="1899-12-30T21:10:00"/>
    <d v="1899-12-30T00:03:00"/>
    <x v="1"/>
  </r>
  <r>
    <x v="9"/>
    <s v="Landed 21:30"/>
    <d v="2026-07-04T00:00:00"/>
    <d v="1899-12-30T21:30:00"/>
    <s v="Vienna"/>
    <s v="Vienna International Airport"/>
    <s v="Boeing 737-8AS"/>
    <d v="2026-07-04T00:00:00"/>
    <d v="1899-12-30T21:50:00"/>
    <d v="1899-12-30T00:20:00"/>
    <x v="0"/>
  </r>
  <r>
    <x v="9"/>
    <s v="Landed 21:56"/>
    <d v="2026-07-04T00:00:00"/>
    <d v="1899-12-30T21:56:00"/>
    <s v="Athens"/>
    <s v="Athens Eleftherios Venizelos"/>
    <s v="Boeing 737-8AS"/>
    <d v="2026-07-04T00:00:00"/>
    <d v="1899-12-30T21:55:00"/>
    <d v="1899-12-30T00:01:00"/>
    <x v="1"/>
  </r>
  <r>
    <x v="13"/>
    <s v="Landed 22:01"/>
    <d v="2026-07-04T00:00:00"/>
    <d v="1899-12-30T22:01:00"/>
    <s v="Heraklion"/>
    <s v="Heraklion International Airport"/>
    <s v="Boeing 737-83N"/>
    <d v="2026-07-04T00:00:00"/>
    <d v="1899-12-30T22:03:00"/>
    <d v="1899-12-30T00:02:00"/>
    <x v="1"/>
  </r>
  <r>
    <x v="17"/>
    <s v="Landed 22:32"/>
    <d v="2026-07-04T00:00:00"/>
    <d v="1899-12-30T22:32:00"/>
    <s v="Heraklion"/>
    <s v="Heraklion International Airport"/>
    <s v="Airbus A320-232"/>
    <d v="2026-07-04T00:00:00"/>
    <d v="1899-12-30T22:10:00"/>
    <d v="1899-12-30T00:22:00"/>
    <x v="0"/>
  </r>
  <r>
    <x v="13"/>
    <s v="Landed 22:59"/>
    <d v="2026-07-04T00:00:00"/>
    <d v="1899-12-30T22:59:00"/>
    <s v="Rhodes"/>
    <s v="Rhodes International Airport"/>
    <s v="Boeing 737-85P"/>
    <d v="2026-07-04T00:00:00"/>
    <d v="1899-12-30T22:59:00"/>
    <d v="1899-12-30T00:00:00"/>
    <x v="1"/>
  </r>
  <r>
    <x v="11"/>
    <s v="Landed 23:26"/>
    <d v="2026-07-04T00:00:00"/>
    <d v="1899-12-30T23:26:00"/>
    <s v="Frankfurt"/>
    <s v="Frankfurt Airport"/>
    <s v="Airbus A321-251NX"/>
    <d v="2026-07-04T00:00:00"/>
    <d v="1899-12-30T23:45:00"/>
    <d v="1899-12-30T00:19:00"/>
    <x v="0"/>
  </r>
  <r>
    <x v="1"/>
    <s v="Landed 23:50"/>
    <d v="2026-07-04T00:00:00"/>
    <d v="1899-12-30T23:50:00"/>
    <s v="Bergen"/>
    <s v="Bergen Flesland Airport"/>
    <s v="Airbus A321-271NX"/>
    <d v="2026-07-04T00:00:00"/>
    <d v="1899-12-30T23:55:00"/>
    <d v="1899-12-30T00:05:00"/>
    <x v="1"/>
  </r>
  <r>
    <x v="1"/>
    <s v="Landed 23:56"/>
    <d v="2026-07-04T00:00:00"/>
    <d v="1899-12-30T23:56:00"/>
    <s v="Turku"/>
    <s v="Turku Airport"/>
    <s v="Airbus A321-271NX"/>
    <d v="2026-07-05T00:00:00"/>
    <d v="1899-12-30T00:15:00"/>
    <d v="1899-12-30T00:19:00"/>
    <x v="1"/>
  </r>
  <r>
    <x v="0"/>
    <s v="Landed 01:58"/>
    <d v="2026-07-05T00:00:00"/>
    <d v="1899-12-30T01:58:00"/>
    <s v="Riga"/>
    <s v="Riga International Airport"/>
    <s v="Airbus A220-300"/>
    <d v="2026-07-05T00:00:00"/>
    <d v="1899-12-30T00:30:00"/>
    <d v="1899-12-30T01:28:00"/>
    <x v="0"/>
  </r>
  <r>
    <x v="1"/>
    <s v="Landed 00:18"/>
    <d v="2026-07-05T00:00:00"/>
    <d v="1899-12-30T00:18:00"/>
    <s v="Barcelona"/>
    <s v="Barcelona El Prat Airport"/>
    <s v="Airbus A321-271NX"/>
    <d v="2026-07-05T00:00:00"/>
    <d v="1899-12-30T00:30:00"/>
    <d v="1899-12-30T00:12:00"/>
    <x v="1"/>
  </r>
  <r>
    <x v="2"/>
    <s v="Landed 00:42"/>
    <d v="2026-07-05T00:00:00"/>
    <d v="1899-12-30T00:42:00"/>
    <s v="Warsaw"/>
    <s v="Warsaw Chopin Airport"/>
    <s v="Embraer E175LR"/>
    <d v="2026-07-05T00:00:00"/>
    <d v="1899-12-30T00:40:00"/>
    <d v="1899-12-30T00:02:00"/>
    <x v="1"/>
  </r>
  <r>
    <x v="0"/>
    <s v="Landed 01:19"/>
    <d v="2026-07-05T00:00:00"/>
    <d v="1899-12-30T01:19:00"/>
    <s v="Zurich"/>
    <s v="Zurich Airport"/>
    <s v="Airbus A220-300"/>
    <d v="2026-07-05T00:00:00"/>
    <d v="1899-12-30T01:25:00"/>
    <d v="1899-12-30T00:06:00"/>
    <x v="1"/>
  </r>
  <r>
    <x v="3"/>
    <s v="Landed 01:22"/>
    <d v="2026-07-05T00:00:00"/>
    <d v="1899-12-30T01:22:00"/>
    <s v="Copenhagen"/>
    <s v="Copenhagen Airport"/>
    <s v="Mitsubishi CRJ-900LR"/>
    <d v="2026-07-05T00:00:00"/>
    <d v="1899-12-30T01:25:00"/>
    <d v="1899-12-30T00:03:00"/>
    <x v="1"/>
  </r>
  <r>
    <x v="21"/>
    <s v="Landed 02:07"/>
    <d v="2026-07-05T00:00:00"/>
    <d v="1899-12-30T02:07:00"/>
    <s v="Athens"/>
    <s v="Athens Eleftherios Venizelos"/>
    <s v="Airbus A320-271N"/>
    <d v="2026-07-05T00:00:00"/>
    <d v="1899-12-30T02:10:00"/>
    <d v="1899-12-30T00:03:00"/>
    <x v="1"/>
  </r>
  <r>
    <x v="0"/>
    <s v="Landed 02:43"/>
    <d v="2026-07-05T00:00:00"/>
    <d v="1899-12-30T02:43:00"/>
    <s v="Nice"/>
    <s v="Nice Cote d'Azur Airport"/>
    <s v="Airbus A220-300"/>
    <d v="2026-07-05T00:00:00"/>
    <d v="1899-12-30T02:50:00"/>
    <d v="1899-12-30T00:07:00"/>
    <x v="1"/>
  </r>
  <r>
    <x v="0"/>
    <s v="Landed 03:27"/>
    <d v="2026-07-05T00:00:00"/>
    <d v="1899-12-30T03:27:00"/>
    <s v="Lisbon"/>
    <s v="Lisbon Humberto Delgado Airport"/>
    <s v="Airbus A220-300"/>
    <d v="2026-07-05T00:00:00"/>
    <d v="1899-12-30T03:35:00"/>
    <d v="1899-12-30T00:08:00"/>
    <x v="1"/>
  </r>
  <r>
    <x v="0"/>
    <s v="Landed 03:59"/>
    <d v="2026-07-05T00:00:00"/>
    <d v="1899-12-30T03:59:00"/>
    <s v="Palma de Mallorca"/>
    <s v="Palma de Mallorca Airport"/>
    <s v="Airbus A220-300"/>
    <d v="2026-07-05T00:00:00"/>
    <d v="1899-12-30T04:05:00"/>
    <d v="1899-12-30T00:06:00"/>
    <x v="1"/>
  </r>
  <r>
    <x v="7"/>
    <s v="Landed 08:28"/>
    <d v="2026-07-05T00:00:00"/>
    <d v="1899-12-30T08:28:00"/>
    <s v="Helsinki"/>
    <s v="Helsinki Vantaa Airport"/>
    <s v="Embraer E190LR"/>
    <d v="2026-07-05T00:00:00"/>
    <d v="1899-12-30T08:30:00"/>
    <d v="1899-12-30T00:02:00"/>
    <x v="1"/>
  </r>
  <r>
    <x v="1"/>
    <s v="Landed 08:46"/>
    <d v="2026-07-05T00:00:00"/>
    <d v="1899-12-30T08:46:00"/>
    <s v="Krakow"/>
    <s v="Krakow John Paul II International Airport"/>
    <s v="Airbus A321-271NX"/>
    <d v="2026-07-05T00:00:00"/>
    <d v="1899-12-30T08:50:00"/>
    <d v="1899-12-30T00:04:00"/>
    <x v="1"/>
  </r>
  <r>
    <x v="1"/>
    <s v="Landed 08:52"/>
    <d v="2026-07-05T00:00:00"/>
    <d v="1899-12-30T08:52:00"/>
    <s v="Tallinn"/>
    <s v="Tallinn Lennart Meri Airport"/>
    <s v="Airbus A321-271NX"/>
    <d v="2026-07-05T00:00:00"/>
    <d v="1899-12-30T09:20:00"/>
    <d v="1899-12-30T00:28:00"/>
    <x v="0"/>
  </r>
  <r>
    <x v="9"/>
    <s v="Landed 09:48"/>
    <d v="2026-07-05T00:00:00"/>
    <d v="1899-12-30T09:48:00"/>
    <s v="Malta"/>
    <s v="Malta Luqa International Airport"/>
    <s v="Boeing 737 MAX 8-200"/>
    <d v="2026-07-05T00:00:00"/>
    <d v="1899-12-30T10:00:00"/>
    <d v="1899-12-30T00:12:00"/>
    <x v="1"/>
  </r>
  <r>
    <x v="19"/>
    <s v="Landed 11:20"/>
    <d v="2026-07-05T00:00:00"/>
    <d v="1899-12-30T11:20:00"/>
    <s v="Tel Aviv"/>
    <s v="Tel Aviv Ben Gurion International Airport"/>
    <s v="Airbus A320-232"/>
    <d v="2026-07-05T00:00:00"/>
    <d v="1899-12-30T10:35:00"/>
    <d v="1899-12-30T00:45:00"/>
    <x v="0"/>
  </r>
  <r>
    <x v="10"/>
    <s v="Landed 10:50"/>
    <d v="2026-07-05T00:00:00"/>
    <d v="1899-12-30T10:50:00"/>
    <s v="Istanbul"/>
    <s v="Istanbul Airport"/>
    <s v="Boeing 737 MAX 8"/>
    <d v="2026-07-05T00:00:00"/>
    <d v="1899-12-30T10:45:00"/>
    <d v="1899-12-30T00:05:00"/>
    <x v="1"/>
  </r>
  <r>
    <x v="14"/>
    <s v="Landed 11:04"/>
    <d v="2026-07-05T00:00:00"/>
    <d v="1899-12-30T11:04:00"/>
    <s v="Oslo"/>
    <s v="Oslo Gardermoen Airport"/>
    <s v="Boeing 737-8JP"/>
    <d v="2026-07-05T00:00:00"/>
    <d v="1899-12-30T11:25:00"/>
    <d v="1899-12-30T00:21:00"/>
    <x v="0"/>
  </r>
  <r>
    <x v="0"/>
    <s v="Landed 11:10"/>
    <d v="2026-07-05T00:00:00"/>
    <d v="1899-12-30T11:10:00"/>
    <s v="Prague"/>
    <s v="Prague Vaclav Havel Airport"/>
    <s v="Airbus A220-300"/>
    <d v="2026-07-05T00:00:00"/>
    <d v="1899-12-30T11:35:00"/>
    <d v="1899-12-30T00:25:00"/>
    <x v="0"/>
  </r>
  <r>
    <x v="9"/>
    <s v="Landed 11:22"/>
    <d v="2026-07-05T00:00:00"/>
    <d v="1899-12-30T11:22:00"/>
    <s v="Paris"/>
    <s v="Paris Beauvais-Tille Airport"/>
    <s v="Boeing 737-8AS"/>
    <d v="2026-07-05T00:00:00"/>
    <d v="1899-12-30T11:45:00"/>
    <d v="1899-12-30T00:23:00"/>
    <x v="0"/>
  </r>
  <r>
    <x v="1"/>
    <s v="Landed 11:57"/>
    <d v="2026-07-05T00:00:00"/>
    <d v="1899-12-30T11:57:00"/>
    <s v="Milan"/>
    <s v="Milan Malpensa Airport"/>
    <s v="Airbus A321-271NX"/>
    <d v="2026-07-05T00:00:00"/>
    <d v="1899-12-30T11:45:00"/>
    <d v="1899-12-30T00:12:00"/>
    <x v="1"/>
  </r>
  <r>
    <x v="9"/>
    <s v="Landed 11:45"/>
    <d v="2026-07-05T00:00:00"/>
    <d v="1899-12-30T11:45:00"/>
    <s v="Oslo"/>
    <s v="Oslo Gardermoen Airport"/>
    <s v="Boeing 737-8AS"/>
    <d v="2026-07-05T00:00:00"/>
    <d v="1899-12-30T12:10:00"/>
    <d v="1899-12-30T00:25:00"/>
    <x v="0"/>
  </r>
  <r>
    <x v="17"/>
    <s v="Landed 12:23"/>
    <d v="2026-07-05T00:00:00"/>
    <d v="1899-12-30T12:23:00"/>
    <s v="Tivat"/>
    <s v="Tivat Airport"/>
    <s v="Airbus A320-232"/>
    <d v="2026-07-05T00:00:00"/>
    <d v="1899-12-30T12:10:00"/>
    <d v="1899-12-30T00:13:00"/>
    <x v="1"/>
  </r>
  <r>
    <x v="0"/>
    <s v="Landed 12:16"/>
    <d v="2026-07-05T00:00:00"/>
    <d v="1899-12-30T12:16:00"/>
    <s v="Dusseldorf"/>
    <s v="Dusseldorf Airport"/>
    <s v="Airbus A220-300"/>
    <d v="2026-07-05T00:00:00"/>
    <d v="1899-12-30T12:40:00"/>
    <d v="1899-12-30T00:24:00"/>
    <x v="0"/>
  </r>
  <r>
    <x v="11"/>
    <s v="Landed 12:37"/>
    <d v="2026-07-05T00:00:00"/>
    <d v="1899-12-30T12:37:00"/>
    <s v="Frankfurt"/>
    <s v="Frankfurt Airport"/>
    <s v="Airbus A321-231"/>
    <d v="2026-07-05T00:00:00"/>
    <d v="1899-12-30T12:40:00"/>
    <d v="1899-12-30T00:03:00"/>
    <x v="1"/>
  </r>
  <r>
    <x v="1"/>
    <s v="Landed 12:48"/>
    <d v="2026-07-05T00:00:00"/>
    <d v="1899-12-30T12:48:00"/>
    <s v="London"/>
    <s v="London Luton Airport"/>
    <s v="Airbus A321-271NX"/>
    <d v="2026-07-05T00:00:00"/>
    <d v="1899-12-30T12:50:00"/>
    <d v="1899-12-30T00:02:00"/>
    <x v="1"/>
  </r>
  <r>
    <x v="7"/>
    <s v="Landed 12:55"/>
    <d v="2026-07-05T00:00:00"/>
    <d v="1899-12-30T12:55:00"/>
    <s v="Helsinki"/>
    <s v="Helsinki Vantaa Airport"/>
    <s v="ATR 72-500"/>
    <d v="2026-07-05T00:00:00"/>
    <d v="1899-12-30T13:00:00"/>
    <d v="1899-12-30T00:05:00"/>
    <x v="1"/>
  </r>
  <r>
    <x v="6"/>
    <s v="Landed 12:59"/>
    <d v="2026-07-05T00:00:00"/>
    <d v="1899-12-30T12:59:00"/>
    <s v="Vienna"/>
    <s v="Vienna International Airport"/>
    <s v="Airbus A320-214"/>
    <d v="2026-07-05T00:00:00"/>
    <d v="1899-12-30T13:00:00"/>
    <d v="1899-12-30T00:01:00"/>
    <x v="1"/>
  </r>
  <r>
    <x v="12"/>
    <s v="Landed 12:57"/>
    <d v="2026-07-05T00:00:00"/>
    <d v="1899-12-30T12:57:00"/>
    <s v="Antalya"/>
    <s v="Antalya Airport"/>
    <s v="Airbus A320-232"/>
    <d v="2026-07-05T00:00:00"/>
    <d v="1899-12-30T13:13:00"/>
    <d v="1899-12-30T00:16:00"/>
    <x v="0"/>
  </r>
  <r>
    <x v="13"/>
    <s v="Landed 12:50"/>
    <d v="2026-07-05T00:00:00"/>
    <d v="1899-12-30T12:50:00"/>
    <s v="Lamezia Terme"/>
    <s v="Lamezia Terme Airport"/>
    <s v="Boeing 737-83N"/>
    <d v="2026-07-05T00:00:00"/>
    <d v="1899-12-30T13:16:00"/>
    <d v="1899-12-30T00:26:00"/>
    <x v="0"/>
  </r>
  <r>
    <x v="0"/>
    <s v="Landed 13:21"/>
    <d v="2026-07-05T00:00:00"/>
    <d v="1899-12-30T13:21:00"/>
    <s v="Amsterdam"/>
    <s v="Amsterdam Schiphol Airport"/>
    <s v="Airbus A220-300"/>
    <d v="2026-07-05T00:00:00"/>
    <d v="1899-12-30T13:25:00"/>
    <d v="1899-12-30T00:04:00"/>
    <x v="1"/>
  </r>
  <r>
    <x v="13"/>
    <s v="Landed 13:06"/>
    <d v="2026-07-05T00:00:00"/>
    <d v="1899-12-30T13:06:00"/>
    <s v="Antalya"/>
    <s v="Antalya Airport"/>
    <s v="Boeing 737-85P"/>
    <d v="2026-07-05T00:00:00"/>
    <d v="1899-12-30T13:39:00"/>
    <d v="1899-12-30T00:33:00"/>
    <x v="0"/>
  </r>
  <r>
    <x v="2"/>
    <s v="Landed 14:00"/>
    <d v="2026-07-05T00:00:00"/>
    <d v="1899-12-30T14:00:00"/>
    <s v="Warsaw"/>
    <s v="Warsaw Chopin Airport"/>
    <s v="Embraer E175LR"/>
    <d v="2026-07-05T00:00:00"/>
    <d v="1899-12-30T13:50:00"/>
    <d v="1899-12-30T00:10:00"/>
    <x v="1"/>
  </r>
  <r>
    <x v="1"/>
    <s v="Landed 13:46"/>
    <d v="2026-07-05T00:00:00"/>
    <d v="1899-12-30T13:46:00"/>
    <s v="Budapest"/>
    <s v="Budapest Ferenc Liszt International Airport"/>
    <s v="Airbus A321-271NX"/>
    <d v="2026-07-05T00:00:00"/>
    <d v="1899-12-30T14:10:00"/>
    <d v="1899-12-30T00:24:00"/>
    <x v="0"/>
  </r>
  <r>
    <x v="22"/>
    <s v="Landed 15:05"/>
    <d v="2026-07-05T00:00:00"/>
    <d v="1899-12-30T15:05:00"/>
    <s v="Vienna"/>
    <s v="Vienna International Airport"/>
    <s v="Embraer E195LR"/>
    <d v="2026-07-05T00:00:00"/>
    <d v="1899-12-30T15:10:00"/>
    <d v="1899-12-30T00:05:00"/>
    <x v="1"/>
  </r>
  <r>
    <x v="0"/>
    <s v="Landed 15:43"/>
    <d v="2026-07-05T00:00:00"/>
    <d v="1899-12-30T15:43:00"/>
    <s v="Riga"/>
    <s v="Riga International Airport"/>
    <s v="Airbus A220-300"/>
    <d v="2026-07-05T00:00:00"/>
    <d v="1899-12-30T15:15:00"/>
    <d v="1899-12-30T00:28:00"/>
    <x v="0"/>
  </r>
  <r>
    <x v="3"/>
    <s v="Landed 15:08"/>
    <d v="2026-07-05T00:00:00"/>
    <d v="1899-12-30T15:08:00"/>
    <s v="Copenhagen"/>
    <s v="Copenhagen Airport"/>
    <s v="Mitsubishi CRJ-900LR"/>
    <d v="2026-07-05T00:00:00"/>
    <d v="1899-12-30T15:15:00"/>
    <d v="1899-12-30T00:07:00"/>
    <x v="1"/>
  </r>
  <r>
    <x v="9"/>
    <s v="Landed 16:12"/>
    <d v="2026-07-05T00:00:00"/>
    <d v="1899-12-30T16:12:00"/>
    <s v="Milan"/>
    <s v="Milan Bergamo Orio al Serio International Airport"/>
    <s v="Boeing 737-8AS"/>
    <d v="2026-07-05T00:00:00"/>
    <d v="1899-12-30T16:00:00"/>
    <d v="1899-12-30T00:12:00"/>
    <x v="1"/>
  </r>
  <r>
    <x v="2"/>
    <s v="Landed 16:31"/>
    <d v="2026-07-05T00:00:00"/>
    <d v="1899-12-30T16:31:00"/>
    <s v="Warsaw"/>
    <s v="Warsaw Chopin Airport"/>
    <s v="Embraer E195LR"/>
    <d v="2026-07-05T00:00:00"/>
    <d v="1899-12-30T16:20:00"/>
    <d v="1899-12-30T00:11:00"/>
    <x v="1"/>
  </r>
  <r>
    <x v="9"/>
    <s v="Landed 16:25"/>
    <d v="2026-07-05T00:00:00"/>
    <d v="1899-12-30T16:25:00"/>
    <s v="Berlin"/>
    <s v="Berlin Brandenburg Airport"/>
    <s v="Boeing 737-8AS"/>
    <d v="2026-07-05T00:00:00"/>
    <d v="1899-12-30T16:40:00"/>
    <d v="1899-12-30T00:15:00"/>
    <x v="1"/>
  </r>
  <r>
    <x v="9"/>
    <s v="Landed 16:41"/>
    <d v="2026-07-05T00:00:00"/>
    <d v="1899-12-30T16:41:00"/>
    <s v="Frankfurt"/>
    <s v="Frankfurt Hahn Airport"/>
    <s v="Boeing 737-8AS"/>
    <d v="2026-07-05T00:00:00"/>
    <d v="1899-12-30T16:50:00"/>
    <d v="1899-12-30T00:09:00"/>
    <x v="1"/>
  </r>
  <r>
    <x v="0"/>
    <s v="Landed 16:42"/>
    <d v="2026-07-05T00:00:00"/>
    <d v="1899-12-30T16:42:00"/>
    <s v="Hamburg"/>
    <s v="Hamburg Airport"/>
    <s v="Airbus A220-300"/>
    <d v="2026-07-05T00:00:00"/>
    <d v="1899-12-30T16:55:00"/>
    <d v="1899-12-30T00:13:00"/>
    <x v="1"/>
  </r>
  <r>
    <x v="14"/>
    <s v="Landed 17:22"/>
    <d v="2026-07-05T00:00:00"/>
    <d v="1899-12-30T17:22:00"/>
    <s v="Stockholm"/>
    <s v="Stockholm Arlanda Airport"/>
    <s v="Boeing 737 MAX 8"/>
    <d v="2026-07-05T00:00:00"/>
    <d v="1899-12-30T17:05:00"/>
    <d v="1899-12-30T00:17:00"/>
    <x v="0"/>
  </r>
  <r>
    <x v="9"/>
    <s v="Landed 17:18"/>
    <d v="2026-07-05T00:00:00"/>
    <d v="1899-12-30T17:18:00"/>
    <s v="Venice"/>
    <s v="Venice Treviso Airport"/>
    <s v="Boeing 737-8AS"/>
    <d v="2026-07-05T00:00:00"/>
    <d v="1899-12-30T17:35:00"/>
    <d v="1899-12-30T00:17:00"/>
    <x v="0"/>
  </r>
  <r>
    <x v="10"/>
    <s v="Unknown"/>
    <d v="2026-07-05T00:00:00"/>
    <e v="#N/A"/>
    <s v="Istanbul"/>
    <s v="Istanbul Airport"/>
    <s v="N/A"/>
    <d v="2026-07-05T00:00:00"/>
    <d v="1899-12-30T17:45:00"/>
    <e v="#N/A"/>
    <x v="2"/>
  </r>
  <r>
    <x v="7"/>
    <s v="Landed 18:04"/>
    <d v="2026-07-05T00:00:00"/>
    <d v="1899-12-30T18:04:00"/>
    <s v="Helsinki"/>
    <s v="Helsinki Vantaa Airport"/>
    <s v="ATR 72-500"/>
    <d v="2026-07-05T00:00:00"/>
    <d v="1899-12-30T17:50:00"/>
    <d v="1899-12-30T00:14:00"/>
    <x v="1"/>
  </r>
  <r>
    <x v="0"/>
    <s v="Landed 17:59"/>
    <d v="2026-07-05T00:00:00"/>
    <d v="1899-12-30T17:59:00"/>
    <s v="Brussels"/>
    <s v="Brussels Airport"/>
    <s v="Airbus A220-300"/>
    <d v="2026-07-05T00:00:00"/>
    <d v="1899-12-30T18:00:00"/>
    <d v="1899-12-30T00:01:00"/>
    <x v="1"/>
  </r>
  <r>
    <x v="2"/>
    <s v="Landed 18:45"/>
    <d v="2026-07-05T00:00:00"/>
    <d v="1899-12-30T18:45:00"/>
    <s v="Warsaw"/>
    <s v="Warsaw Chopin Airport"/>
    <s v="Embraer E195LR"/>
    <d v="2026-07-05T00:00:00"/>
    <d v="1899-12-30T18:35:00"/>
    <d v="1899-12-30T00:10:00"/>
    <x v="1"/>
  </r>
  <r>
    <x v="1"/>
    <s v="Landed 18:22"/>
    <d v="2026-07-05T00:00:00"/>
    <d v="1899-12-30T18:22:00"/>
    <s v="Dortmund"/>
    <s v="Dortmund Airport"/>
    <s v="Airbus A321-271NX"/>
    <d v="2026-07-05T00:00:00"/>
    <d v="1899-12-30T18:35:00"/>
    <d v="1899-12-30T00:13:00"/>
    <x v="1"/>
  </r>
  <r>
    <x v="1"/>
    <s v="Landed 19:02"/>
    <d v="2026-07-05T00:00:00"/>
    <d v="1899-12-30T19:02:00"/>
    <s v="Kutaisi"/>
    <s v="Kutaisi International Airport"/>
    <s v="Airbus A321-271NX"/>
    <d v="2026-07-05T00:00:00"/>
    <d v="1899-12-30T18:50:00"/>
    <d v="1899-12-30T00:12:00"/>
    <x v="1"/>
  </r>
  <r>
    <x v="0"/>
    <s v="Landed 18:54"/>
    <d v="2026-07-05T00:00:00"/>
    <d v="1899-12-30T18:54:00"/>
    <s v="Zurich"/>
    <s v="Zurich Airport"/>
    <s v="Airbus A220-300"/>
    <d v="2026-07-05T00:00:00"/>
    <d v="1899-12-30T19:05:00"/>
    <d v="1899-12-30T00:11:00"/>
    <x v="1"/>
  </r>
  <r>
    <x v="1"/>
    <s v="Landed 18:58"/>
    <d v="2026-07-05T00:00:00"/>
    <d v="1899-12-30T18:58:00"/>
    <s v="Gdansk"/>
    <s v="Gdansk Lech Walesa Airport"/>
    <s v="Airbus A321-271NX"/>
    <d v="2026-07-05T00:00:00"/>
    <d v="1899-12-30T19:10:00"/>
    <d v="1899-12-30T00:12:00"/>
    <x v="1"/>
  </r>
  <r>
    <x v="10"/>
    <s v="Landed 19:34"/>
    <d v="2026-07-05T00:00:00"/>
    <d v="1899-12-30T19:34:00"/>
    <s v="Istanbul"/>
    <s v="Istanbul Airport"/>
    <s v="Airbus A321-271NX"/>
    <d v="2026-07-05T00:00:00"/>
    <d v="1899-12-30T19:30:00"/>
    <d v="1899-12-30T00:04:00"/>
    <x v="1"/>
  </r>
  <r>
    <x v="0"/>
    <s v="Landed 19:46"/>
    <d v="2026-07-05T00:00:00"/>
    <d v="1899-12-30T19:46:00"/>
    <s v="Amsterdam"/>
    <s v="Amsterdam Schiphol Airport"/>
    <s v="Airbus A220-300"/>
    <d v="2026-07-05T00:00:00"/>
    <d v="1899-12-30T19:50:00"/>
    <d v="1899-12-30T00:04:00"/>
    <x v="1"/>
  </r>
  <r>
    <x v="12"/>
    <s v="Landed 20:15"/>
    <d v="2026-07-05T00:00:00"/>
    <d v="1899-12-30T20:15:00"/>
    <s v="Tivat"/>
    <s v="Tivat Airport"/>
    <s v="Airbus A320-232"/>
    <d v="2026-07-05T00:00:00"/>
    <d v="1899-12-30T20:09:00"/>
    <d v="1899-12-30T00:06:00"/>
    <x v="1"/>
  </r>
  <r>
    <x v="9"/>
    <s v="Landed 20:25"/>
    <d v="2026-07-05T00:00:00"/>
    <d v="1899-12-30T20:25:00"/>
    <s v="London"/>
    <s v="London Luton Airport"/>
    <s v="Boeing 737 MAX 8-200"/>
    <d v="2026-07-05T00:00:00"/>
    <d v="1899-12-30T20:20:00"/>
    <d v="1899-12-30T00:05:00"/>
    <x v="1"/>
  </r>
  <r>
    <x v="17"/>
    <s v="Landed 20:20"/>
    <d v="2026-07-05T00:00:00"/>
    <d v="1899-12-30T20:20:00"/>
    <s v="Burgas"/>
    <s v="Burgas Airport"/>
    <s v="Airbus A320-232"/>
    <d v="2026-07-05T00:00:00"/>
    <d v="1899-12-30T20:35:00"/>
    <d v="1899-12-30T00:15:00"/>
    <x v="1"/>
  </r>
  <r>
    <x v="7"/>
    <s v="Landed 21:19"/>
    <d v="2026-07-05T00:00:00"/>
    <d v="1899-12-30T21:19:00"/>
    <s v="Helsinki"/>
    <s v="Helsinki Vantaa Airport"/>
    <s v="ATR 72-500"/>
    <d v="2026-07-05T00:00:00"/>
    <d v="1899-12-30T21:10:00"/>
    <d v="1899-12-30T00:09:00"/>
    <x v="1"/>
  </r>
  <r>
    <x v="16"/>
    <s v="Landed 23:27"/>
    <d v="2026-07-05T00:00:00"/>
    <d v="1899-12-30T23:27:00"/>
    <s v="Tel Aviv"/>
    <s v="Tel Aviv Ben Gurion International Airport"/>
    <s v="Airbus A320-232"/>
    <d v="2026-07-05T00:00:00"/>
    <d v="1899-12-30T21:15:00"/>
    <d v="1899-12-30T02:12:00"/>
    <x v="0"/>
  </r>
  <r>
    <x v="1"/>
    <s v="Landed 21:22"/>
    <d v="2026-07-05T00:00:00"/>
    <d v="1899-12-30T21:22:00"/>
    <s v="Nice"/>
    <s v="Nice Cote d'Azur Airport"/>
    <s v="Airbus A321-271NX"/>
    <d v="2026-07-05T00:00:00"/>
    <d v="1899-12-30T21:30:00"/>
    <d v="1899-12-30T00:08:00"/>
    <x v="1"/>
  </r>
  <r>
    <x v="13"/>
    <s v="Landed 22:05"/>
    <d v="2026-07-05T00:00:00"/>
    <d v="1899-12-30T22:05:00"/>
    <s v="Heraklion"/>
    <s v="Heraklion International Airport"/>
    <s v="Boeing 737-83N"/>
    <d v="2026-07-05T00:00:00"/>
    <d v="1899-12-30T22:14:00"/>
    <d v="1899-12-30T00:09:00"/>
    <x v="1"/>
  </r>
  <r>
    <x v="0"/>
    <s v="Landed 22:45"/>
    <d v="2026-07-05T00:00:00"/>
    <d v="1899-12-30T22:45:00"/>
    <s v="Tallinn"/>
    <s v="Tallinn Lennart Meri Airport"/>
    <s v="Airbus A220-300"/>
    <d v="2026-07-05T00:00:00"/>
    <d v="1899-12-30T22:20:00"/>
    <d v="1899-12-30T00:25:00"/>
    <x v="0"/>
  </r>
  <r>
    <x v="2"/>
    <s v="Landed 22:36"/>
    <d v="2026-07-05T00:00:00"/>
    <d v="1899-12-30T22:36:00"/>
    <s v="Warsaw"/>
    <s v="Warsaw Chopin Airport"/>
    <s v="Embraer E195LR"/>
    <d v="2026-07-05T00:00:00"/>
    <d v="1899-12-30T22:20:00"/>
    <d v="1899-12-30T00:16:00"/>
    <x v="0"/>
  </r>
  <r>
    <x v="0"/>
    <s v="Landed 22:48"/>
    <d v="2026-07-05T00:00:00"/>
    <d v="1899-12-30T22:48:00"/>
    <s v="Riga"/>
    <s v="Riga International Airport"/>
    <s v="Airbus A220-300"/>
    <d v="2026-07-05T00:00:00"/>
    <d v="1899-12-30T22:50:00"/>
    <d v="1899-12-30T00:02:00"/>
    <x v="1"/>
  </r>
  <r>
    <x v="9"/>
    <s v="Landed 22:55"/>
    <d v="2026-07-05T00:00:00"/>
    <d v="1899-12-30T22:55:00"/>
    <s v="London"/>
    <s v="London Stansted Airport"/>
    <s v="Boeing 737-8AS"/>
    <d v="2026-07-05T00:00:00"/>
    <d v="1899-12-30T23:00:00"/>
    <d v="1899-12-30T00:05:00"/>
    <x v="1"/>
  </r>
  <r>
    <x v="20"/>
    <s v="Landed 23:20"/>
    <d v="2026-07-05T00:00:00"/>
    <d v="1899-12-30T23:20:00"/>
    <s v="Antalya"/>
    <s v="Antalya Airport"/>
    <s v="Boeing 777-31H(ER)"/>
    <d v="2026-07-05T00:00:00"/>
    <d v="1899-12-30T23:28:00"/>
    <d v="1899-12-30T00:08:00"/>
    <x v="1"/>
  </r>
  <r>
    <x v="11"/>
    <s v="Landed 23:17"/>
    <d v="2026-07-05T00:00:00"/>
    <d v="1899-12-30T23:17:00"/>
    <s v="Frankfurt"/>
    <s v="Frankfurt Airport"/>
    <s v="Airbus A320-214"/>
    <d v="2026-07-05T00:00:00"/>
    <d v="1899-12-30T23:30:00"/>
    <d v="1899-12-30T00:13:00"/>
    <x v="1"/>
  </r>
  <r>
    <x v="0"/>
    <s v="Landed 23:44"/>
    <d v="2026-07-05T00:00:00"/>
    <d v="1899-12-30T23:44:00"/>
    <s v="Paris"/>
    <s v="Paris Charles de Gaulle Airport"/>
    <s v="Airbus A220-300"/>
    <d v="2026-07-05T00:00:00"/>
    <d v="1899-12-30T23:55:00"/>
    <d v="1899-12-30T00:11:00"/>
    <x v="1"/>
  </r>
  <r>
    <x v="0"/>
    <s v="Landed 00:55"/>
    <d v="2026-07-06T00:00:00"/>
    <d v="1899-12-30T00:55:00"/>
    <s v="Riga"/>
    <s v="Riga International Airport"/>
    <s v="Airbus A220-300"/>
    <d v="2026-07-06T00:00:00"/>
    <d v="1899-12-30T00:30:00"/>
    <d v="1899-12-30T00:25:00"/>
    <x v="0"/>
  </r>
  <r>
    <x v="1"/>
    <s v="Landed 00:41"/>
    <d v="2026-07-06T00:00:00"/>
    <d v="1899-12-30T00:41:00"/>
    <s v="Barcelona"/>
    <s v="Barcelona El Prat Airport"/>
    <s v="Airbus A321-271NX"/>
    <d v="2026-07-06T00:00:00"/>
    <d v="1899-12-30T00:30:00"/>
    <d v="1899-12-30T00:11:00"/>
    <x v="1"/>
  </r>
  <r>
    <x v="2"/>
    <s v="Landed 00:52"/>
    <d v="2026-07-06T00:00:00"/>
    <d v="1899-12-30T00:52:00"/>
    <s v="Warsaw"/>
    <s v="Warsaw Chopin Airport"/>
    <s v="Boeing 737-89P"/>
    <d v="2026-07-06T00:00:00"/>
    <d v="1899-12-30T00:40:00"/>
    <d v="1899-12-30T00:12:00"/>
    <x v="1"/>
  </r>
  <r>
    <x v="13"/>
    <s v="Landed 00:09"/>
    <d v="2026-07-06T00:00:00"/>
    <d v="1899-12-30T00:09:00"/>
    <s v="Antalya"/>
    <s v="Antalya Airport"/>
    <s v="Boeing 737-85P"/>
    <d v="2026-07-06T00:00:00"/>
    <d v="1899-12-30T00:40:00"/>
    <d v="1899-12-30T00:31:00"/>
    <x v="0"/>
  </r>
  <r>
    <x v="0"/>
    <s v="Landed 00:36"/>
    <d v="2026-07-06T00:00:00"/>
    <d v="1899-12-30T00:36:00"/>
    <s v="Munich"/>
    <s v="Munich Airport"/>
    <s v="Airbus A220-300"/>
    <d v="2026-07-06T00:00:00"/>
    <d v="1899-12-30T00:45:00"/>
    <d v="1899-12-30T00:09:00"/>
    <x v="1"/>
  </r>
  <r>
    <x v="9"/>
    <s v="Landed 01:09"/>
    <d v="2026-07-06T00:00:00"/>
    <d v="1899-12-30T01:09:00"/>
    <s v="Athens"/>
    <s v="Athens Eleftherios Venizelos"/>
    <s v="Boeing 737-8AS"/>
    <d v="2026-07-06T00:00:00"/>
    <d v="1899-12-30T01:00:00"/>
    <d v="1899-12-30T00:09:00"/>
    <x v="1"/>
  </r>
  <r>
    <x v="0"/>
    <s v="Landed 01:26"/>
    <d v="2026-07-06T00:00:00"/>
    <d v="1899-12-30T01:26:00"/>
    <s v="Zurich"/>
    <s v="Zurich Airport"/>
    <s v="Airbus A220-300"/>
    <d v="2026-07-06T00:00:00"/>
    <d v="1899-12-30T01:25:00"/>
    <d v="1899-12-30T00:01:00"/>
    <x v="1"/>
  </r>
  <r>
    <x v="23"/>
    <s v="Landed 01:12"/>
    <d v="2026-07-06T00:00:00"/>
    <d v="1899-12-30T01:12:00"/>
    <s v="Copenhagen"/>
    <s v="Copenhagen Airport"/>
    <s v="Mitsubishi CRJ-1000EL"/>
    <d v="2026-07-06T00:00:00"/>
    <d v="1899-12-30T01:25:00"/>
    <d v="1899-12-30T00:13:00"/>
    <x v="1"/>
  </r>
  <r>
    <x v="1"/>
    <s v="Landed 01:06"/>
    <d v="2026-07-06T00:00:00"/>
    <d v="1899-12-30T01:06:00"/>
    <s v="Podgorica"/>
    <s v="Podgorica Airport"/>
    <s v="Airbus A321-271NX"/>
    <d v="2026-07-06T00:00:00"/>
    <d v="1899-12-30T01:25:00"/>
    <d v="1899-12-30T00:19:00"/>
    <x v="0"/>
  </r>
  <r>
    <x v="13"/>
    <s v="Landed 04:43"/>
    <d v="2026-07-06T00:00:00"/>
    <d v="1899-12-30T04:43:00"/>
    <s v="Malta"/>
    <s v="Malta Luqa International Airport"/>
    <s v="Airbus A321-211"/>
    <d v="2026-07-06T00:00:00"/>
    <d v="1899-12-30T04:06:00"/>
    <d v="1899-12-30T00:37:00"/>
    <x v="0"/>
  </r>
  <r>
    <x v="12"/>
    <s v="Landed 04:17"/>
    <d v="2026-07-06T00:00:00"/>
    <d v="1899-12-30T04:17:00"/>
    <s v="Forli"/>
    <s v="Forli Airport"/>
    <s v="Airbus A320-214"/>
    <d v="2026-07-06T00:00:00"/>
    <d v="1899-12-30T04:18:00"/>
    <d v="1899-12-30T00:01:00"/>
    <x v="1"/>
  </r>
  <r>
    <x v="24"/>
    <s v="Landed 05:14"/>
    <d v="2026-07-06T00:00:00"/>
    <d v="1899-12-30T05:14:00"/>
    <s v="Leipzig"/>
    <s v="Leipzig Halle Airport"/>
    <s v="Boeing 737-8K2(SF)"/>
    <d v="2026-07-06T00:00:00"/>
    <d v="1899-12-30T05:30:00"/>
    <d v="1899-12-30T00:16:00"/>
    <x v="0"/>
  </r>
  <r>
    <x v="0"/>
    <s v="Landed 07:59"/>
    <d v="2026-07-06T00:00:00"/>
    <d v="1899-12-30T07:59:00"/>
    <s v="Tallinn"/>
    <s v="Tallinn Lennart Meri Airport"/>
    <s v="Airbus A220-300"/>
    <d v="2026-07-06T00:00:00"/>
    <d v="1899-12-30T08:15:00"/>
    <d v="1899-12-30T00:16:00"/>
    <x v="0"/>
  </r>
  <r>
    <x v="0"/>
    <s v="Landed 08:43"/>
    <d v="2026-07-06T00:00:00"/>
    <d v="1899-12-30T08:43:00"/>
    <s v="Riga"/>
    <s v="Riga International Airport"/>
    <s v="Airbus A220-300"/>
    <d v="2026-07-06T00:00:00"/>
    <d v="1899-12-30T08:40:00"/>
    <d v="1899-12-30T00:03:00"/>
    <x v="1"/>
  </r>
  <r>
    <x v="9"/>
    <s v="Landed 08:33"/>
    <d v="2026-07-06T00:00:00"/>
    <d v="1899-12-30T08:33:00"/>
    <s v="Corfu"/>
    <s v="Corfu International Airport"/>
    <s v="Boeing 737 MAX 8-200"/>
    <d v="2026-07-06T00:00:00"/>
    <d v="1899-12-30T08:45:00"/>
    <d v="1899-12-30T00:12:00"/>
    <x v="1"/>
  </r>
  <r>
    <x v="1"/>
    <s v="Landed 08:39"/>
    <d v="2026-07-06T00:00:00"/>
    <d v="1899-12-30T08:39:00"/>
    <s v="Krakow"/>
    <s v="Krakow John Paul II International Airport"/>
    <s v="Airbus A321-271NX"/>
    <d v="2026-07-06T00:00:00"/>
    <d v="1899-12-30T08:50:00"/>
    <d v="1899-12-30T00:11:00"/>
    <x v="1"/>
  </r>
  <r>
    <x v="7"/>
    <s v="Landed 09:21"/>
    <d v="2026-07-06T00:00:00"/>
    <d v="1899-12-30T09:21:00"/>
    <s v="Helsinki"/>
    <s v="Helsinki Vantaa Airport"/>
    <s v="ATR 72-500"/>
    <d v="2026-07-06T00:00:00"/>
    <d v="1899-12-30T09:20:00"/>
    <d v="1899-12-30T00:01:00"/>
    <x v="1"/>
  </r>
  <r>
    <x v="1"/>
    <s v="Landed 09:06"/>
    <d v="2026-07-06T00:00:00"/>
    <d v="1899-12-30T09:06:00"/>
    <s v="Tallinn"/>
    <s v="Tallinn Lennart Meri Airport"/>
    <s v="Airbus A321-271NX"/>
    <d v="2026-07-06T00:00:00"/>
    <d v="1899-12-30T09:20:00"/>
    <d v="1899-12-30T00:14:00"/>
    <x v="1"/>
  </r>
  <r>
    <x v="9"/>
    <s v="Landed 09:34"/>
    <d v="2026-07-06T00:00:00"/>
    <d v="1899-12-30T09:34:00"/>
    <s v="Oslo"/>
    <s v="Oslo Gardermoen Airport"/>
    <s v="Boeing 737-8AS"/>
    <d v="2026-07-06T00:00:00"/>
    <d v="1899-12-30T09:55:00"/>
    <d v="1899-12-30T00:21:00"/>
    <x v="0"/>
  </r>
  <r>
    <x v="25"/>
    <s v="Landed 09:56"/>
    <d v="2026-07-06T00:00:00"/>
    <d v="1899-12-30T09:56:00"/>
    <s v="Malta"/>
    <s v="Malta Luqa International Airport"/>
    <s v="Boeing 737 MAX 8-200"/>
    <d v="2026-07-06T00:00:00"/>
    <d v="1899-12-30T10:00:00"/>
    <d v="1899-12-30T00:04:00"/>
    <x v="1"/>
  </r>
  <r>
    <x v="10"/>
    <s v="Landed 10:31"/>
    <d v="2026-07-06T00:00:00"/>
    <d v="1899-12-30T10:31:00"/>
    <s v="Istanbul"/>
    <s v="Istanbul Airport"/>
    <s v="Boeing 737-8F2"/>
    <d v="2026-07-06T00:00:00"/>
    <d v="1899-12-30T10:45:00"/>
    <d v="1899-12-30T00:14:00"/>
    <x v="1"/>
  </r>
  <r>
    <x v="9"/>
    <s v="Landed 10:52"/>
    <d v="2026-07-06T00:00:00"/>
    <d v="1899-12-30T10:52:00"/>
    <s v="Milan"/>
    <s v="Milan Bergamo Orio al Serio International Airport"/>
    <s v="Boeing 737-8AS"/>
    <d v="2026-07-06T00:00:00"/>
    <d v="1899-12-30T10:55:00"/>
    <d v="1899-12-30T00:03:00"/>
    <x v="1"/>
  </r>
  <r>
    <x v="9"/>
    <s v="Landed 10:54"/>
    <d v="2026-07-06T00:00:00"/>
    <d v="1899-12-30T10:54:00"/>
    <s v="London"/>
    <s v="London Luton Airport"/>
    <s v="Boeing 737 MAX 8-200"/>
    <d v="2026-07-06T00:00:00"/>
    <d v="1899-12-30T11:05:00"/>
    <d v="1899-12-30T00:11:00"/>
    <x v="1"/>
  </r>
  <r>
    <x v="9"/>
    <s v="Landed 11:21"/>
    <d v="2026-07-06T00:00:00"/>
    <d v="1899-12-30T11:21:00"/>
    <s v="Berlin"/>
    <s v="Berlin Brandenburg Airport"/>
    <s v="Boeing 737-8AS"/>
    <d v="2026-07-06T00:00:00"/>
    <d v="1899-12-30T11:45:00"/>
    <d v="1899-12-30T00:24:00"/>
    <x v="0"/>
  </r>
  <r>
    <x v="13"/>
    <s v="Landed 11:39"/>
    <d v="2026-07-06T00:00:00"/>
    <d v="1899-12-30T11:39:00"/>
    <s v="Heraklion"/>
    <s v="Heraklion International Airport"/>
    <s v="Boeing 737-85P"/>
    <d v="2026-07-06T00:00:00"/>
    <d v="1899-12-30T11:56:00"/>
    <d v="1899-12-30T00:17:00"/>
    <x v="0"/>
  </r>
  <r>
    <x v="11"/>
    <s v="Landed 12:38"/>
    <d v="2026-07-06T00:00:00"/>
    <d v="1899-12-30T12:38:00"/>
    <s v="Frankfurt"/>
    <s v="Frankfurt Airport"/>
    <s v="Airbus A320-271N"/>
    <d v="2026-07-06T00:00:00"/>
    <d v="1899-12-30T12:40:00"/>
    <d v="1899-12-30T00:02:00"/>
    <x v="1"/>
  </r>
  <r>
    <x v="0"/>
    <s v="Landed 15:16"/>
    <d v="2026-07-06T00:00:00"/>
    <d v="1899-12-30T15:16:00"/>
    <s v="Munich"/>
    <s v="Munich Airport"/>
    <s v="Airbus A220-300"/>
    <d v="2026-07-06T00:00:00"/>
    <d v="1899-12-30T12:45:00"/>
    <d v="1899-12-30T02:31:00"/>
    <x v="0"/>
  </r>
  <r>
    <x v="26"/>
    <s v="Landed 12:50"/>
    <d v="2026-07-06T00:00:00"/>
    <d v="1899-12-30T12:50:00"/>
    <s v="Helsinki"/>
    <s v="Helsinki Vantaa Airport"/>
    <s v="Airbus A330-243F"/>
    <d v="2026-07-06T00:00:00"/>
    <d v="1899-12-30T12:45:00"/>
    <d v="1899-12-30T00:05:00"/>
    <x v="1"/>
  </r>
  <r>
    <x v="1"/>
    <s v="Landed 12:28"/>
    <d v="2026-07-06T00:00:00"/>
    <d v="1899-12-30T12:28:00"/>
    <s v="London"/>
    <s v="London Luton Airport"/>
    <s v="Airbus A321-271NX"/>
    <d v="2026-07-06T00:00:00"/>
    <d v="1899-12-30T12:50:00"/>
    <d v="1899-12-30T00:22:00"/>
    <x v="0"/>
  </r>
  <r>
    <x v="7"/>
    <s v="Landed 13:03"/>
    <d v="2026-07-06T00:00:00"/>
    <d v="1899-12-30T13:03:00"/>
    <s v="Helsinki"/>
    <s v="Helsinki Vantaa Airport"/>
    <s v="ATR 72-500"/>
    <d v="2026-07-06T00:00:00"/>
    <d v="1899-12-30T13:00:00"/>
    <d v="1899-12-30T00:03:00"/>
    <x v="1"/>
  </r>
  <r>
    <x v="9"/>
    <s v="Landed 12:47"/>
    <d v="2026-07-06T00:00:00"/>
    <d v="1899-12-30T12:47:00"/>
    <s v="London"/>
    <s v="London Stansted Airport"/>
    <s v="Boeing 737-8AS"/>
    <d v="2026-07-06T00:00:00"/>
    <d v="1899-12-30T13:00:00"/>
    <d v="1899-12-30T00:13:00"/>
    <x v="1"/>
  </r>
  <r>
    <x v="12"/>
    <s v="Landed 12:59"/>
    <d v="2026-07-06T00:00:00"/>
    <d v="1899-12-30T12:59:00"/>
    <s v="Antalya"/>
    <s v="Antalya Airport"/>
    <s v="Airbus A320-232"/>
    <d v="2026-07-06T00:00:00"/>
    <d v="1899-12-30T13:12:00"/>
    <d v="1899-12-30T00:13:00"/>
    <x v="1"/>
  </r>
  <r>
    <x v="0"/>
    <s v="Landed 13:14"/>
    <d v="2026-07-06T00:00:00"/>
    <d v="1899-12-30T13:14:00"/>
    <s v="Amsterdam"/>
    <s v="Amsterdam Schiphol Airport"/>
    <s v="Airbus A220-300"/>
    <d v="2026-07-06T00:00:00"/>
    <d v="1899-12-30T13:25:00"/>
    <d v="1899-12-30T00:11:00"/>
    <x v="1"/>
  </r>
  <r>
    <x v="13"/>
    <s v="Landed 13:12"/>
    <d v="2026-07-06T00:00:00"/>
    <d v="1899-12-30T13:12:00"/>
    <s v="Antalya"/>
    <s v="Antalya Airport"/>
    <s v="Boeing 737-83N"/>
    <d v="2026-07-06T00:00:00"/>
    <d v="1899-12-30T13:31:00"/>
    <d v="1899-12-30T00:19:00"/>
    <x v="0"/>
  </r>
  <r>
    <x v="0"/>
    <s v="Landed 13:32"/>
    <d v="2026-07-06T00:00:00"/>
    <d v="1899-12-30T13:32:00"/>
    <s v="Paris"/>
    <s v="Paris Charles de Gaulle Airport"/>
    <s v="Airbus A220-300"/>
    <d v="2026-07-06T00:00:00"/>
    <d v="1899-12-30T13:40:00"/>
    <d v="1899-12-30T00:08:00"/>
    <x v="1"/>
  </r>
  <r>
    <x v="27"/>
    <s v="Landed 13:06"/>
    <d v="2026-07-06T00:00:00"/>
    <d v="1899-12-30T13:06:00"/>
    <s v="Antalya"/>
    <s v="Antalya Airport"/>
    <s v="Airbus A320-232"/>
    <d v="2026-07-06T00:00:00"/>
    <d v="1899-12-30T13:40:00"/>
    <d v="1899-12-30T00:34:00"/>
    <x v="0"/>
  </r>
  <r>
    <x v="2"/>
    <s v="Landed 13:56"/>
    <d v="2026-07-06T00:00:00"/>
    <d v="1899-12-30T13:56:00"/>
    <s v="Warsaw"/>
    <s v="Warsaw Chopin Airport"/>
    <s v="Embraer E195-E2"/>
    <d v="2026-07-06T00:00:00"/>
    <d v="1899-12-30T13:50:00"/>
    <d v="1899-12-30T00:06:00"/>
    <x v="1"/>
  </r>
  <r>
    <x v="1"/>
    <s v="Landed 13:53"/>
    <d v="2026-07-06T00:00:00"/>
    <d v="1899-12-30T13:53:00"/>
    <s v="Budapest"/>
    <s v="Budapest Ferenc Liszt International Airport"/>
    <s v="Airbus A321-271NX"/>
    <d v="2026-07-06T00:00:00"/>
    <d v="1899-12-30T14:10:00"/>
    <d v="1899-12-30T00:17:00"/>
    <x v="0"/>
  </r>
  <r>
    <x v="9"/>
    <s v="Landed 14:28"/>
    <d v="2026-07-06T00:00:00"/>
    <d v="1899-12-30T14:28:00"/>
    <s v="Oslo"/>
    <s v="Oslo Gardermoen Airport"/>
    <s v="Boeing 737-8AS"/>
    <d v="2026-07-06T00:00:00"/>
    <d v="1899-12-30T14:45:00"/>
    <d v="1899-12-30T00:17:00"/>
    <x v="0"/>
  </r>
  <r>
    <x v="22"/>
    <s v="Landed 15:18"/>
    <d v="2026-07-06T00:00:00"/>
    <d v="1899-12-30T15:18:00"/>
    <s v="Vienna"/>
    <s v="Vienna International Airport"/>
    <s v="Airbus A320-214"/>
    <d v="2026-07-06T00:00:00"/>
    <d v="1899-12-30T15:10:00"/>
    <d v="1899-12-30T00:08:00"/>
    <x v="1"/>
  </r>
  <r>
    <x v="3"/>
    <s v="Landed 15:06"/>
    <d v="2026-07-06T00:00:00"/>
    <d v="1899-12-30T15:06:00"/>
    <s v="Copenhagen"/>
    <s v="Copenhagen Airport"/>
    <s v="Mitsubishi CRJ-900LR"/>
    <d v="2026-07-06T00:00:00"/>
    <d v="1899-12-30T15:15:00"/>
    <d v="1899-12-30T00:09:00"/>
    <x v="1"/>
  </r>
  <r>
    <x v="9"/>
    <s v="Landed 15:25"/>
    <d v="2026-07-06T00:00:00"/>
    <d v="1899-12-30T15:25:00"/>
    <s v="Rome"/>
    <s v="Rome Ciampino Airport"/>
    <s v="Boeing 737 MAX 8-200"/>
    <d v="2026-07-06T00:00:00"/>
    <d v="1899-12-30T15:25:00"/>
    <d v="1899-12-30T00:00:00"/>
    <x v="1"/>
  </r>
  <r>
    <x v="0"/>
    <s v="Landed 15:11"/>
    <d v="2026-07-06T00:00:00"/>
    <d v="1899-12-30T15:11:00"/>
    <s v="Brussels"/>
    <s v="Brussels Airport"/>
    <s v="Airbus A220-300"/>
    <d v="2026-07-06T00:00:00"/>
    <d v="1899-12-30T15:25:00"/>
    <d v="1899-12-30T00:14:00"/>
    <x v="1"/>
  </r>
  <r>
    <x v="1"/>
    <s v="Landed 15:44"/>
    <d v="2026-07-06T00:00:00"/>
    <d v="1899-12-30T15:44:00"/>
    <s v="Malaga"/>
    <s v="Malaga Costa Del Sol Airport"/>
    <s v="Airbus A321-271NX"/>
    <d v="2026-07-06T00:00:00"/>
    <d v="1899-12-30T15:35:00"/>
    <d v="1899-12-30T00:09:00"/>
    <x v="1"/>
  </r>
  <r>
    <x v="0"/>
    <s v="Landed 15:49"/>
    <d v="2026-07-06T00:00:00"/>
    <d v="1899-12-30T15:49:00"/>
    <s v="Riga"/>
    <s v="Riga International Airport"/>
    <s v="Airbus A220-300"/>
    <d v="2026-07-06T00:00:00"/>
    <d v="1899-12-30T16:05:00"/>
    <d v="1899-12-30T00:16:00"/>
    <x v="0"/>
  </r>
  <r>
    <x v="2"/>
    <s v="Landed 16:18"/>
    <d v="2026-07-06T00:00:00"/>
    <d v="1899-12-30T16:18:00"/>
    <s v="Warsaw"/>
    <s v="Warsaw Chopin Airport"/>
    <s v="Embraer E175LR"/>
    <d v="2026-07-06T00:00:00"/>
    <d v="1899-12-30T16:20:00"/>
    <d v="1899-12-30T00:02:00"/>
    <x v="1"/>
  </r>
  <r>
    <x v="9"/>
    <s v="Landed 16:51"/>
    <d v="2026-07-06T00:00:00"/>
    <d v="1899-12-30T16:51:00"/>
    <s v="Eindhoven"/>
    <s v="Eindhoven Airport"/>
    <s v="Boeing 737-8AS"/>
    <d v="2026-07-06T00:00:00"/>
    <d v="1899-12-30T17:05:00"/>
    <d v="1899-12-30T00:14:00"/>
    <x v="1"/>
  </r>
  <r>
    <x v="7"/>
    <s v="Landed 17:49"/>
    <d v="2026-07-06T00:00:00"/>
    <d v="1899-12-30T17:49:00"/>
    <s v="Helsinki"/>
    <s v="Helsinki Vantaa Airport"/>
    <s v="ATR 72-500"/>
    <d v="2026-07-06T00:00:00"/>
    <d v="1899-12-30T17:50:00"/>
    <d v="1899-12-30T00:01:00"/>
    <x v="1"/>
  </r>
  <r>
    <x v="2"/>
    <s v="Landed 18:29"/>
    <d v="2026-07-06T00:00:00"/>
    <d v="1899-12-30T18:29:00"/>
    <s v="Warsaw"/>
    <s v="Warsaw Chopin Airport"/>
    <s v="Embraer E175LR"/>
    <d v="2026-07-06T00:00:00"/>
    <d v="1899-12-30T18:35:00"/>
    <d v="1899-12-30T00:06:00"/>
    <x v="1"/>
  </r>
  <r>
    <x v="28"/>
    <s v="Landed 20:06"/>
    <d v="2026-07-06T00:00:00"/>
    <d v="1899-12-30T20:06:00"/>
    <s v="Tel Aviv"/>
    <s v="Tel Aviv Ben Gurion International Airport"/>
    <s v="Airbus A320-214"/>
    <d v="2026-07-06T00:00:00"/>
    <d v="1899-12-30T18:45:00"/>
    <d v="1899-12-30T01:21:00"/>
    <x v="0"/>
  </r>
  <r>
    <x v="1"/>
    <s v="Landed 18:22"/>
    <d v="2026-07-06T00:00:00"/>
    <d v="1899-12-30T18:22:00"/>
    <s v="Eindhoven"/>
    <s v="Eindhoven Airport"/>
    <s v="Airbus A321-271NX"/>
    <d v="2026-07-06T00:00:00"/>
    <d v="1899-12-30T18:45:00"/>
    <d v="1899-12-30T00:23:00"/>
    <x v="0"/>
  </r>
  <r>
    <x v="11"/>
    <s v="Landed 18:47"/>
    <d v="2026-07-06T00:00:00"/>
    <d v="1899-12-30T18:47:00"/>
    <s v="Frankfurt"/>
    <s v="Frankfurt Airport"/>
    <s v="Airbus A320-271N"/>
    <d v="2026-07-06T00:00:00"/>
    <d v="1899-12-30T18:55:00"/>
    <d v="1899-12-30T00:08:00"/>
    <x v="1"/>
  </r>
  <r>
    <x v="10"/>
    <s v="Landed 19:18"/>
    <d v="2026-07-06T00:00:00"/>
    <d v="1899-12-30T19:18:00"/>
    <s v="Istanbul"/>
    <s v="Istanbul Airport"/>
    <s v="Boeing 737-8F2"/>
    <d v="2026-07-06T00:00:00"/>
    <d v="1899-12-30T19:30:00"/>
    <d v="1899-12-30T00:12:00"/>
    <x v="1"/>
  </r>
  <r>
    <x v="0"/>
    <s v="Landed 19:54"/>
    <d v="2026-07-06T00:00:00"/>
    <d v="1899-12-30T19:54:00"/>
    <s v="Amsterdam"/>
    <s v="Amsterdam Schiphol Airport"/>
    <s v="Airbus A220-300"/>
    <d v="2026-07-06T00:00:00"/>
    <d v="1899-12-30T19:50:00"/>
    <d v="1899-12-30T00:04:00"/>
    <x v="1"/>
  </r>
  <r>
    <x v="9"/>
    <s v="Landed 20:10"/>
    <d v="2026-07-06T00:00:00"/>
    <d v="1899-12-30T20:10:00"/>
    <s v="Frankfurt"/>
    <s v="Frankfurt Hahn Airport"/>
    <s v="Boeing 737-8AS"/>
    <d v="2026-07-06T00:00:00"/>
    <d v="1899-12-30T20:30:00"/>
    <d v="1899-12-30T00:20:00"/>
    <x v="0"/>
  </r>
  <r>
    <x v="15"/>
    <s v="Landed 20:16"/>
    <d v="2026-07-06T00:00:00"/>
    <d v="1899-12-30T20:16:00"/>
    <s v="Suwalki"/>
    <s v="Suwalki Airport"/>
    <s v="Cirrus SR22T"/>
    <d v="2026-07-06T00:00:00"/>
    <d v="1899-12-30T20:31:00"/>
    <d v="1899-12-30T00:15:00"/>
    <x v="1"/>
  </r>
  <r>
    <x v="7"/>
    <s v="Landed 21:10"/>
    <d v="2026-07-06T00:00:00"/>
    <d v="1899-12-30T21:10:00"/>
    <s v="Helsinki"/>
    <s v="Helsinki Vantaa Airport"/>
    <s v="ATR 72-500"/>
    <d v="2026-07-06T00:00:00"/>
    <d v="1899-12-30T21:10:00"/>
    <d v="1899-12-30T00:00:00"/>
    <x v="1"/>
  </r>
  <r>
    <x v="9"/>
    <s v="Landed 21:40"/>
    <d v="2026-07-06T00:00:00"/>
    <d v="1899-12-30T21:40:00"/>
    <s v="Milan"/>
    <s v="Milan Bergamo Orio al Serio International Airport"/>
    <s v="Boeing 737 MAX 8-200"/>
    <d v="2026-07-06T00:00:00"/>
    <d v="1899-12-30T21:20:00"/>
    <d v="1899-12-30T00:20:00"/>
    <x v="0"/>
  </r>
  <r>
    <x v="15"/>
    <s v="Unknown"/>
    <d v="2026-07-06T00:00:00"/>
    <e v="#N/A"/>
    <s v="Luxembourg"/>
    <s v="Luxembourg Findel Airport"/>
    <s v="Eclipse 500"/>
    <d v="2026-07-06T00:00:00"/>
    <d v="1899-12-30T21:37:00"/>
    <e v="#N/A"/>
    <x v="2"/>
  </r>
  <r>
    <x v="13"/>
    <s v="Landed 21:45"/>
    <d v="2026-07-06T00:00:00"/>
    <d v="1899-12-30T21:45:00"/>
    <s v="Corfu"/>
    <s v="Corfu International Airport"/>
    <s v="Boeing 737-85P"/>
    <d v="2026-07-06T00:00:00"/>
    <d v="1899-12-30T21:44:00"/>
    <d v="1899-12-30T00:01:00"/>
    <x v="1"/>
  </r>
  <r>
    <x v="0"/>
    <s v="Landed 21:50"/>
    <d v="2026-07-06T00:00:00"/>
    <d v="1899-12-30T21:50:00"/>
    <s v="Tallinn"/>
    <s v="Tallinn Lennart Meri Airport"/>
    <s v="Airbus A220-300"/>
    <d v="2026-07-06T00:00:00"/>
    <d v="1899-12-30T21:50:00"/>
    <d v="1899-12-30T00:00:00"/>
    <x v="1"/>
  </r>
  <r>
    <x v="0"/>
    <s v="Landed 21:56"/>
    <d v="2026-07-06T00:00:00"/>
    <d v="1899-12-30T21:56:00"/>
    <s v="Heraklion"/>
    <s v="Heraklion International Airport"/>
    <s v="Airbus A220-300"/>
    <d v="2026-07-06T00:00:00"/>
    <d v="1899-12-30T21:50:00"/>
    <d v="1899-12-30T00:06:00"/>
    <x v="1"/>
  </r>
  <r>
    <x v="9"/>
    <s v="Landed 22:16"/>
    <d v="2026-07-06T00:00:00"/>
    <d v="1899-12-30T22:16:00"/>
    <s v="Barcelona"/>
    <s v="Barcelona El Prat Airport"/>
    <s v="Boeing 737-8AS"/>
    <d v="2026-07-06T00:00:00"/>
    <d v="1899-12-30T22:00:00"/>
    <d v="1899-12-30T00:16:00"/>
    <x v="0"/>
  </r>
  <r>
    <x v="0"/>
    <s v="Delayed 00:14"/>
    <d v="2026-07-06T00:00:00"/>
    <e v="#N/A"/>
    <s v="Riga"/>
    <s v="Riga International Airport"/>
    <s v="Airbus A220-300"/>
    <d v="2026-07-06T00:00:00"/>
    <d v="1899-12-30T22:20:00"/>
    <e v="#N/A"/>
    <x v="2"/>
  </r>
  <r>
    <x v="2"/>
    <s v="Landed 22:24"/>
    <d v="2026-07-06T00:00:00"/>
    <d v="1899-12-30T22:24:00"/>
    <s v="Warsaw"/>
    <s v="Warsaw Chopin Airport"/>
    <s v="Embraer E190LR"/>
    <d v="2026-07-06T00:00:00"/>
    <d v="1899-12-30T22:20:00"/>
    <d v="1899-12-30T00:04:00"/>
    <x v="1"/>
  </r>
  <r>
    <x v="15"/>
    <s v="Landed 22:01"/>
    <d v="2026-07-06T00:00:00"/>
    <d v="1899-12-30T22:01:00"/>
    <s v="Vilnius"/>
    <s v="Vilnius International Airport"/>
    <s v="Cirrus SR22T"/>
    <d v="2026-07-06T00:00:00"/>
    <d v="1899-12-30T22:30:00"/>
    <d v="1899-12-30T00:29:00"/>
    <x v="0"/>
  </r>
  <r>
    <x v="27"/>
    <s v="Landed 22:22"/>
    <d v="2026-07-06T00:00:00"/>
    <d v="1899-12-30T22:22:00"/>
    <s v="Enfidha"/>
    <s v="Enfidha Hammamet International Airport"/>
    <s v="Airbus A320-232"/>
    <d v="2026-07-06T00:00:00"/>
    <d v="1899-12-30T22:30:00"/>
    <d v="1899-12-30T00:08:00"/>
    <x v="1"/>
  </r>
  <r>
    <x v="9"/>
    <s v="Landed 22:36"/>
    <d v="2026-07-06T00:00:00"/>
    <d v="1899-12-30T22:36:00"/>
    <s v="Dublin"/>
    <s v="Dublin Airport"/>
    <s v="Boeing 737 MAX 8-200"/>
    <d v="2026-07-06T00:00:00"/>
    <d v="1899-12-30T22:35:00"/>
    <d v="1899-12-30T00:01:00"/>
    <x v="1"/>
  </r>
  <r>
    <x v="9"/>
    <s v="Landed 23:34"/>
    <d v="2026-07-06T00:00:00"/>
    <d v="1899-12-30T23:34:00"/>
    <s v="Turin"/>
    <s v="Turin Caselle Airport"/>
    <s v="Boeing 737-8AS"/>
    <d v="2026-07-06T00:00:00"/>
    <d v="1899-12-30T23:55:00"/>
    <d v="1899-12-30T00:21:00"/>
    <x v="0"/>
  </r>
  <r>
    <x v="11"/>
    <s v="Delayed 01:30"/>
    <d v="2026-07-06T00:00:00"/>
    <e v="#N/A"/>
    <s v="Frankfurt"/>
    <s v="Frankfurt Airport"/>
    <s v="Airbus A320-214"/>
    <d v="2026-07-06T00:00:00"/>
    <d v="1899-12-30T23:55:00"/>
    <e v="#N/A"/>
    <x v="2"/>
  </r>
  <r>
    <x v="0"/>
    <s v="Landed 00:25"/>
    <d v="2026-07-07T00:00:00"/>
    <d v="1899-12-30T00:25:00"/>
    <s v="Berlin"/>
    <s v="Berlin Brandenburg Airport"/>
    <s v="Airbus A220-300"/>
    <d v="2026-07-07T00:00:00"/>
    <d v="1899-12-30T00:15:00"/>
    <d v="1899-12-30T00:10:00"/>
    <x v="1"/>
  </r>
  <r>
    <x v="1"/>
    <s v="Landed 00:11"/>
    <d v="2026-07-07T00:00:00"/>
    <d v="1899-12-30T00:11:00"/>
    <s v="Reykjavik"/>
    <s v="Keflavik International Airport"/>
    <s v="Airbus A321-271NX"/>
    <d v="2026-07-07T00:00:00"/>
    <d v="1899-12-30T00:20:00"/>
    <d v="1899-12-30T00:09:00"/>
    <x v="1"/>
  </r>
  <r>
    <x v="0"/>
    <s v="Landed 01:26"/>
    <d v="2026-07-07T00:00:00"/>
    <d v="1899-12-30T01:26:00"/>
    <s v="Riga"/>
    <s v="Riga International Airport"/>
    <s v="Airbus A220-300"/>
    <d v="2026-07-07T00:00:00"/>
    <d v="1899-12-30T00:30:00"/>
    <d v="1899-12-30T00:56:00"/>
    <x v="0"/>
  </r>
  <r>
    <x v="2"/>
    <s v="Landed 00:35"/>
    <d v="2026-07-07T00:00:00"/>
    <d v="1899-12-30T00:35:00"/>
    <s v="Warsaw"/>
    <s v="Warsaw Chopin Airport"/>
    <s v="Embraer E195-E2"/>
    <d v="2026-07-07T00:00:00"/>
    <d v="1899-12-30T00:40:00"/>
    <d v="1899-12-30T00:05:00"/>
    <x v="1"/>
  </r>
  <r>
    <x v="1"/>
    <s v="Landed 00:41"/>
    <d v="2026-07-07T00:00:00"/>
    <d v="1899-12-30T00:41:00"/>
    <s v="Larnaca"/>
    <s v="Larnaca International Airport"/>
    <s v="Airbus A321-271NX"/>
    <d v="2026-07-07T00:00:00"/>
    <d v="1899-12-30T01:05:00"/>
    <d v="1899-12-30T00:24:00"/>
    <x v="0"/>
  </r>
  <r>
    <x v="9"/>
    <s v="Landed 00:54"/>
    <d v="2026-07-07T00:00:00"/>
    <d v="1899-12-30T00:54:00"/>
    <s v="Nuremberg"/>
    <s v="Nuremberg Airport"/>
    <s v="Boeing 737-8AS"/>
    <d v="2026-07-07T00:00:00"/>
    <d v="1899-12-30T01:15:00"/>
    <d v="1899-12-30T00:21:00"/>
    <x v="0"/>
  </r>
  <r>
    <x v="1"/>
    <s v="Landed 01:08"/>
    <d v="2026-07-07T00:00:00"/>
    <d v="1899-12-30T01:08:00"/>
    <s v="Milan"/>
    <s v="Milan Malpensa Airport"/>
    <s v="Airbus A321-271NX"/>
    <d v="2026-07-07T00:00:00"/>
    <d v="1899-12-30T01:20:00"/>
    <d v="1899-12-30T00:12:00"/>
    <x v="1"/>
  </r>
  <r>
    <x v="0"/>
    <s v="Landed 02:05"/>
    <d v="2026-07-07T00:00:00"/>
    <d v="1899-12-30T02:05:00"/>
    <s v="Zurich"/>
    <s v="Zurich Airport"/>
    <s v="Airbus A220-300"/>
    <d v="2026-07-07T00:00:00"/>
    <d v="1899-12-30T01:25:00"/>
    <d v="1899-12-30T00:40:00"/>
    <x v="0"/>
  </r>
  <r>
    <x v="3"/>
    <s v="Landed 01:21"/>
    <d v="2026-07-07T00:00:00"/>
    <d v="1899-12-30T01:21:00"/>
    <s v="Copenhagen"/>
    <s v="Copenhagen Airport"/>
    <s v="Mitsubishi CRJ-900LR"/>
    <d v="2026-07-07T00:00:00"/>
    <d v="1899-12-30T01:25:00"/>
    <d v="1899-12-30T00:04:00"/>
    <x v="1"/>
  </r>
  <r>
    <x v="13"/>
    <s v="Landed 02:24"/>
    <d v="2026-07-07T00:00:00"/>
    <d v="1899-12-30T02:24:00"/>
    <s v="Funchal"/>
    <s v="Funchal Cristiano Ronaldo Airport"/>
    <s v="Boeing 737-83N"/>
    <d v="2026-07-07T00:00:00"/>
    <d v="1899-12-30T02:29:00"/>
    <d v="1899-12-30T00:05:00"/>
    <x v="1"/>
  </r>
  <r>
    <x v="5"/>
    <s v="Landed 07:44"/>
    <d v="2026-07-07T00:00:00"/>
    <d v="1899-12-30T07:44:00"/>
    <s v="Leipzig"/>
    <s v="Leipzig Halle Airport"/>
    <s v="Boeing 737-86N(SF)"/>
    <d v="2026-07-07T00:00:00"/>
    <d v="1899-12-30T07:36:00"/>
    <d v="1899-12-30T00:08:00"/>
    <x v="1"/>
  </r>
  <r>
    <x v="0"/>
    <s v="Landed 08:52"/>
    <d v="2026-07-07T00:00:00"/>
    <d v="1899-12-30T08:52:00"/>
    <s v="Riga"/>
    <s v="Riga International Airport"/>
    <s v="Airbus A220-300"/>
    <d v="2026-07-07T00:00:00"/>
    <d v="1899-12-30T08:40:00"/>
    <d v="1899-12-30T00:12:00"/>
    <x v="1"/>
  </r>
  <r>
    <x v="7"/>
    <s v="Landed 09:05"/>
    <d v="2026-07-07T00:00:00"/>
    <d v="1899-12-30T09:05:00"/>
    <s v="Helsinki"/>
    <s v="Helsinki Vantaa Airport"/>
    <s v="ATR 72-500"/>
    <d v="2026-07-07T00:00:00"/>
    <d v="1899-12-30T09:20:00"/>
    <d v="1899-12-30T00:15:00"/>
    <x v="1"/>
  </r>
  <r>
    <x v="19"/>
    <s v="Landed 10:27"/>
    <d v="2026-07-07T00:00:00"/>
    <d v="1899-12-30T10:27:00"/>
    <s v="Tel Aviv"/>
    <s v="Tel Aviv Ben Gurion International Airport"/>
    <s v="Airbus A320-232"/>
    <d v="2026-07-07T00:00:00"/>
    <d v="1899-12-30T10:15:00"/>
    <d v="1899-12-30T00:12:00"/>
    <x v="1"/>
  </r>
  <r>
    <x v="2"/>
    <s v="Landed 10:20"/>
    <d v="2026-07-07T00:00:00"/>
    <d v="1899-12-30T10:20:00"/>
    <s v="Warsaw"/>
    <s v="Warsaw Chopin Airport"/>
    <s v="Embraer E175LR"/>
    <d v="2026-07-07T00:00:00"/>
    <d v="1899-12-30T10:15:00"/>
    <d v="1899-12-30T00:05:00"/>
    <x v="1"/>
  </r>
  <r>
    <x v="9"/>
    <s v="Landed 10:06"/>
    <d v="2026-07-07T00:00:00"/>
    <d v="1899-12-30T10:06:00"/>
    <s v="Venice"/>
    <s v="Venice Treviso Airport"/>
    <s v="Boeing 737-8AS"/>
    <d v="2026-07-07T00:00:00"/>
    <d v="1899-12-30T10:20:00"/>
    <d v="1899-12-30T00:14:00"/>
    <x v="1"/>
  </r>
  <r>
    <x v="10"/>
    <s v="Landed 10:31"/>
    <d v="2026-07-07T00:00:00"/>
    <d v="1899-12-30T10:31:00"/>
    <s v="Istanbul"/>
    <s v="Istanbul Airport"/>
    <s v="Airbus A321-271NX"/>
    <d v="2026-07-07T00:00:00"/>
    <d v="1899-12-30T10:45:00"/>
    <d v="1899-12-30T00:14:00"/>
    <x v="1"/>
  </r>
  <r>
    <x v="27"/>
    <s v="Landed 11:44"/>
    <d v="2026-07-07T00:00:00"/>
    <d v="1899-12-30T11:44:00"/>
    <s v="Heraklion"/>
    <s v="Heraklion International Airport"/>
    <s v="Airbus A320-232"/>
    <d v="2026-07-07T00:00:00"/>
    <d v="1899-12-30T11:55:00"/>
    <d v="1899-12-30T00:11:00"/>
    <x v="1"/>
  </r>
  <r>
    <x v="0"/>
    <s v="Landed 12:00"/>
    <d v="2026-07-07T00:00:00"/>
    <d v="1899-12-30T12:00:00"/>
    <s v="Munich"/>
    <s v="Munich Airport"/>
    <s v="Airbus A220-300"/>
    <d v="2026-07-07T00:00:00"/>
    <d v="1899-12-30T12:00:00"/>
    <d v="1899-12-30T00:00:00"/>
    <x v="1"/>
  </r>
  <r>
    <x v="9"/>
    <s v="Landed 12:26"/>
    <d v="2026-07-07T00:00:00"/>
    <d v="1899-12-30T12:26:00"/>
    <s v="Milan"/>
    <s v="Milan Bergamo Orio al Serio International Airport"/>
    <s v="Boeing 737-8AS"/>
    <d v="2026-07-07T00:00:00"/>
    <d v="1899-12-30T12:15:00"/>
    <d v="1899-12-30T00:11:00"/>
    <x v="1"/>
  </r>
  <r>
    <x v="1"/>
    <s v="Landed 12:10"/>
    <d v="2026-07-07T00:00:00"/>
    <d v="1899-12-30T12:10:00"/>
    <s v="Nice"/>
    <s v="Nice Cote d'Azur Airport"/>
    <s v="Airbus A321-271NX"/>
    <d v="2026-07-07T00:00:00"/>
    <d v="1899-12-30T12:20:00"/>
    <d v="1899-12-30T00:10:00"/>
    <x v="1"/>
  </r>
  <r>
    <x v="1"/>
    <s v="Canceled"/>
    <d v="2026-07-07T00:00:00"/>
    <e v="#N/A"/>
    <s v="Catania"/>
    <s v="Catania Fontanarossa Airport"/>
    <s v="N/A"/>
    <d v="2026-07-07T00:00:00"/>
    <d v="1899-12-30T12:25:00"/>
    <e v="#N/A"/>
    <x v="2"/>
  </r>
  <r>
    <x v="9"/>
    <s v="Landed 12:20"/>
    <d v="2026-07-07T00:00:00"/>
    <d v="1899-12-30T12:20:00"/>
    <s v="London"/>
    <s v="London Stansted Airport"/>
    <s v="Boeing 737-8AS"/>
    <d v="2026-07-07T00:00:00"/>
    <d v="1899-12-30T12:40:00"/>
    <d v="1899-12-30T00:20:00"/>
    <x v="0"/>
  </r>
  <r>
    <x v="11"/>
    <s v="Landed 12:26"/>
    <d v="2026-07-07T00:00:00"/>
    <d v="1899-12-30T12:26:00"/>
    <s v="Frankfurt"/>
    <s v="Frankfurt Airport"/>
    <s v="Airbus A320-271N"/>
    <d v="2026-07-07T00:00:00"/>
    <d v="1899-12-30T12:40:00"/>
    <d v="1899-12-30T00:14:00"/>
    <x v="1"/>
  </r>
  <r>
    <x v="12"/>
    <s v="Landed 12:37"/>
    <d v="2026-07-07T00:00:00"/>
    <d v="1899-12-30T12:37:00"/>
    <s v="Heraklion"/>
    <s v="Heraklion International Airport"/>
    <s v="Airbus A320-214"/>
    <d v="2026-07-07T00:00:00"/>
    <d v="1899-12-30T12:48:00"/>
    <d v="1899-12-30T00:11:00"/>
    <x v="1"/>
  </r>
  <r>
    <x v="7"/>
    <s v="Landed 12:56"/>
    <d v="2026-07-07T00:00:00"/>
    <d v="1899-12-30T12:56:00"/>
    <s v="Helsinki"/>
    <s v="Helsinki Vantaa Airport"/>
    <s v="ATR 72-500"/>
    <d v="2026-07-07T00:00:00"/>
    <d v="1899-12-30T13:00:00"/>
    <d v="1899-12-30T00:04:00"/>
    <x v="1"/>
  </r>
  <r>
    <x v="13"/>
    <s v="Landed 13:16"/>
    <d v="2026-07-07T00:00:00"/>
    <d v="1899-12-30T13:16:00"/>
    <s v="Heraklion"/>
    <s v="Heraklion International Airport"/>
    <s v="Boeing 737-83N"/>
    <d v="2026-07-07T00:00:00"/>
    <d v="1899-12-30T13:17:00"/>
    <d v="1899-12-30T00:01:00"/>
    <x v="1"/>
  </r>
  <r>
    <x v="0"/>
    <s v="Landed 13:25"/>
    <d v="2026-07-07T00:00:00"/>
    <d v="1899-12-30T13:25:00"/>
    <s v="Amsterdam"/>
    <s v="Amsterdam Schiphol Airport"/>
    <s v="Airbus A220-300"/>
    <d v="2026-07-07T00:00:00"/>
    <d v="1899-12-30T13:25:00"/>
    <d v="1899-12-30T00:00:00"/>
    <x v="1"/>
  </r>
  <r>
    <x v="2"/>
    <s v="Landed 13:45"/>
    <d v="2026-07-07T00:00:00"/>
    <d v="1899-12-30T13:45:00"/>
    <s v="Warsaw"/>
    <s v="Warsaw Chopin Airport"/>
    <s v="Embraer E190STD"/>
    <d v="2026-07-07T00:00:00"/>
    <d v="1899-12-30T13:50:00"/>
    <d v="1899-12-30T00:05:00"/>
    <x v="1"/>
  </r>
  <r>
    <x v="20"/>
    <s v="Landed 11:51"/>
    <d v="2026-07-07T00:00:00"/>
    <d v="1899-12-30T11:51:00"/>
    <s v="Hurghada"/>
    <s v="Hurghada International Airport"/>
    <s v="Boeing 737-8AS"/>
    <d v="2026-07-07T00:00:00"/>
    <d v="1899-12-30T13:55:00"/>
    <d v="1899-12-30T02:04:00"/>
    <x v="0"/>
  </r>
  <r>
    <x v="0"/>
    <s v="Landed 14:32"/>
    <d v="2026-07-07T00:00:00"/>
    <d v="1899-12-30T14:32:00"/>
    <s v="Riga"/>
    <s v="Riga International Airport"/>
    <s v="Airbus A220-300"/>
    <d v="2026-07-07T00:00:00"/>
    <d v="1899-12-30T14:35:00"/>
    <d v="1899-12-30T00:03:00"/>
    <x v="1"/>
  </r>
  <r>
    <x v="1"/>
    <s v="Landed 14:42"/>
    <d v="2026-07-07T00:00:00"/>
    <d v="1899-12-30T14:42:00"/>
    <s v="Kutaisi"/>
    <s v="Kutaisi International Airport"/>
    <s v="Airbus A321-271NX"/>
    <d v="2026-07-07T00:00:00"/>
    <d v="1899-12-30T14:50:00"/>
    <d v="1899-12-30T00:08:00"/>
    <x v="1"/>
  </r>
  <r>
    <x v="3"/>
    <s v="Landed 15:02"/>
    <d v="2026-07-07T00:00:00"/>
    <d v="1899-12-30T15:02:00"/>
    <s v="Copenhagen"/>
    <s v="Copenhagen Airport"/>
    <s v="Mitsubishi CRJ-900LR"/>
    <d v="2026-07-07T00:00:00"/>
    <d v="1899-12-30T15:15:00"/>
    <d v="1899-12-30T00:13:00"/>
    <x v="1"/>
  </r>
  <r>
    <x v="13"/>
    <s v="Landed 15:10"/>
    <d v="2026-07-07T00:00:00"/>
    <d v="1899-12-30T15:10:00"/>
    <s v="Antalya"/>
    <s v="Antalya Airport"/>
    <s v="Boeing 737-85P"/>
    <d v="2026-07-07T00:00:00"/>
    <d v="1899-12-30T15:27:00"/>
    <d v="1899-12-30T00:17:00"/>
    <x v="0"/>
  </r>
  <r>
    <x v="9"/>
    <s v="Landed 15:26"/>
    <d v="2026-07-07T00:00:00"/>
    <d v="1899-12-30T15:26:00"/>
    <s v="London"/>
    <s v="London Luton Airport"/>
    <s v="Boeing 737 MAX 8-200"/>
    <d v="2026-07-07T00:00:00"/>
    <d v="1899-12-30T15:30:00"/>
    <d v="1899-12-30T00:04:00"/>
    <x v="1"/>
  </r>
  <r>
    <x v="0"/>
    <s v="Landed 16:01"/>
    <d v="2026-07-07T00:00:00"/>
    <d v="1899-12-30T16:01:00"/>
    <s v="Nice"/>
    <s v="Nice Cote d'Azur Airport"/>
    <s v="Airbus A220-300"/>
    <d v="2026-07-07T00:00:00"/>
    <d v="1899-12-30T16:00:00"/>
    <d v="1899-12-30T00:01:00"/>
    <x v="1"/>
  </r>
  <r>
    <x v="2"/>
    <s v="Landed 16:19"/>
    <d v="2026-07-07T00:00:00"/>
    <d v="1899-12-30T16:19:00"/>
    <s v="Warsaw"/>
    <s v="Warsaw Chopin Airport"/>
    <s v="Embraer E190LR"/>
    <d v="2026-07-07T00:00:00"/>
    <d v="1899-12-30T16:20:00"/>
    <d v="1899-12-30T00:01:00"/>
    <x v="1"/>
  </r>
  <r>
    <x v="14"/>
    <s v="Landed 16:44"/>
    <d v="2026-07-07T00:00:00"/>
    <d v="1899-12-30T16:44:00"/>
    <s v="Stockholm"/>
    <s v="Stockholm Arlanda Airport"/>
    <s v="Boeing 737 MAX 8"/>
    <d v="2026-07-07T00:00:00"/>
    <d v="1899-12-30T16:35:00"/>
    <d v="1899-12-30T00:09:00"/>
    <x v="1"/>
  </r>
  <r>
    <x v="9"/>
    <s v="Landed 16:55"/>
    <d v="2026-07-07T00:00:00"/>
    <d v="1899-12-30T16:55:00"/>
    <s v="Oslo"/>
    <s v="Oslo Gardermoen Airport"/>
    <s v="Boeing 737-8AS"/>
    <d v="2026-07-07T00:00:00"/>
    <d v="1899-12-30T16:50:00"/>
    <d v="1899-12-30T00:05:00"/>
    <x v="1"/>
  </r>
  <r>
    <x v="7"/>
    <s v="Landed 17:49"/>
    <d v="2026-07-07T00:00:00"/>
    <d v="1899-12-30T17:49:00"/>
    <s v="Helsinki"/>
    <s v="Helsinki Vantaa Airport"/>
    <s v="ATR 72-500"/>
    <d v="2026-07-07T00:00:00"/>
    <d v="1899-12-30T17:50:00"/>
    <d v="1899-12-30T00:01:00"/>
    <x v="1"/>
  </r>
  <r>
    <x v="1"/>
    <s v="Landed 18:41"/>
    <d v="2026-07-07T00:00:00"/>
    <d v="1899-12-30T18:41:00"/>
    <s v="Tirana"/>
    <s v="Tirana International Airport"/>
    <s v="Airbus A321-271NX"/>
    <d v="2026-07-07T00:00:00"/>
    <d v="1899-12-30T18:05:00"/>
    <d v="1899-12-30T00:36:00"/>
    <x v="0"/>
  </r>
  <r>
    <x v="1"/>
    <s v="Landed 18:12"/>
    <d v="2026-07-07T00:00:00"/>
    <d v="1899-12-30T18:12:00"/>
    <s v="Gdansk"/>
    <s v="Gdansk Lech Walesa Airport"/>
    <s v="Airbus A321-271NX"/>
    <d v="2026-07-07T00:00:00"/>
    <d v="1899-12-30T18:30:00"/>
    <d v="1899-12-30T00:18:00"/>
    <x v="0"/>
  </r>
  <r>
    <x v="2"/>
    <s v="Landed 18:36"/>
    <d v="2026-07-07T00:00:00"/>
    <d v="1899-12-30T18:36:00"/>
    <s v="Warsaw"/>
    <s v="Warsaw Chopin Airport"/>
    <s v="Boeing 737 MAX 8"/>
    <d v="2026-07-07T00:00:00"/>
    <d v="1899-12-30T18:35:00"/>
    <d v="1899-12-30T00:01:00"/>
    <x v="1"/>
  </r>
  <r>
    <x v="11"/>
    <s v="Landed 18:47"/>
    <d v="2026-07-07T00:00:00"/>
    <d v="1899-12-30T18:47:00"/>
    <s v="Frankfurt"/>
    <s v="Frankfurt Airport"/>
    <s v="Airbus A320-214"/>
    <d v="2026-07-07T00:00:00"/>
    <d v="1899-12-30T18:55:00"/>
    <d v="1899-12-30T00:08:00"/>
    <x v="1"/>
  </r>
  <r>
    <x v="9"/>
    <s v="Landed 18:56"/>
    <d v="2026-07-07T00:00:00"/>
    <d v="1899-12-30T18:56:00"/>
    <s v="Paris"/>
    <s v="Paris Beauvais-Tille Airport"/>
    <s v="Boeing 737-8AS"/>
    <d v="2026-07-07T00:00:00"/>
    <d v="1899-12-30T19:10:00"/>
    <d v="1899-12-30T00:14:00"/>
    <x v="1"/>
  </r>
  <r>
    <x v="0"/>
    <s v="Landed 19:44"/>
    <d v="2026-07-07T00:00:00"/>
    <d v="1899-12-30T19:44:00"/>
    <s v="Amsterdam"/>
    <s v="Amsterdam Schiphol Airport"/>
    <s v="Airbus A220-300"/>
    <d v="2026-07-07T00:00:00"/>
    <d v="1899-12-30T19:50:00"/>
    <d v="1899-12-30T00:06:00"/>
    <x v="1"/>
  </r>
  <r>
    <x v="1"/>
    <s v="Landed 19:50"/>
    <d v="2026-07-07T00:00:00"/>
    <d v="1899-12-30T19:50:00"/>
    <s v="Billund"/>
    <s v="Billund Airport"/>
    <s v="Airbus A321-271NX"/>
    <d v="2026-07-07T00:00:00"/>
    <d v="1899-12-30T20:10:00"/>
    <d v="1899-12-30T00:20:00"/>
    <x v="0"/>
  </r>
  <r>
    <x v="29"/>
    <s v="Landed 21:04"/>
    <d v="2026-07-07T00:00:00"/>
    <d v="1899-12-30T21:04:00"/>
    <s v="Palanga"/>
    <s v="Palanga International Airport"/>
    <s v="Hawker 800XP"/>
    <d v="2026-07-07T00:00:00"/>
    <d v="1899-12-30T20:40:00"/>
    <d v="1899-12-30T00:24:00"/>
    <x v="0"/>
  </r>
  <r>
    <x v="13"/>
    <s v="Landed 20:34"/>
    <d v="2026-07-07T00:00:00"/>
    <d v="1899-12-30T20:34:00"/>
    <s v="Burgas"/>
    <s v="Burgas Airport"/>
    <s v="Boeing 737-83N"/>
    <d v="2026-07-07T00:00:00"/>
    <d v="1899-12-30T20:56:00"/>
    <d v="1899-12-30T00:22:00"/>
    <x v="0"/>
  </r>
  <r>
    <x v="7"/>
    <s v="Landed 21:56"/>
    <d v="2026-07-07T00:00:00"/>
    <d v="1899-12-30T21:56:00"/>
    <s v="Helsinki"/>
    <s v="Helsinki Vantaa Airport"/>
    <s v="ATR 72-500"/>
    <d v="2026-07-07T00:00:00"/>
    <d v="1899-12-30T21:10:00"/>
    <d v="1899-12-30T00:46:00"/>
    <x v="0"/>
  </r>
  <r>
    <x v="0"/>
    <s v="Landed 21:26"/>
    <d v="2026-07-07T00:00:00"/>
    <d v="1899-12-30T21:26:00"/>
    <s v="Tallinn"/>
    <s v="Tallinn Lennart Meri Airport"/>
    <s v="Airbus A220-300"/>
    <d v="2026-07-07T00:00:00"/>
    <d v="1899-12-30T21:45:00"/>
    <d v="1899-12-30T00:19:00"/>
    <x v="0"/>
  </r>
  <r>
    <x v="12"/>
    <s v="Landed 21:46"/>
    <d v="2026-07-07T00:00:00"/>
    <d v="1899-12-30T21:46:00"/>
    <s v="Antalya"/>
    <s v="Antalya Airport"/>
    <s v="Airbus A320-214"/>
    <d v="2026-07-07T00:00:00"/>
    <d v="1899-12-30T22:07:00"/>
    <d v="1899-12-30T00:21:00"/>
    <x v="0"/>
  </r>
  <r>
    <x v="2"/>
    <s v="Landed 22:34"/>
    <d v="2026-07-07T00:00:00"/>
    <d v="1899-12-30T22:34:00"/>
    <s v="Warsaw"/>
    <s v="Warsaw Chopin Airport"/>
    <s v="Embraer E195-E2"/>
    <d v="2026-07-07T00:00:00"/>
    <d v="1899-12-30T22:20:00"/>
    <d v="1899-12-30T00:14:00"/>
    <x v="1"/>
  </r>
  <r>
    <x v="14"/>
    <s v="Landed 22:37"/>
    <d v="2026-07-07T00:00:00"/>
    <d v="1899-12-30T22:37:00"/>
    <s v="Oslo"/>
    <s v="Oslo Gardermoen Airport"/>
    <s v="Boeing 737-8JP"/>
    <d v="2026-07-07T00:00:00"/>
    <d v="1899-12-30T22:25:00"/>
    <d v="1899-12-30T00:12:00"/>
    <x v="1"/>
  </r>
  <r>
    <x v="27"/>
    <s v="Landed 22:06"/>
    <d v="2026-07-07T00:00:00"/>
    <d v="1899-12-30T22:06:00"/>
    <s v="Antalya"/>
    <s v="Antalya Airport"/>
    <s v="Airbus A320-232"/>
    <d v="2026-07-07T00:00:00"/>
    <d v="1899-12-30T22:35:00"/>
    <d v="1899-12-30T00:29:00"/>
    <x v="0"/>
  </r>
  <r>
    <x v="0"/>
    <s v="Landed 22:40"/>
    <d v="2026-07-07T00:00:00"/>
    <d v="1899-12-30T22:40:00"/>
    <s v="Lisbon"/>
    <s v="Lisbon Humberto Delgado Airport"/>
    <s v="Airbus A220-300"/>
    <d v="2026-07-07T00:00:00"/>
    <d v="1899-12-30T22:45:00"/>
    <d v="1899-12-30T00:05:00"/>
    <x v="1"/>
  </r>
  <r>
    <x v="0"/>
    <s v="Landed 23:02"/>
    <d v="2026-07-07T00:00:00"/>
    <d v="1899-12-30T23:02:00"/>
    <s v="Paris"/>
    <s v="Paris Charles de Gaulle Airport"/>
    <s v="Airbus A220-300"/>
    <d v="2026-07-07T00:00:00"/>
    <d v="1899-12-30T23:05:00"/>
    <d v="1899-12-30T00:03:00"/>
    <x v="1"/>
  </r>
  <r>
    <x v="20"/>
    <s v="Landed 23:26"/>
    <d v="2026-07-07T00:00:00"/>
    <d v="1899-12-30T23:26:00"/>
    <s v="Antalya"/>
    <s v="Antalya Airport"/>
    <s v="Boeing 777-31H(ER)"/>
    <d v="2026-07-07T00:00:00"/>
    <d v="1899-12-30T23:12:00"/>
    <d v="1899-12-30T00:14:00"/>
    <x v="1"/>
  </r>
  <r>
    <x v="16"/>
    <s v="Delayed 00:35"/>
    <d v="2026-07-07T00:00:00"/>
    <e v="#N/A"/>
    <s v="Tel Aviv"/>
    <s v="Tel Aviv Ben Gurion International Airport"/>
    <s v="Airbus A320-232"/>
    <d v="2026-07-07T00:00:00"/>
    <d v="1899-12-30T23:15:00"/>
    <e v="#N/A"/>
    <x v="2"/>
  </r>
  <r>
    <x v="9"/>
    <s v="Landed 23:19"/>
    <d v="2026-07-07T00:00:00"/>
    <d v="1899-12-30T23:19:00"/>
    <s v="Vienna"/>
    <s v="Vienna International Airport"/>
    <s v="Boeing 737-8AS"/>
    <d v="2026-07-07T00:00:00"/>
    <d v="1899-12-30T23:40:00"/>
    <d v="1899-12-30T00:21:00"/>
    <x v="0"/>
  </r>
  <r>
    <x v="11"/>
    <s v="Landed 23:42"/>
    <d v="2026-07-07T00:00:00"/>
    <d v="1899-12-30T23:42:00"/>
    <s v="Frankfurt"/>
    <s v="Frankfurt Airport"/>
    <s v="Airbus A320-214"/>
    <d v="2026-07-07T00:00:00"/>
    <d v="1899-12-30T23:50:00"/>
    <d v="1899-12-30T00:08:00"/>
    <x v="1"/>
  </r>
  <r>
    <x v="1"/>
    <s v="Delayed 00:43"/>
    <d v="2026-07-07T00:00:00"/>
    <e v="#N/A"/>
    <s v="Bergen"/>
    <s v="Bergen Flesland Airport"/>
    <s v="Airbus A321-271NX"/>
    <d v="2026-07-07T00:00:00"/>
    <d v="1899-12-30T23:55:00"/>
    <e v="#N/A"/>
    <x v="2"/>
  </r>
  <r>
    <x v="1"/>
    <s v="Landed 23:49"/>
    <d v="2026-07-07T00:00:00"/>
    <d v="1899-12-30T23:49:00"/>
    <s v="Turku"/>
    <s v="Turku Airport"/>
    <s v="Airbus A321-271NX"/>
    <d v="2026-07-08T00:00:00"/>
    <d v="1899-12-30T00:15:00"/>
    <d v="1899-12-30T00:26:00"/>
    <x v="1"/>
  </r>
  <r>
    <x v="0"/>
    <s v="Landed 01:07"/>
    <d v="2026-07-08T00:00:00"/>
    <d v="1899-12-30T01:07:00"/>
    <s v="Riga"/>
    <s v="Riga International Airport"/>
    <s v="Airbus A220-300"/>
    <d v="2026-07-08T00:00:00"/>
    <d v="1899-12-30T00:30:00"/>
    <d v="1899-12-30T00:37:00"/>
    <x v="0"/>
  </r>
  <r>
    <x v="1"/>
    <s v="Landed 00:26"/>
    <d v="2026-07-08T00:00:00"/>
    <d v="1899-12-30T00:26:00"/>
    <s v="Barcelona"/>
    <s v="Barcelona El Prat Airport"/>
    <s v="Airbus A321-271NX"/>
    <d v="2026-07-08T00:00:00"/>
    <d v="1899-12-30T00:30:00"/>
    <d v="1899-12-30T00:04:00"/>
    <x v="1"/>
  </r>
  <r>
    <x v="2"/>
    <s v="Landed 00:47"/>
    <d v="2026-07-08T00:00:00"/>
    <d v="1899-12-30T00:47:00"/>
    <s v="Warsaw"/>
    <s v="Warsaw Chopin Airport"/>
    <s v="Embraer E190AR"/>
    <d v="2026-07-08T00:00:00"/>
    <d v="1899-12-30T00:40:00"/>
    <d v="1899-12-30T00:07:00"/>
    <x v="1"/>
  </r>
  <r>
    <x v="9"/>
    <s v="Landed 01:02"/>
    <d v="2026-07-08T00:00:00"/>
    <d v="1899-12-30T01:02:00"/>
    <s v="Barcelona"/>
    <s v="Barcelona El Prat Airport"/>
    <s v="Boeing 737-8AS"/>
    <d v="2026-07-08T00:00:00"/>
    <d v="1899-12-30T01:15:00"/>
    <d v="1899-12-30T00:13:00"/>
    <x v="1"/>
  </r>
  <r>
    <x v="0"/>
    <s v="Landed 01:12"/>
    <d v="2026-07-08T00:00:00"/>
    <d v="1899-12-30T01:12:00"/>
    <s v="Zurich"/>
    <s v="Zurich Airport"/>
    <s v="Airbus A220-300"/>
    <d v="2026-07-08T00:00:00"/>
    <d v="1899-12-30T01:25:00"/>
    <d v="1899-12-30T00:13:00"/>
    <x v="1"/>
  </r>
  <r>
    <x v="3"/>
    <s v="Landed 01:09"/>
    <d v="2026-07-08T00:00:00"/>
    <d v="1899-12-30T01:09:00"/>
    <s v="Copenhagen"/>
    <s v="Copenhagen Airport"/>
    <s v="Mitsubishi CRJ-900LR"/>
    <d v="2026-07-08T00:00:00"/>
    <d v="1899-12-30T01:25:00"/>
    <d v="1899-12-30T00:16:00"/>
    <x v="0"/>
  </r>
  <r>
    <x v="21"/>
    <s v="Landed 02:05"/>
    <d v="2026-07-08T00:00:00"/>
    <d v="1899-12-30T02:05:00"/>
    <s v="Athens"/>
    <s v="Athens Eleftherios Venizelos"/>
    <s v="Airbus A320-232"/>
    <d v="2026-07-08T00:00:00"/>
    <d v="1899-12-30T02:10:00"/>
    <d v="1899-12-30T00:05:00"/>
    <x v="1"/>
  </r>
  <r>
    <x v="5"/>
    <s v="Landed 07:39"/>
    <d v="2026-07-08T00:00:00"/>
    <d v="1899-12-30T07:39:00"/>
    <s v="Leipzig"/>
    <s v="Leipzig Halle Airport"/>
    <s v="Boeing 737-86N(SF)"/>
    <d v="2026-07-08T00:00:00"/>
    <d v="1899-12-30T07:36:00"/>
    <d v="1899-12-30T00:03:00"/>
    <x v="1"/>
  </r>
  <r>
    <x v="0"/>
    <s v="Landed 11:05"/>
    <d v="2026-07-08T00:00:00"/>
    <d v="1899-12-30T11:05:00"/>
    <s v="Riga"/>
    <s v="Riga International Airport"/>
    <s v="Airbus A220-300"/>
    <d v="2026-07-08T00:00:00"/>
    <d v="1899-12-30T08:40:00"/>
    <d v="1899-12-30T02:25:00"/>
    <x v="0"/>
  </r>
  <r>
    <x v="1"/>
    <s v="Landed 10:40"/>
    <d v="2026-07-08T00:00:00"/>
    <d v="1899-12-30T10:40:00"/>
    <s v="Krakow"/>
    <s v="Krakow John Paul II International Airport"/>
    <s v="Airbus A321-271NX"/>
    <d v="2026-07-08T00:00:00"/>
    <d v="1899-12-30T08:50:00"/>
    <d v="1899-12-30T01:50:00"/>
    <x v="0"/>
  </r>
  <r>
    <x v="7"/>
    <s v="Landed 09:04"/>
    <d v="2026-07-08T00:00:00"/>
    <d v="1899-12-30T09:04:00"/>
    <s v="Helsinki"/>
    <s v="Helsinki Vantaa Airport"/>
    <s v="ATR 72-500"/>
    <d v="2026-07-08T00:00:00"/>
    <d v="1899-12-30T09:15:00"/>
    <d v="1899-12-30T00:11:00"/>
    <x v="1"/>
  </r>
  <r>
    <x v="1"/>
    <s v="Landed 08:56"/>
    <d v="2026-07-08T00:00:00"/>
    <d v="1899-12-30T08:56:00"/>
    <s v="Tallinn"/>
    <s v="Tallinn Lennart Meri Airport"/>
    <s v="Airbus A321-271NX"/>
    <d v="2026-07-08T00:00:00"/>
    <d v="1899-12-30T09:20:00"/>
    <d v="1899-12-30T00:24:00"/>
    <x v="0"/>
  </r>
  <r>
    <x v="0"/>
    <s v="Landed 09:51"/>
    <d v="2026-07-08T00:00:00"/>
    <d v="1899-12-30T09:51:00"/>
    <s v="Tallinn"/>
    <s v="Tallinn Lennart Meri Airport"/>
    <s v="Airbus A220-300"/>
    <d v="2026-07-08T00:00:00"/>
    <d v="1899-12-30T10:00:00"/>
    <d v="1899-12-30T00:09:00"/>
    <x v="1"/>
  </r>
  <r>
    <x v="2"/>
    <s v="Landed 09:47"/>
    <d v="2026-07-08T00:00:00"/>
    <d v="1899-12-30T09:47:00"/>
    <s v="Warsaw"/>
    <s v="Warsaw Chopin Airport"/>
    <s v="Embraer E175STD"/>
    <d v="2026-07-08T00:00:00"/>
    <d v="1899-12-30T10:05:00"/>
    <d v="1899-12-30T00:18:00"/>
    <x v="0"/>
  </r>
  <r>
    <x v="15"/>
    <s v="Landed 10:21"/>
    <d v="2026-07-08T00:00:00"/>
    <d v="1899-12-30T10:21:00"/>
    <s v="Istanbul"/>
    <s v="Istanbul Airport"/>
    <s v="Gulfstream G450"/>
    <d v="2026-07-08T00:00:00"/>
    <d v="1899-12-30T10:33:00"/>
    <d v="1899-12-30T00:12:00"/>
    <x v="1"/>
  </r>
  <r>
    <x v="10"/>
    <s v="Landed 10:47"/>
    <d v="2026-07-08T00:00:00"/>
    <d v="1899-12-30T10:47:00"/>
    <s v="Istanbul"/>
    <s v="Istanbul Airport"/>
    <s v="Boeing 737 MAX 8"/>
    <d v="2026-07-08T00:00:00"/>
    <d v="1899-12-30T10:45:00"/>
    <d v="1899-12-30T00:02:00"/>
    <x v="1"/>
  </r>
  <r>
    <x v="17"/>
    <s v="Landed 10:50"/>
    <d v="2026-07-08T00:00:00"/>
    <d v="1899-12-30T10:50:00"/>
    <s v="Tivat"/>
    <s v="Tivat Airport"/>
    <s v="Airbus A320-232"/>
    <d v="2026-07-08T00:00:00"/>
    <d v="1899-12-30T11:00:00"/>
    <d v="1899-12-30T00:10:00"/>
    <x v="1"/>
  </r>
  <r>
    <x v="9"/>
    <s v="Landed 10:58"/>
    <d v="2026-07-08T00:00:00"/>
    <d v="1899-12-30T10:58:00"/>
    <s v="London"/>
    <s v="London Stansted Airport"/>
    <s v="Boeing 737 MAX 8-200"/>
    <d v="2026-07-08T00:00:00"/>
    <d v="1899-12-30T11:10:00"/>
    <d v="1899-12-30T00:12:00"/>
    <x v="1"/>
  </r>
  <r>
    <x v="9"/>
    <s v="Landed 11:10"/>
    <d v="2026-07-08T00:00:00"/>
    <d v="1899-12-30T11:10:00"/>
    <s v="Nuremberg"/>
    <s v="Nuremberg Airport"/>
    <s v="Boeing 737-8AS"/>
    <d v="2026-07-08T00:00:00"/>
    <d v="1899-12-30T11:35:00"/>
    <d v="1899-12-30T00:25:00"/>
    <x v="0"/>
  </r>
  <r>
    <x v="9"/>
    <s v="Landed 11:48"/>
    <d v="2026-07-08T00:00:00"/>
    <d v="1899-12-30T11:48:00"/>
    <s v="London"/>
    <s v="London Luton Airport"/>
    <s v="Boeing 737 MAX 8-200"/>
    <d v="2026-07-08T00:00:00"/>
    <d v="1899-12-30T11:55:00"/>
    <d v="1899-12-30T00:07:00"/>
    <x v="1"/>
  </r>
  <r>
    <x v="9"/>
    <s v="Landed 11:58"/>
    <d v="2026-07-08T00:00:00"/>
    <d v="1899-12-30T11:58:00"/>
    <s v="Barcelona"/>
    <s v="Barcelona El Prat Airport"/>
    <s v="Boeing 737-8AS"/>
    <d v="2026-07-08T00:00:00"/>
    <d v="1899-12-30T12:00:00"/>
    <d v="1899-12-30T00:02:00"/>
    <x v="1"/>
  </r>
  <r>
    <x v="11"/>
    <s v="Landed 12:32"/>
    <d v="2026-07-08T00:00:00"/>
    <d v="1899-12-30T12:32:00"/>
    <s v="Frankfurt"/>
    <s v="Frankfurt Airport"/>
    <s v="Airbus A320-271N"/>
    <d v="2026-07-08T00:00:00"/>
    <d v="1899-12-30T12:40:00"/>
    <d v="1899-12-30T00:08:00"/>
    <x v="1"/>
  </r>
  <r>
    <x v="19"/>
    <s v="Landed 13:06"/>
    <d v="2026-07-08T00:00:00"/>
    <d v="1899-12-30T13:06:00"/>
    <s v="Reykjavik"/>
    <s v="Keflavik International Airport"/>
    <s v="Airbus A320-233"/>
    <d v="2026-07-08T00:00:00"/>
    <d v="1899-12-30T12:44:00"/>
    <d v="1899-12-30T00:22:00"/>
    <x v="0"/>
  </r>
  <r>
    <x v="1"/>
    <s v="Landed 12:38"/>
    <d v="2026-07-08T00:00:00"/>
    <d v="1899-12-30T12:38:00"/>
    <s v="London"/>
    <s v="London Luton Airport"/>
    <s v="Airbus A321-271NX"/>
    <d v="2026-07-08T00:00:00"/>
    <d v="1899-12-30T12:50:00"/>
    <d v="1899-12-30T00:12:00"/>
    <x v="1"/>
  </r>
  <r>
    <x v="7"/>
    <s v="Landed 13:19"/>
    <d v="2026-07-08T00:00:00"/>
    <d v="1899-12-30T13:19:00"/>
    <s v="Helsinki"/>
    <s v="Helsinki Vantaa Airport"/>
    <s v="ATR 72-500"/>
    <d v="2026-07-08T00:00:00"/>
    <d v="1899-12-30T13:00:00"/>
    <d v="1899-12-30T00:19:00"/>
    <x v="0"/>
  </r>
  <r>
    <x v="9"/>
    <s v="Landed 13:06"/>
    <d v="2026-07-08T00:00:00"/>
    <d v="1899-12-30T13:06:00"/>
    <s v="Eindhoven"/>
    <s v="Eindhoven Airport"/>
    <s v="Boeing 737-8AS"/>
    <d v="2026-07-08T00:00:00"/>
    <d v="1899-12-30T13:10:00"/>
    <d v="1899-12-30T00:04:00"/>
    <x v="1"/>
  </r>
  <r>
    <x v="12"/>
    <s v="Landed 13:13"/>
    <d v="2026-07-08T00:00:00"/>
    <d v="1899-12-30T13:13:00"/>
    <s v="Antalya"/>
    <s v="Antalya Airport"/>
    <s v="Airbus A320-232"/>
    <d v="2026-07-08T00:00:00"/>
    <d v="1899-12-30T13:12:00"/>
    <d v="1899-12-30T00:01:00"/>
    <x v="1"/>
  </r>
  <r>
    <x v="0"/>
    <s v="Landed 13:24"/>
    <d v="2026-07-08T00:00:00"/>
    <d v="1899-12-30T13:24:00"/>
    <s v="Amsterdam"/>
    <s v="Amsterdam Schiphol Airport"/>
    <s v="Airbus A220-300"/>
    <d v="2026-07-08T00:00:00"/>
    <d v="1899-12-30T13:25:00"/>
    <d v="1899-12-30T00:01:00"/>
    <x v="1"/>
  </r>
  <r>
    <x v="13"/>
    <s v="Landed 13:09"/>
    <d v="2026-07-08T00:00:00"/>
    <d v="1899-12-30T13:09:00"/>
    <s v="Antalya"/>
    <s v="Antalya Airport"/>
    <s v="Boeing 737-85P"/>
    <d v="2026-07-08T00:00:00"/>
    <d v="1899-12-30T13:29:00"/>
    <d v="1899-12-30T00:20:00"/>
    <x v="0"/>
  </r>
  <r>
    <x v="13"/>
    <s v="Landed 13:21"/>
    <d v="2026-07-08T00:00:00"/>
    <d v="1899-12-30T13:21:00"/>
    <s v="Heraklion"/>
    <s v="Heraklion International Airport"/>
    <s v="Boeing 737-83N"/>
    <d v="2026-07-08T00:00:00"/>
    <d v="1899-12-30T13:37:00"/>
    <d v="1899-12-30T00:16:00"/>
    <x v="0"/>
  </r>
  <r>
    <x v="9"/>
    <s v="Landed 14:12"/>
    <d v="2026-07-08T00:00:00"/>
    <d v="1899-12-30T14:12:00"/>
    <s v="Rome"/>
    <s v="Rome Ciampino Airport"/>
    <s v="Boeing 737-8AS"/>
    <d v="2026-07-08T00:00:00"/>
    <d v="1899-12-30T13:50:00"/>
    <d v="1899-12-30T00:22:00"/>
    <x v="0"/>
  </r>
  <r>
    <x v="2"/>
    <s v="Landed 14:05"/>
    <d v="2026-07-08T00:00:00"/>
    <d v="1899-12-30T14:05:00"/>
    <s v="Warsaw"/>
    <s v="Warsaw Chopin Airport"/>
    <s v="Boeing 737-89P"/>
    <d v="2026-07-08T00:00:00"/>
    <d v="1899-12-30T13:50:00"/>
    <d v="1899-12-30T00:15:00"/>
    <x v="1"/>
  </r>
  <r>
    <x v="9"/>
    <s v="Landed 13:57"/>
    <d v="2026-07-08T00:00:00"/>
    <d v="1899-12-30T13:57:00"/>
    <s v="Berlin"/>
    <s v="Berlin Brandenburg Airport"/>
    <s v="Boeing 737-8AS"/>
    <d v="2026-07-08T00:00:00"/>
    <d v="1899-12-30T14:05:00"/>
    <d v="1899-12-30T00:08:00"/>
    <x v="1"/>
  </r>
  <r>
    <x v="1"/>
    <s v="Landed 14:15"/>
    <d v="2026-07-08T00:00:00"/>
    <d v="1899-12-30T14:15:00"/>
    <s v="Budapest"/>
    <s v="Budapest Ferenc Liszt International Airport"/>
    <s v="Airbus A321-271NX"/>
    <d v="2026-07-08T00:00:00"/>
    <d v="1899-12-30T14:10:00"/>
    <d v="1899-12-30T00:05:00"/>
    <x v="1"/>
  </r>
  <r>
    <x v="0"/>
    <s v="Landed 15:11"/>
    <d v="2026-07-08T00:00:00"/>
    <d v="1899-12-30T15:11:00"/>
    <s v="Riga"/>
    <s v="Riga International Airport"/>
    <s v="Airbus A220-300"/>
    <d v="2026-07-08T00:00:00"/>
    <d v="1899-12-30T14:35:00"/>
    <d v="1899-12-30T00:36:00"/>
    <x v="0"/>
  </r>
  <r>
    <x v="0"/>
    <s v="Landed 15:47"/>
    <d v="2026-07-08T00:00:00"/>
    <d v="1899-12-30T15:47:00"/>
    <s v="Vienna"/>
    <s v="Vienna International Airport"/>
    <s v="Airbus A220-300"/>
    <d v="2026-07-08T00:00:00"/>
    <d v="1899-12-30T15:10:00"/>
    <d v="1899-12-30T00:37:00"/>
    <x v="0"/>
  </r>
  <r>
    <x v="23"/>
    <s v="Landed 15:17"/>
    <d v="2026-07-08T00:00:00"/>
    <d v="1899-12-30T15:17:00"/>
    <s v="Copenhagen"/>
    <s v="Copenhagen Airport"/>
    <s v="Mitsubishi CRJ-900LR"/>
    <d v="2026-07-08T00:00:00"/>
    <d v="1899-12-30T15:15:00"/>
    <d v="1899-12-30T00:02:00"/>
    <x v="1"/>
  </r>
  <r>
    <x v="1"/>
    <s v="Landed 15:33"/>
    <d v="2026-07-08T00:00:00"/>
    <d v="1899-12-30T15:33:00"/>
    <s v="Malaga"/>
    <s v="Malaga Costa Del Sol Airport"/>
    <s v="Airbus A321-271NX"/>
    <d v="2026-07-08T00:00:00"/>
    <d v="1899-12-30T15:35:00"/>
    <d v="1899-12-30T00:02:00"/>
    <x v="1"/>
  </r>
  <r>
    <x v="2"/>
    <s v="Landed 16:14"/>
    <d v="2026-07-08T00:00:00"/>
    <d v="1899-12-30T16:14:00"/>
    <s v="Warsaw"/>
    <s v="Warsaw Chopin Airport"/>
    <s v="Embraer E175LR"/>
    <d v="2026-07-08T00:00:00"/>
    <d v="1899-12-30T16:20:00"/>
    <d v="1899-12-30T00:06:00"/>
    <x v="1"/>
  </r>
  <r>
    <x v="0"/>
    <s v="Landed 17:01"/>
    <d v="2026-07-08T00:00:00"/>
    <d v="1899-12-30T17:01:00"/>
    <s v="Malaga"/>
    <s v="Malaga Costa Del Sol Airport"/>
    <s v="Airbus A220-300"/>
    <d v="2026-07-08T00:00:00"/>
    <d v="1899-12-30T16:55:00"/>
    <d v="1899-12-30T00:06:00"/>
    <x v="1"/>
  </r>
  <r>
    <x v="7"/>
    <s v="Landed 17:23"/>
    <d v="2026-07-08T00:00:00"/>
    <d v="1899-12-30T17:23:00"/>
    <s v="Helsinki"/>
    <s v="Helsinki Vantaa Airport"/>
    <s v="Embraer E190LR"/>
    <d v="2026-07-08T00:00:00"/>
    <d v="1899-12-30T17:10:00"/>
    <d v="1899-12-30T00:13:00"/>
    <x v="1"/>
  </r>
  <r>
    <x v="9"/>
    <s v="Landed 17:46"/>
    <d v="2026-07-08T00:00:00"/>
    <d v="1899-12-30T17:46:00"/>
    <s v="Oslo"/>
    <s v="Oslo Gardermoen Airport"/>
    <s v="Boeing 737-8AS"/>
    <d v="2026-07-08T00:00:00"/>
    <d v="1899-12-30T17:45:00"/>
    <d v="1899-12-30T00:01:00"/>
    <x v="1"/>
  </r>
  <r>
    <x v="27"/>
    <s v="Unknown"/>
    <d v="2026-07-08T00:00:00"/>
    <e v="#N/A"/>
    <s v="Bacau"/>
    <s v="Bacau International Airport"/>
    <s v="N/A"/>
    <d v="2026-07-08T00:00:00"/>
    <d v="1899-12-30T18:10:00"/>
    <e v="#N/A"/>
    <x v="2"/>
  </r>
  <r>
    <x v="2"/>
    <s v="Landed 18:40"/>
    <d v="2026-07-08T00:00:00"/>
    <d v="1899-12-30T18:40:00"/>
    <s v="Warsaw"/>
    <s v="Warsaw Chopin Airport"/>
    <s v="Embraer E195LR"/>
    <d v="2026-07-08T00:00:00"/>
    <d v="1899-12-30T18:35:00"/>
    <d v="1899-12-30T00:05:00"/>
    <x v="1"/>
  </r>
  <r>
    <x v="1"/>
    <s v="Landed 18:17"/>
    <d v="2026-07-08T00:00:00"/>
    <d v="1899-12-30T18:17:00"/>
    <s v="Dortmund"/>
    <s v="Dortmund Airport"/>
    <s v="Airbus A321-271NX"/>
    <d v="2026-07-08T00:00:00"/>
    <d v="1899-12-30T18:35:00"/>
    <d v="1899-12-30T00:18:00"/>
    <x v="0"/>
  </r>
  <r>
    <x v="11"/>
    <s v="Landed 18:49"/>
    <d v="2026-07-08T00:00:00"/>
    <d v="1899-12-30T18:49:00"/>
    <s v="Frankfurt"/>
    <s v="Frankfurt Airport"/>
    <s v="Airbus A320-211"/>
    <d v="2026-07-08T00:00:00"/>
    <d v="1899-12-30T18:50:00"/>
    <d v="1899-12-30T00:01:00"/>
    <x v="1"/>
  </r>
  <r>
    <x v="15"/>
    <s v="Landed 18:59"/>
    <d v="2026-07-08T00:00:00"/>
    <d v="1899-12-30T18:59:00"/>
    <s v="Vilnius"/>
    <s v="Vilnius International Airport"/>
    <s v="Cirrus SR22T"/>
    <d v="2026-07-08T00:00:00"/>
    <d v="1899-12-30T19:10:00"/>
    <d v="1899-12-30T00:11:00"/>
    <x v="1"/>
  </r>
  <r>
    <x v="0"/>
    <s v="Landed 19:09"/>
    <d v="2026-07-08T00:00:00"/>
    <d v="1899-12-30T19:09:00"/>
    <s v="Palma de Mallorca"/>
    <s v="Palma de Mallorca Airport"/>
    <s v="Airbus A220-300"/>
    <d v="2026-07-08T00:00:00"/>
    <d v="1899-12-30T19:15:00"/>
    <d v="1899-12-30T00:06:00"/>
    <x v="1"/>
  </r>
  <r>
    <x v="30"/>
    <s v="Landed 20:23"/>
    <d v="2026-07-08T00:00:00"/>
    <d v="1899-12-30T20:23:00"/>
    <s v="Ankara"/>
    <s v="Ankara Esenboga International Airport"/>
    <s v="Embraer Lineage 1000"/>
    <d v="2026-07-08T00:00:00"/>
    <d v="1899-12-30T19:23:00"/>
    <d v="1899-12-30T01:00:00"/>
    <x v="0"/>
  </r>
  <r>
    <x v="10"/>
    <s v="Landed 19:57"/>
    <d v="2026-07-08T00:00:00"/>
    <d v="1899-12-30T19:57:00"/>
    <s v="Istanbul"/>
    <s v="Istanbul Airport"/>
    <s v="Boeing 737-8F2"/>
    <d v="2026-07-08T00:00:00"/>
    <d v="1899-12-30T19:30:00"/>
    <d v="1899-12-30T00:27:00"/>
    <x v="0"/>
  </r>
  <r>
    <x v="0"/>
    <s v="Landed 19:46"/>
    <d v="2026-07-08T00:00:00"/>
    <d v="1899-12-30T19:46:00"/>
    <s v="Amsterdam"/>
    <s v="Amsterdam Schiphol Airport"/>
    <s v="Airbus A220-300"/>
    <d v="2026-07-08T00:00:00"/>
    <d v="1899-12-30T19:50:00"/>
    <d v="1899-12-30T00:04:00"/>
    <x v="1"/>
  </r>
  <r>
    <x v="12"/>
    <s v="Landed 20:00"/>
    <d v="2026-07-08T00:00:00"/>
    <d v="1899-12-30T20:00:00"/>
    <s v="Tivat"/>
    <s v="Tivat Airport"/>
    <s v="Airbus A320-232"/>
    <d v="2026-07-08T00:00:00"/>
    <d v="1899-12-30T19:58:00"/>
    <d v="1899-12-30T00:02:00"/>
    <x v="1"/>
  </r>
  <r>
    <x v="17"/>
    <s v="Landed 20:20"/>
    <d v="2026-07-08T00:00:00"/>
    <d v="1899-12-30T20:20:00"/>
    <s v="Burgas"/>
    <s v="Burgas Airport"/>
    <s v="Airbus A320-232"/>
    <d v="2026-07-08T00:00:00"/>
    <d v="1899-12-30T20:35:00"/>
    <d v="1899-12-30T00:15:00"/>
    <x v="1"/>
  </r>
  <r>
    <x v="13"/>
    <s v="Landed 20:47"/>
    <d v="2026-07-08T00:00:00"/>
    <d v="1899-12-30T20:47:00"/>
    <s v="Rimini"/>
    <s v="Rimini Federico Fellini Airport"/>
    <s v="Boeing 737-83N"/>
    <d v="2026-07-08T00:00:00"/>
    <d v="1899-12-30T21:07:00"/>
    <d v="1899-12-30T00:20:00"/>
    <x v="0"/>
  </r>
  <r>
    <x v="7"/>
    <s v="Landed 21:00"/>
    <d v="2026-07-08T00:00:00"/>
    <d v="1899-12-30T21:00:00"/>
    <s v="Helsinki"/>
    <s v="Helsinki Vantaa Airport"/>
    <s v="ATR 72-500"/>
    <d v="2026-07-08T00:00:00"/>
    <d v="1899-12-30T21:10:00"/>
    <d v="1899-12-30T00:10:00"/>
    <x v="1"/>
  </r>
  <r>
    <x v="9"/>
    <s v="Landed 21:35"/>
    <d v="2026-07-08T00:00:00"/>
    <d v="1899-12-30T21:35:00"/>
    <s v="Athens"/>
    <s v="Athens Eleftherios Venizelos"/>
    <s v="Boeing 737-8AS"/>
    <d v="2026-07-08T00:00:00"/>
    <d v="1899-12-30T21:15:00"/>
    <d v="1899-12-30T00:20:00"/>
    <x v="0"/>
  </r>
  <r>
    <x v="1"/>
    <s v="Landed 21:30"/>
    <d v="2026-07-08T00:00:00"/>
    <d v="1899-12-30T21:30:00"/>
    <s v="Nice"/>
    <s v="Nice Cote d'Azur Airport"/>
    <s v="Airbus A321-271NX"/>
    <d v="2026-07-08T00:00:00"/>
    <d v="1899-12-30T21:30:00"/>
    <d v="1899-12-30T00:00:00"/>
    <x v="1"/>
  </r>
  <r>
    <x v="0"/>
    <s v="Landed 21:40"/>
    <d v="2026-07-08T00:00:00"/>
    <d v="1899-12-30T21:40:00"/>
    <s v="Tallinn"/>
    <s v="Tallinn Lennart Meri Airport"/>
    <s v="Airbus A220-300"/>
    <d v="2026-07-08T00:00:00"/>
    <d v="1899-12-30T21:45:00"/>
    <d v="1899-12-30T00:05:00"/>
    <x v="1"/>
  </r>
  <r>
    <x v="9"/>
    <s v="Landed 22:09"/>
    <d v="2026-07-08T00:00:00"/>
    <d v="1899-12-30T22:09:00"/>
    <s v="Frankfurt"/>
    <s v="Frankfurt Hahn Airport"/>
    <s v="Boeing 737-8AS"/>
    <d v="2026-07-08T00:00:00"/>
    <d v="1899-12-30T22:10:00"/>
    <d v="1899-12-30T00:01:00"/>
    <x v="1"/>
  </r>
  <r>
    <x v="10"/>
    <s v="Unknown"/>
    <d v="2026-07-08T00:00:00"/>
    <e v="#N/A"/>
    <s v="Istanbul"/>
    <s v="Istanbul Airport"/>
    <s v="N/A"/>
    <d v="2026-07-08T00:00:00"/>
    <d v="1899-12-30T22:25:00"/>
    <e v="#N/A"/>
    <x v="2"/>
  </r>
  <r>
    <x v="13"/>
    <s v="Landed 22:43"/>
    <d v="2026-07-08T00:00:00"/>
    <d v="1899-12-30T22:43:00"/>
    <s v="Rhodes"/>
    <s v="Rhodes International Airport"/>
    <s v="Boeing 737-85P"/>
    <d v="2026-07-08T00:00:00"/>
    <d v="1899-12-30T22:55:00"/>
    <d v="1899-12-30T00:12:00"/>
    <x v="1"/>
  </r>
  <r>
    <x v="11"/>
    <s v="Landed 23:35"/>
    <d v="2026-07-08T00:00:00"/>
    <d v="1899-12-30T23:35:00"/>
    <s v="Frankfurt"/>
    <s v="Frankfurt Airport"/>
    <s v="Airbus A320-214"/>
    <d v="2026-07-08T00:00:00"/>
    <d v="1899-12-30T23:35:00"/>
    <d v="1899-12-30T00:00:00"/>
    <x v="1"/>
  </r>
  <r>
    <x v="0"/>
    <s v="Delayed 00:37"/>
    <d v="2026-07-08T00:00:00"/>
    <e v="#N/A"/>
    <s v="Paris"/>
    <s v="Paris Charles de Gaulle Airport"/>
    <s v="Airbus A220-300"/>
    <d v="2026-07-08T00:00:00"/>
    <d v="1899-12-30T23:59:00"/>
    <e v="#N/A"/>
    <x v="2"/>
  </r>
  <r>
    <x v="9"/>
    <s v="Landed 00:05"/>
    <d v="2026-07-09T00:00:00"/>
    <d v="1899-12-30T00:05:00"/>
    <s v="Milan"/>
    <s v="Milan Bergamo Orio al Serio International Airport"/>
    <s v="Boeing 737-8AS"/>
    <d v="2026-07-08T00:00:00"/>
    <d v="1899-12-30T23:59:00"/>
    <d v="1899-12-30T00:06:00"/>
    <x v="1"/>
  </r>
  <r>
    <x v="0"/>
    <s v="Landed 00:50"/>
    <d v="2026-07-09T00:00:00"/>
    <d v="1899-12-30T00:50:00"/>
    <s v="Riga"/>
    <s v="Riga International Airport"/>
    <s v="Airbus A220-300"/>
    <d v="2026-07-09T00:00:00"/>
    <d v="1899-12-30T00:30:00"/>
    <d v="1899-12-30T00:20:00"/>
    <x v="0"/>
  </r>
  <r>
    <x v="1"/>
    <s v="Landed 00:34"/>
    <d v="2026-07-09T00:00:00"/>
    <d v="1899-12-30T00:34:00"/>
    <s v="Barcelona"/>
    <s v="Barcelona El Prat Airport"/>
    <s v="Airbus A321-271NX"/>
    <d v="2026-07-09T00:00:00"/>
    <d v="1899-12-30T00:30:00"/>
    <d v="1899-12-30T00:04:00"/>
    <x v="1"/>
  </r>
  <r>
    <x v="2"/>
    <s v="Landed 00:43"/>
    <d v="2026-07-09T00:00:00"/>
    <d v="1899-12-30T00:43:00"/>
    <s v="Warsaw"/>
    <s v="Warsaw Chopin Airport"/>
    <s v="Embraer E195LR"/>
    <d v="2026-07-09T00:00:00"/>
    <d v="1899-12-30T00:40:00"/>
    <d v="1899-12-30T00:03:00"/>
    <x v="1"/>
  </r>
  <r>
    <x v="0"/>
    <s v="Landed 00:46"/>
    <d v="2026-07-09T00:00:00"/>
    <d v="1899-12-30T00:46:00"/>
    <s v="Munich"/>
    <s v="Munich Airport"/>
    <s v="Airbus A220-300"/>
    <d v="2026-07-09T00:00:00"/>
    <d v="1899-12-30T00:45:00"/>
    <d v="1899-12-30T00:01:00"/>
    <x v="1"/>
  </r>
  <r>
    <x v="0"/>
    <s v="Landed 00:40"/>
    <d v="2026-07-09T00:00:00"/>
    <d v="1899-12-30T00:40:00"/>
    <s v="Prague"/>
    <s v="Prague Vaclav Havel Airport"/>
    <s v="Airbus A220-300"/>
    <d v="2026-07-09T00:00:00"/>
    <d v="1899-12-30T00:50:00"/>
    <d v="1899-12-30T00:10:00"/>
    <x v="1"/>
  </r>
  <r>
    <x v="1"/>
    <s v="Landed 01:23"/>
    <d v="2026-07-09T00:00:00"/>
    <d v="1899-12-30T01:23:00"/>
    <s v="Milan"/>
    <s v="Milan Malpensa Airport"/>
    <s v="Airbus A321-271NX"/>
    <d v="2026-07-09T00:00:00"/>
    <d v="1899-12-30T01:20:00"/>
    <d v="1899-12-30T00:03:00"/>
    <x v="1"/>
  </r>
  <r>
    <x v="0"/>
    <s v="Landed 01:30"/>
    <d v="2026-07-09T00:00:00"/>
    <d v="1899-12-30T01:30:00"/>
    <s v="Zurich"/>
    <s v="Zurich Airport"/>
    <s v="Airbus A220-300"/>
    <d v="2026-07-09T00:00:00"/>
    <d v="1899-12-30T01:25:00"/>
    <d v="1899-12-30T00:05:00"/>
    <x v="1"/>
  </r>
  <r>
    <x v="23"/>
    <s v="Landed 01:13"/>
    <d v="2026-07-09T00:00:00"/>
    <d v="1899-12-30T01:13:00"/>
    <s v="Copenhagen"/>
    <s v="Copenhagen Airport"/>
    <s v="Mitsubishi CRJ-1000EL"/>
    <d v="2026-07-09T00:00:00"/>
    <d v="1899-12-30T01:25:00"/>
    <d v="1899-12-30T00:12:00"/>
    <x v="1"/>
  </r>
  <r>
    <x v="5"/>
    <s v="Landed 07:43"/>
    <d v="2026-07-09T00:00:00"/>
    <d v="1899-12-30T07:43:00"/>
    <s v="Leipzig"/>
    <s v="Leipzig Halle Airport"/>
    <s v="Boeing 737-86N(SF)"/>
    <d v="2026-07-09T00:00:00"/>
    <d v="1899-12-30T07:41:00"/>
    <d v="1899-12-30T00:02:00"/>
    <x v="1"/>
  </r>
  <r>
    <x v="0"/>
    <s v="Landed 08:08"/>
    <d v="2026-07-09T00:00:00"/>
    <d v="1899-12-30T08:08:00"/>
    <s v="Riga"/>
    <s v="Riga International Airport"/>
    <s v="Airbus A220-300"/>
    <d v="2026-07-09T00:00:00"/>
    <d v="1899-12-30T07:43:00"/>
    <d v="1899-12-30T00:25:00"/>
    <x v="0"/>
  </r>
  <r>
    <x v="0"/>
    <s v="Landed 08:29"/>
    <d v="2026-07-09T00:00:00"/>
    <d v="1899-12-30T08:29:00"/>
    <s v="Riga"/>
    <s v="Riga International Airport"/>
    <s v="Airbus A220-300"/>
    <d v="2026-07-09T00:00:00"/>
    <d v="1899-12-30T08:40:00"/>
    <d v="1899-12-30T00:11:00"/>
    <x v="1"/>
  </r>
  <r>
    <x v="31"/>
    <s v="Landed 11:43"/>
    <d v="2026-07-09T00:00:00"/>
    <d v="1899-12-30T11:43:00"/>
    <s v="Tel Aviv"/>
    <s v="Tel Aviv Ben Gurion International Airport"/>
    <s v="Airbus A320-232"/>
    <d v="2026-07-09T00:00:00"/>
    <d v="1899-12-30T08:50:00"/>
    <d v="1899-12-30T02:53:00"/>
    <x v="0"/>
  </r>
  <r>
    <x v="6"/>
    <s v="Landed 09:07"/>
    <d v="2026-07-09T00:00:00"/>
    <d v="1899-12-30T09:07:00"/>
    <s v="Vienna"/>
    <s v="Vienna International Airport"/>
    <s v="Airbus A320-214"/>
    <d v="2026-07-09T00:00:00"/>
    <d v="1899-12-30T09:05:00"/>
    <d v="1899-12-30T00:02:00"/>
    <x v="1"/>
  </r>
  <r>
    <x v="7"/>
    <s v="Landed 09:06"/>
    <d v="2026-07-09T00:00:00"/>
    <d v="1899-12-30T09:06:00"/>
    <s v="Helsinki"/>
    <s v="Helsinki Vantaa Airport"/>
    <s v="ATR 72-500"/>
    <d v="2026-07-09T00:00:00"/>
    <d v="1899-12-30T09:20:00"/>
    <d v="1899-12-30T00:14:00"/>
    <x v="1"/>
  </r>
  <r>
    <x v="1"/>
    <s v="Landed 08:50"/>
    <d v="2026-07-09T00:00:00"/>
    <d v="1899-12-30T08:50:00"/>
    <s v="Tallinn"/>
    <s v="Tallinn Lennart Meri Airport"/>
    <s v="Airbus A321-271NX"/>
    <d v="2026-07-09T00:00:00"/>
    <d v="1899-12-30T09:20:00"/>
    <d v="1899-12-30T00:30:00"/>
    <x v="0"/>
  </r>
  <r>
    <x v="9"/>
    <s v="Landed 09:40"/>
    <d v="2026-07-09T00:00:00"/>
    <d v="1899-12-30T09:40:00"/>
    <s v="Corfu"/>
    <s v="Corfu International Airport"/>
    <s v="Boeing 737 MAX 8-200"/>
    <d v="2026-07-09T00:00:00"/>
    <d v="1899-12-30T09:55:00"/>
    <d v="1899-12-30T00:15:00"/>
    <x v="1"/>
  </r>
  <r>
    <x v="2"/>
    <s v="Landed 10:18"/>
    <d v="2026-07-09T00:00:00"/>
    <d v="1899-12-30T10:18:00"/>
    <s v="Warsaw"/>
    <s v="Warsaw Chopin Airport"/>
    <s v="Embraer E190STD"/>
    <d v="2026-07-09T00:00:00"/>
    <d v="1899-12-30T10:05:00"/>
    <d v="1899-12-30T00:13:00"/>
    <x v="1"/>
  </r>
  <r>
    <x v="32"/>
    <s v="Delayed 01:43"/>
    <d v="2026-07-09T00:00:00"/>
    <e v="#N/A"/>
    <s v="Istanbul"/>
    <s v="Istanbul Airport"/>
    <s v="Airbus A310-308(F)"/>
    <d v="2026-07-09T00:00:00"/>
    <d v="1899-12-30T10:14:00"/>
    <e v="#N/A"/>
    <x v="2"/>
  </r>
  <r>
    <x v="31"/>
    <s v="Unknown"/>
    <d v="2026-07-09T00:00:00"/>
    <e v="#N/A"/>
    <s v="Tel Aviv"/>
    <s v="Tel Aviv Ben Gurion International Airport"/>
    <s v="Airbus A320-232"/>
    <d v="2026-07-09T00:00:00"/>
    <d v="1899-12-30T10:15:00"/>
    <e v="#N/A"/>
    <x v="2"/>
  </r>
  <r>
    <x v="0"/>
    <s v="Landed 11:34"/>
    <d v="2026-07-09T00:00:00"/>
    <d v="1899-12-30T11:34:00"/>
    <s v="Tallinn"/>
    <s v="Tallinn Lennart Meri Airport"/>
    <s v="Airbus A220-300"/>
    <d v="2026-07-09T00:00:00"/>
    <d v="1899-12-30T10:45:00"/>
    <d v="1899-12-30T00:49:00"/>
    <x v="0"/>
  </r>
  <r>
    <x v="10"/>
    <s v="Landed 11:07"/>
    <d v="2026-07-09T00:00:00"/>
    <d v="1899-12-30T11:07:00"/>
    <s v="Istanbul"/>
    <s v="Istanbul Airport"/>
    <s v="Boeing 737-8F2"/>
    <d v="2026-07-09T00:00:00"/>
    <d v="1899-12-30T10:45:00"/>
    <d v="1899-12-30T00:22:00"/>
    <x v="0"/>
  </r>
  <r>
    <x v="9"/>
    <s v="Landed 11:56"/>
    <d v="2026-07-09T00:00:00"/>
    <d v="1899-12-30T11:56:00"/>
    <s v="London"/>
    <s v="London Stansted Airport"/>
    <s v="Boeing 737-8AS"/>
    <d v="2026-07-09T00:00:00"/>
    <d v="1899-12-30T12:00:00"/>
    <d v="1899-12-30T00:04:00"/>
    <x v="1"/>
  </r>
  <r>
    <x v="9"/>
    <s v="Landed 12:16"/>
    <d v="2026-07-09T00:00:00"/>
    <d v="1899-12-30T12:16:00"/>
    <s v="Athens"/>
    <s v="Athens Eleftherios Venizelos"/>
    <s v="Boeing 737-8AS"/>
    <d v="2026-07-09T00:00:00"/>
    <d v="1899-12-30T12:35:00"/>
    <d v="1899-12-30T00:19:00"/>
    <x v="0"/>
  </r>
  <r>
    <x v="11"/>
    <s v="Landed 12:30"/>
    <d v="2026-07-09T00:00:00"/>
    <d v="1899-12-30T12:30:00"/>
    <s v="Frankfurt"/>
    <s v="Frankfurt Airport"/>
    <s v="Airbus A321-231"/>
    <d v="2026-07-09T00:00:00"/>
    <d v="1899-12-30T12:40:00"/>
    <d v="1899-12-30T00:10:00"/>
    <x v="1"/>
  </r>
  <r>
    <x v="1"/>
    <s v="Landed 12:39"/>
    <d v="2026-07-09T00:00:00"/>
    <d v="1899-12-30T12:39:00"/>
    <s v="London"/>
    <s v="London Luton Airport"/>
    <s v="Airbus A321-271NX"/>
    <d v="2026-07-09T00:00:00"/>
    <d v="1899-12-30T12:50:00"/>
    <d v="1899-12-30T00:11:00"/>
    <x v="1"/>
  </r>
  <r>
    <x v="7"/>
    <s v="Landed 12:36"/>
    <d v="2026-07-09T00:00:00"/>
    <d v="1899-12-30T12:36:00"/>
    <s v="Helsinki"/>
    <s v="Helsinki Vantaa Airport"/>
    <s v="Embraer E190LR"/>
    <d v="2026-07-09T00:00:00"/>
    <d v="1899-12-30T13:00:00"/>
    <d v="1899-12-30T00:24:00"/>
    <x v="0"/>
  </r>
  <r>
    <x v="12"/>
    <s v="Landed 13:09"/>
    <d v="2026-07-09T00:00:00"/>
    <d v="1899-12-30T13:09:00"/>
    <s v="Antalya"/>
    <s v="Antalya Airport"/>
    <s v="Airbus A320-232"/>
    <d v="2026-07-09T00:00:00"/>
    <d v="1899-12-30T13:05:00"/>
    <d v="1899-12-30T00:04:00"/>
    <x v="1"/>
  </r>
  <r>
    <x v="13"/>
    <s v="Landed 13:14"/>
    <d v="2026-07-09T00:00:00"/>
    <d v="1899-12-30T13:14:00"/>
    <s v="Antalya"/>
    <s v="Antalya Airport"/>
    <s v="Boeing 737-83N"/>
    <d v="2026-07-09T00:00:00"/>
    <d v="1899-12-30T13:19:00"/>
    <d v="1899-12-30T00:05:00"/>
    <x v="1"/>
  </r>
  <r>
    <x v="9"/>
    <s v="Landed 13:08"/>
    <d v="2026-07-09T00:00:00"/>
    <d v="1899-12-30T13:08:00"/>
    <s v="Malta"/>
    <s v="Malta Luqa International Airport"/>
    <s v="Boeing 737-8AS"/>
    <d v="2026-07-09T00:00:00"/>
    <d v="1899-12-30T13:20:00"/>
    <d v="1899-12-30T00:12:00"/>
    <x v="1"/>
  </r>
  <r>
    <x v="0"/>
    <s v="Landed 13:17"/>
    <d v="2026-07-09T00:00:00"/>
    <d v="1899-12-30T13:17:00"/>
    <s v="Zurich"/>
    <s v="Zurich Airport"/>
    <s v="Airbus A220-300"/>
    <d v="2026-07-09T00:00:00"/>
    <d v="1899-12-30T13:25:00"/>
    <d v="1899-12-30T00:08:00"/>
    <x v="1"/>
  </r>
  <r>
    <x v="0"/>
    <s v="Landed 13:33"/>
    <d v="2026-07-09T00:00:00"/>
    <d v="1899-12-30T13:33:00"/>
    <s v="Amsterdam"/>
    <s v="Amsterdam Schiphol Airport"/>
    <s v="Airbus A220-300"/>
    <d v="2026-07-09T00:00:00"/>
    <d v="1899-12-30T13:25:00"/>
    <d v="1899-12-30T00:08:00"/>
    <x v="1"/>
  </r>
  <r>
    <x v="13"/>
    <s v="Landed 13:44"/>
    <d v="2026-07-09T00:00:00"/>
    <d v="1899-12-30T13:44:00"/>
    <s v="Olbia"/>
    <s v="Olbia Costa Smeralda Airport"/>
    <s v="Boeing 737-85P"/>
    <d v="2026-07-09T00:00:00"/>
    <d v="1899-12-30T13:45:00"/>
    <d v="1899-12-30T00:01:00"/>
    <x v="1"/>
  </r>
  <r>
    <x v="2"/>
    <s v="Landed 13:45"/>
    <d v="2026-07-09T00:00:00"/>
    <d v="1899-12-30T13:45:00"/>
    <s v="Warsaw"/>
    <s v="Warsaw Chopin Airport"/>
    <s v="Embraer E190STD"/>
    <d v="2026-07-09T00:00:00"/>
    <d v="1899-12-30T13:50:00"/>
    <d v="1899-12-30T00:05:00"/>
    <x v="1"/>
  </r>
  <r>
    <x v="1"/>
    <s v="Landed 14:16"/>
    <d v="2026-07-09T00:00:00"/>
    <d v="1899-12-30T14:16:00"/>
    <s v="Billund"/>
    <s v="Billund Airport"/>
    <s v="Airbus A321-271NX"/>
    <d v="2026-07-09T00:00:00"/>
    <d v="1899-12-30T14:10:00"/>
    <d v="1899-12-30T00:06:00"/>
    <x v="1"/>
  </r>
  <r>
    <x v="0"/>
    <s v="Landed 14:24"/>
    <d v="2026-07-09T00:00:00"/>
    <d v="1899-12-30T14:24:00"/>
    <s v="Riga"/>
    <s v="Riga International Airport"/>
    <s v="Airbus A220-300"/>
    <d v="2026-07-09T00:00:00"/>
    <d v="1899-12-30T14:35:00"/>
    <d v="1899-12-30T00:11:00"/>
    <x v="1"/>
  </r>
  <r>
    <x v="14"/>
    <s v="Landed 15:31"/>
    <d v="2026-07-09T00:00:00"/>
    <d v="1899-12-30T15:31:00"/>
    <s v="Oslo"/>
    <s v="Oslo Gardermoen Airport"/>
    <s v="Boeing 737-8KN"/>
    <d v="2026-07-09T00:00:00"/>
    <d v="1899-12-30T15:05:00"/>
    <d v="1899-12-30T00:26:00"/>
    <x v="0"/>
  </r>
  <r>
    <x v="23"/>
    <s v="Landed 15:13"/>
    <d v="2026-07-09T00:00:00"/>
    <d v="1899-12-30T15:13:00"/>
    <s v="Copenhagen"/>
    <s v="Copenhagen Airport"/>
    <s v="Mitsubishi CRJ-1000EL"/>
    <d v="2026-07-09T00:00:00"/>
    <d v="1899-12-30T15:15:00"/>
    <d v="1899-12-30T00:02:00"/>
    <x v="1"/>
  </r>
  <r>
    <x v="9"/>
    <s v="Landed 15:26"/>
    <d v="2026-07-09T00:00:00"/>
    <d v="1899-12-30T15:26:00"/>
    <s v="Milan"/>
    <s v="Milan Bergamo Orio al Serio International Airport"/>
    <s v="Boeing 737 MAX 8-200"/>
    <d v="2026-07-09T00:00:00"/>
    <d v="1899-12-30T15:30:00"/>
    <d v="1899-12-30T00:04:00"/>
    <x v="1"/>
  </r>
  <r>
    <x v="1"/>
    <s v="Landed 15:23"/>
    <d v="2026-07-09T00:00:00"/>
    <d v="1899-12-30T15:23:00"/>
    <s v="Reykjavik"/>
    <s v="Keflavik International Airport"/>
    <s v="Airbus A321-271NX"/>
    <d v="2026-07-09T00:00:00"/>
    <d v="1899-12-30T15:30:00"/>
    <d v="1899-12-30T00:07:00"/>
    <x v="1"/>
  </r>
  <r>
    <x v="0"/>
    <s v="Landed 16:34"/>
    <d v="2026-07-09T00:00:00"/>
    <d v="1899-12-30T16:34:00"/>
    <s v="Hamburg"/>
    <s v="Hamburg Airport"/>
    <s v="Airbus A220-300"/>
    <d v="2026-07-09T00:00:00"/>
    <d v="1899-12-30T16:00:00"/>
    <d v="1899-12-30T00:34:00"/>
    <x v="0"/>
  </r>
  <r>
    <x v="33"/>
    <s v="Landed 17:02"/>
    <d v="2026-07-09T00:00:00"/>
    <d v="1899-12-30T17:02:00"/>
    <s v="Venice"/>
    <s v="Venice Marco Polo Airport"/>
    <s v="Embraer Praetor 600"/>
    <d v="2026-07-09T00:00:00"/>
    <d v="1899-12-30T16:09:00"/>
    <d v="1899-12-30T00:53:00"/>
    <x v="0"/>
  </r>
  <r>
    <x v="2"/>
    <s v="Landed 17:05"/>
    <d v="2026-07-09T00:00:00"/>
    <d v="1899-12-30T17:05:00"/>
    <s v="Warsaw"/>
    <s v="Warsaw Chopin Airport"/>
    <s v="Boeing 737 MAX 8"/>
    <d v="2026-07-09T00:00:00"/>
    <d v="1899-12-30T16:20:00"/>
    <d v="1899-12-30T00:45:00"/>
    <x v="0"/>
  </r>
  <r>
    <x v="9"/>
    <s v="Landed 16:48"/>
    <d v="2026-07-09T00:00:00"/>
    <d v="1899-12-30T16:48:00"/>
    <s v="Berlin"/>
    <s v="Berlin Brandenburg Airport"/>
    <s v="Boeing 737-8AS"/>
    <d v="2026-07-09T00:00:00"/>
    <d v="1899-12-30T17:05:00"/>
    <d v="1899-12-30T00:17:00"/>
    <x v="0"/>
  </r>
  <r>
    <x v="7"/>
    <s v="Landed 18:48"/>
    <d v="2026-07-09T00:00:00"/>
    <d v="1899-12-30T18:48:00"/>
    <s v="Helsinki"/>
    <s v="Helsinki Vantaa Airport"/>
    <s v="ATR 72-500"/>
    <d v="2026-07-09T00:00:00"/>
    <d v="1899-12-30T17:55:00"/>
    <d v="1899-12-30T00:53:00"/>
    <x v="0"/>
  </r>
  <r>
    <x v="9"/>
    <s v="Landed 18:11"/>
    <d v="2026-07-09T00:00:00"/>
    <d v="1899-12-30T18:11:00"/>
    <s v="Oslo"/>
    <s v="Oslo Gardermoen Airport"/>
    <s v="Boeing 737-8AS"/>
    <d v="2026-07-09T00:00:00"/>
    <d v="1899-12-30T18:30:00"/>
    <d v="1899-12-30T00:19:00"/>
    <x v="0"/>
  </r>
  <r>
    <x v="2"/>
    <s v="Landed 18:40"/>
    <d v="2026-07-09T00:00:00"/>
    <d v="1899-12-30T18:40:00"/>
    <s v="Warsaw"/>
    <s v="Warsaw Chopin Airport"/>
    <s v="Embraer E195LR"/>
    <d v="2026-07-09T00:00:00"/>
    <d v="1899-12-30T18:35:00"/>
    <d v="1899-12-30T00:05:00"/>
    <x v="1"/>
  </r>
  <r>
    <x v="11"/>
    <s v="Landed 18:42"/>
    <d v="2026-07-09T00:00:00"/>
    <d v="1899-12-30T18:42:00"/>
    <s v="Frankfurt"/>
    <s v="Frankfurt Airport"/>
    <s v="Airbus A320-214"/>
    <d v="2026-07-09T00:00:00"/>
    <d v="1899-12-30T18:50:00"/>
    <d v="1899-12-30T00:08:00"/>
    <x v="1"/>
  </r>
  <r>
    <x v="1"/>
    <s v="Landed 18:26"/>
    <d v="2026-07-09T00:00:00"/>
    <d v="1899-12-30T18:26:00"/>
    <s v="Kutaisi"/>
    <s v="Kutaisi International Airport"/>
    <s v="Airbus A321-271NX"/>
    <d v="2026-07-09T00:00:00"/>
    <d v="1899-12-30T18:50:00"/>
    <d v="1899-12-30T00:24:00"/>
    <x v="0"/>
  </r>
  <r>
    <x v="1"/>
    <s v="Landed 18:58"/>
    <d v="2026-07-09T00:00:00"/>
    <d v="1899-12-30T18:58:00"/>
    <s v="Gdansk"/>
    <s v="Gdansk Lech Walesa Airport"/>
    <s v="Airbus A321-271NX"/>
    <d v="2026-07-09T00:00:00"/>
    <d v="1899-12-30T19:10:00"/>
    <d v="1899-12-30T00:12:00"/>
    <x v="1"/>
  </r>
  <r>
    <x v="1"/>
    <s v="Landed 19:14"/>
    <d v="2026-07-09T00:00:00"/>
    <d v="1899-12-30T19:14:00"/>
    <s v="Tirana"/>
    <s v="Tirana International Airport"/>
    <s v="Airbus A321-271NX"/>
    <d v="2026-07-09T00:00:00"/>
    <d v="1899-12-30T19:10:00"/>
    <d v="1899-12-30T00:04:00"/>
    <x v="1"/>
  </r>
  <r>
    <x v="0"/>
    <s v="Landed 19:31"/>
    <d v="2026-07-09T00:00:00"/>
    <d v="1899-12-30T19:31:00"/>
    <s v="Dusseldorf"/>
    <s v="Dusseldorf Airport"/>
    <s v="Airbus A220-300"/>
    <d v="2026-07-09T00:00:00"/>
    <d v="1899-12-30T19:20:00"/>
    <d v="1899-12-30T00:11:00"/>
    <x v="1"/>
  </r>
  <r>
    <x v="10"/>
    <s v="Landed 19:40"/>
    <d v="2026-07-09T00:00:00"/>
    <d v="1899-12-30T19:40:00"/>
    <s v="Istanbul"/>
    <s v="Istanbul Airport"/>
    <s v="Boeing 737-8F2"/>
    <d v="2026-07-09T00:00:00"/>
    <d v="1899-12-30T19:30:00"/>
    <d v="1899-12-30T00:10:00"/>
    <x v="1"/>
  </r>
  <r>
    <x v="0"/>
    <s v="Landed 19:46"/>
    <d v="2026-07-09T00:00:00"/>
    <d v="1899-12-30T19:46:00"/>
    <s v="Amsterdam"/>
    <s v="Amsterdam Schiphol Airport"/>
    <s v="Airbus A220-300"/>
    <d v="2026-07-09T00:00:00"/>
    <d v="1899-12-30T19:50:00"/>
    <d v="1899-12-30T00:04:00"/>
    <x v="1"/>
  </r>
  <r>
    <x v="9"/>
    <s v="Landed 20:29"/>
    <d v="2026-07-09T00:00:00"/>
    <d v="1899-12-30T20:29:00"/>
    <s v="London"/>
    <s v="London Luton Airport"/>
    <s v="Boeing 737 MAX 8-200"/>
    <d v="2026-07-09T00:00:00"/>
    <d v="1899-12-30T20:10:00"/>
    <d v="1899-12-30T00:19:00"/>
    <x v="0"/>
  </r>
  <r>
    <x v="1"/>
    <s v="Landed 19:56"/>
    <d v="2026-07-09T00:00:00"/>
    <d v="1899-12-30T19:56:00"/>
    <s v="Dortmund"/>
    <s v="Dortmund Airport"/>
    <s v="Airbus A321-271NX"/>
    <d v="2026-07-09T00:00:00"/>
    <d v="1899-12-30T20:15:00"/>
    <d v="1899-12-30T00:19:00"/>
    <x v="0"/>
  </r>
  <r>
    <x v="0"/>
    <s v="Landed 20:55"/>
    <d v="2026-07-09T00:00:00"/>
    <d v="1899-12-30T20:55:00"/>
    <s v="Riga"/>
    <s v="Riga International Airport"/>
    <s v="Airbus A220-300"/>
    <d v="2026-07-09T00:00:00"/>
    <d v="1899-12-30T20:50:00"/>
    <d v="1899-12-30T00:05:00"/>
    <x v="1"/>
  </r>
  <r>
    <x v="13"/>
    <s v="Landed 20:44"/>
    <d v="2026-07-09T00:00:00"/>
    <d v="1899-12-30T20:44:00"/>
    <s v="Burgas"/>
    <s v="Burgas Airport"/>
    <s v="Boeing 737-85P"/>
    <d v="2026-07-09T00:00:00"/>
    <d v="1899-12-30T20:57:00"/>
    <d v="1899-12-30T00:13:00"/>
    <x v="1"/>
  </r>
  <r>
    <x v="14"/>
    <s v="Landed 21:01"/>
    <d v="2026-07-09T00:00:00"/>
    <d v="1899-12-30T21:01:00"/>
    <s v="Stockholm"/>
    <s v="Stockholm Arlanda Airport"/>
    <s v="Boeing 737-8JP"/>
    <d v="2026-07-09T00:00:00"/>
    <d v="1899-12-30T21:00:00"/>
    <d v="1899-12-30T00:01:00"/>
    <x v="1"/>
  </r>
  <r>
    <x v="7"/>
    <s v="Landed 20:54"/>
    <d v="2026-07-09T00:00:00"/>
    <d v="1899-12-30T20:54:00"/>
    <s v="Helsinki"/>
    <s v="Helsinki Vantaa Airport"/>
    <s v="ATR 72-500"/>
    <d v="2026-07-09T00:00:00"/>
    <d v="1899-12-30T21:10:00"/>
    <d v="1899-12-30T00:16:00"/>
    <x v="0"/>
  </r>
  <r>
    <x v="16"/>
    <s v="Landed 23:01"/>
    <d v="2026-07-09T00:00:00"/>
    <d v="1899-12-30T23:01:00"/>
    <s v="Tel Aviv"/>
    <s v="Tel Aviv Ben Gurion International Airport"/>
    <s v="Airbus A320-232"/>
    <d v="2026-07-09T00:00:00"/>
    <d v="1899-12-30T21:15:00"/>
    <d v="1899-12-30T01:46:00"/>
    <x v="0"/>
  </r>
  <r>
    <x v="13"/>
    <s v="Landed 21:28"/>
    <d v="2026-07-09T00:00:00"/>
    <d v="1899-12-30T21:28:00"/>
    <s v="Heraklion"/>
    <s v="Heraklion International Airport"/>
    <s v="Boeing 737-83N"/>
    <d v="2026-07-09T00:00:00"/>
    <d v="1899-12-30T21:17:00"/>
    <d v="1899-12-30T00:11:00"/>
    <x v="1"/>
  </r>
  <r>
    <x v="34"/>
    <s v="Landed 21:38"/>
    <d v="2026-07-09T00:00:00"/>
    <d v="1899-12-30T21:38:00"/>
    <s v="Dusseldorf"/>
    <s v="Dusseldorf Monchengladbach Airport"/>
    <s v="Embraer Phenom 300"/>
    <d v="2026-07-09T00:00:00"/>
    <d v="1899-12-30T21:21:00"/>
    <d v="1899-12-30T00:17:00"/>
    <x v="0"/>
  </r>
  <r>
    <x v="0"/>
    <s v="Landed 21:32"/>
    <d v="2026-07-09T00:00:00"/>
    <d v="1899-12-30T21:32:00"/>
    <s v="Tallinn"/>
    <s v="Tallinn Lennart Meri Airport"/>
    <s v="Airbus A220-300"/>
    <d v="2026-07-09T00:00:00"/>
    <d v="1899-12-30T21:45:00"/>
    <d v="1899-12-30T00:13:00"/>
    <x v="1"/>
  </r>
  <r>
    <x v="2"/>
    <s v="Landed 22:36"/>
    <d v="2026-07-09T00:00:00"/>
    <d v="1899-12-30T22:36:00"/>
    <s v="Warsaw"/>
    <s v="Warsaw Chopin Airport"/>
    <s v="Embraer E190AR"/>
    <d v="2026-07-09T00:00:00"/>
    <d v="1899-12-30T22:20:00"/>
    <d v="1899-12-30T00:16:00"/>
    <x v="0"/>
  </r>
  <r>
    <x v="17"/>
    <s v="Landed 21:49"/>
    <d v="2026-07-09T00:00:00"/>
    <d v="1899-12-30T21:49:00"/>
    <s v="Antalya"/>
    <s v="Antalya Airport"/>
    <s v="Airbus A320-232"/>
    <d v="2026-07-09T00:00:00"/>
    <d v="1899-12-30T22:35:00"/>
    <d v="1899-12-30T00:46:00"/>
    <x v="0"/>
  </r>
  <r>
    <x v="10"/>
    <s v="Unknown"/>
    <d v="2026-07-09T00:00:00"/>
    <e v="#N/A"/>
    <s v="Bucharest"/>
    <s v="Bucharest Henri Coanda International Airport"/>
    <s v="N/A"/>
    <d v="2026-07-09T00:00:00"/>
    <d v="1899-12-30T22:40:00"/>
    <e v="#N/A"/>
    <x v="2"/>
  </r>
  <r>
    <x v="0"/>
    <s v="Landed 23:13"/>
    <d v="2026-07-09T00:00:00"/>
    <d v="1899-12-30T23:13:00"/>
    <s v="Paris"/>
    <s v="Paris Charles de Gaulle Airport"/>
    <s v="Airbus A220-300"/>
    <d v="2026-07-09T00:00:00"/>
    <d v="1899-12-30T23:05:00"/>
    <d v="1899-12-30T00:08:00"/>
    <x v="1"/>
  </r>
  <r>
    <x v="20"/>
    <s v="Landed 23:18"/>
    <d v="2026-07-09T00:00:00"/>
    <d v="1899-12-30T23:18:00"/>
    <s v="Antalya"/>
    <s v="Antalya Airport"/>
    <s v="Boeing 777-31H(ER)"/>
    <d v="2026-07-09T00:00:00"/>
    <d v="1899-12-30T23:12:00"/>
    <d v="1899-12-30T00:06:00"/>
    <x v="1"/>
  </r>
  <r>
    <x v="9"/>
    <s v="Delayed 00:20"/>
    <d v="2026-07-09T00:00:00"/>
    <e v="#N/A"/>
    <s v="Rome"/>
    <s v="Rome Ciampino Airport"/>
    <s v="Boeing 737-8AS"/>
    <d v="2026-07-09T00:00:00"/>
    <d v="1899-12-30T23:25:00"/>
    <e v="#N/A"/>
    <x v="2"/>
  </r>
  <r>
    <x v="11"/>
    <s v="Landed 23:26"/>
    <d v="2026-07-09T00:00:00"/>
    <d v="1899-12-30T23:26:00"/>
    <s v="Frankfurt"/>
    <s v="Frankfurt Airport"/>
    <s v="Airbus A320-271N"/>
    <d v="2026-07-09T00:00:00"/>
    <d v="1899-12-30T23:35:00"/>
    <d v="1899-12-30T00:09:00"/>
    <x v="1"/>
  </r>
  <r>
    <x v="9"/>
    <s v="Landed 23:38"/>
    <d v="2026-07-09T00:00:00"/>
    <d v="1899-12-30T23:38:00"/>
    <s v="Venice"/>
    <s v="Venice Treviso Airport"/>
    <s v="Boeing 737-8AS"/>
    <d v="2026-07-09T00:00:00"/>
    <d v="1899-12-30T23:55:00"/>
    <d v="1899-12-30T00:17:00"/>
    <x v="0"/>
  </r>
  <r>
    <x v="0"/>
    <s v="Landed 00:07"/>
    <d v="2026-07-10T00:00:00"/>
    <d v="1899-12-30T00:07:00"/>
    <s v="Berlin"/>
    <s v="Berlin Brandenburg Airport"/>
    <s v="Airbus A220-300"/>
    <d v="2026-07-10T00:00:00"/>
    <d v="1899-12-30T00:15:00"/>
    <d v="1899-12-30T00:08:00"/>
    <x v="1"/>
  </r>
  <r>
    <x v="1"/>
    <s v="Landed 23:53"/>
    <d v="2026-07-09T00:00:00"/>
    <d v="1899-12-30T23:53:00"/>
    <s v="Turku"/>
    <s v="Turku Airport"/>
    <s v="Airbus A321-271NX"/>
    <d v="2026-07-10T00:00:00"/>
    <d v="1899-12-30T00:15:00"/>
    <d v="1899-12-30T00:22:00"/>
    <x v="1"/>
  </r>
  <r>
    <x v="0"/>
    <s v="Landed 00:47"/>
    <d v="2026-07-10T00:00:00"/>
    <d v="1899-12-30T00:47:00"/>
    <s v="Riga"/>
    <s v="Riga International Airport"/>
    <s v="Airbus A220-300"/>
    <d v="2026-07-10T00:00:00"/>
    <d v="1899-12-30T00:30:00"/>
    <d v="1899-12-30T00:17:00"/>
    <x v="0"/>
  </r>
  <r>
    <x v="1"/>
    <s v="Landed 00:26"/>
    <d v="2026-07-10T00:00:00"/>
    <d v="1899-12-30T00:26:00"/>
    <s v="Barcelona"/>
    <s v="Barcelona El Prat Airport"/>
    <s v="Airbus A321-271NX"/>
    <d v="2026-07-10T00:00:00"/>
    <d v="1899-12-30T00:30:00"/>
    <d v="1899-12-30T00:04:00"/>
    <x v="1"/>
  </r>
  <r>
    <x v="2"/>
    <s v="Landed 00:34"/>
    <d v="2026-07-10T00:00:00"/>
    <d v="1899-12-30T00:34:00"/>
    <s v="Warsaw"/>
    <s v="Warsaw Chopin Airport"/>
    <s v="Embraer E190STD"/>
    <d v="2026-07-10T00:00:00"/>
    <d v="1899-12-30T00:40:00"/>
    <d v="1899-12-30T00:06:00"/>
    <x v="1"/>
  </r>
  <r>
    <x v="0"/>
    <s v="Landed 01:01"/>
    <d v="2026-07-10T00:00:00"/>
    <d v="1899-12-30T01:01:00"/>
    <s v="Munich"/>
    <s v="Munich Airport"/>
    <s v="Airbus A220-300"/>
    <d v="2026-07-10T00:00:00"/>
    <d v="1899-12-30T00:45:00"/>
    <d v="1899-12-30T00:16:00"/>
    <x v="0"/>
  </r>
  <r>
    <x v="0"/>
    <s v="Landed 01:29"/>
    <d v="2026-07-10T00:00:00"/>
    <d v="1899-12-30T01:29:00"/>
    <s v="Zurich"/>
    <s v="Zurich Airport"/>
    <s v="Airbus A220-300"/>
    <d v="2026-07-10T00:00:00"/>
    <d v="1899-12-30T01:25:00"/>
    <d v="1899-12-30T00:04:00"/>
    <x v="1"/>
  </r>
  <r>
    <x v="3"/>
    <s v="Landed 01:11"/>
    <d v="2026-07-10T00:00:00"/>
    <d v="1899-12-30T01:11:00"/>
    <s v="Copenhagen"/>
    <s v="Copenhagen Airport"/>
    <s v="Mitsubishi CRJ-900LR"/>
    <d v="2026-07-10T00:00:00"/>
    <d v="1899-12-30T01:25:00"/>
    <d v="1899-12-30T00:14:00"/>
    <x v="1"/>
  </r>
  <r>
    <x v="1"/>
    <s v="Landed 01:25"/>
    <d v="2026-07-10T00:00:00"/>
    <d v="1899-12-30T01:25:00"/>
    <s v="Podgorica"/>
    <s v="Podgorica Airport"/>
    <s v="Airbus A321-271NX"/>
    <d v="2026-07-10T00:00:00"/>
    <d v="1899-12-30T01:25:00"/>
    <d v="1899-12-30T00:00:00"/>
    <x v="1"/>
  </r>
  <r>
    <x v="4"/>
    <s v="Landed 03:13"/>
    <d v="2026-07-10T00:00:00"/>
    <d v="1899-12-30T03:13:00"/>
    <s v="Sharm el-Sheikh"/>
    <s v="Sharm el-Sheikh International Airport"/>
    <s v="Boeing 737-8Z0"/>
    <d v="2026-07-10T00:00:00"/>
    <d v="1899-12-30T03:20:00"/>
    <d v="1899-12-30T00:07:00"/>
    <x v="1"/>
  </r>
  <r>
    <x v="5"/>
    <s v="Landed 07:36"/>
    <d v="2026-07-10T00:00:00"/>
    <d v="1899-12-30T07:36:00"/>
    <s v="Leipzig"/>
    <s v="Leipzig Halle Airport"/>
    <s v="Boeing 737-86N(SF)"/>
    <d v="2026-07-10T00:00:00"/>
    <d v="1899-12-30T07:44:00"/>
    <d v="1899-12-30T00:08:00"/>
    <x v="1"/>
  </r>
  <r>
    <x v="0"/>
    <s v="Landed 08:24"/>
    <d v="2026-07-10T00:00:00"/>
    <d v="1899-12-30T08:24:00"/>
    <s v="Riga"/>
    <s v="Riga International Airport"/>
    <s v="Airbus A220-300"/>
    <d v="2026-07-10T00:00:00"/>
    <d v="1899-12-30T08:40:00"/>
    <d v="1899-12-30T00:16:00"/>
    <x v="0"/>
  </r>
  <r>
    <x v="1"/>
    <s v="Landed 08:40"/>
    <d v="2026-07-10T00:00:00"/>
    <d v="1899-12-30T08:40:00"/>
    <s v="Krakow"/>
    <s v="Krakow John Paul II International Airport"/>
    <s v="Airbus A321-271NX"/>
    <d v="2026-07-10T00:00:00"/>
    <d v="1899-12-30T08:50:00"/>
    <d v="1899-12-30T00:10:00"/>
    <x v="1"/>
  </r>
  <r>
    <x v="7"/>
    <s v="Landed 08:44"/>
    <d v="2026-07-10T00:00:00"/>
    <d v="1899-12-30T08:44:00"/>
    <s v="Helsinki"/>
    <s v="Helsinki Vantaa Airport"/>
    <s v="Embraer E190LR"/>
    <d v="2026-07-10T00:00:00"/>
    <d v="1899-12-30T08:55:00"/>
    <d v="1899-12-30T00:11:00"/>
    <x v="1"/>
  </r>
  <r>
    <x v="1"/>
    <s v="Landed 08:55"/>
    <d v="2026-07-10T00:00:00"/>
    <d v="1899-12-30T08:55:00"/>
    <s v="Tallinn"/>
    <s v="Tallinn Lennart Meri Airport"/>
    <s v="Airbus A321-271NX"/>
    <d v="2026-07-10T00:00:00"/>
    <d v="1899-12-30T09:20:00"/>
    <d v="1899-12-30T00:25:00"/>
    <x v="0"/>
  </r>
  <r>
    <x v="9"/>
    <s v="Landed 09:16"/>
    <d v="2026-07-10T00:00:00"/>
    <d v="1899-12-30T09:16:00"/>
    <s v="Milan"/>
    <s v="Milan Bergamo Orio al Serio International Airport"/>
    <s v="Boeing 737-8AS"/>
    <d v="2026-07-10T00:00:00"/>
    <d v="1899-12-30T09:35:00"/>
    <d v="1899-12-30T00:19:00"/>
    <x v="0"/>
  </r>
  <r>
    <x v="2"/>
    <s v="Landed 09:55"/>
    <d v="2026-07-10T00:00:00"/>
    <d v="1899-12-30T09:55:00"/>
    <s v="Warsaw"/>
    <s v="Warsaw Chopin Airport"/>
    <s v="Embraer E175LR"/>
    <d v="2026-07-10T00:00:00"/>
    <d v="1899-12-30T10:05:00"/>
    <d v="1899-12-30T00:10:00"/>
    <x v="1"/>
  </r>
  <r>
    <x v="10"/>
    <s v="Landed 10:47"/>
    <d v="2026-07-10T00:00:00"/>
    <d v="1899-12-30T10:47:00"/>
    <s v="Istanbul"/>
    <s v="Istanbul Airport"/>
    <s v="Boeing 737 MAX 8"/>
    <d v="2026-07-10T00:00:00"/>
    <d v="1899-12-30T10:45:00"/>
    <d v="1899-12-30T00:02:00"/>
    <x v="1"/>
  </r>
  <r>
    <x v="17"/>
    <s v="Landed 11:00"/>
    <d v="2026-07-10T00:00:00"/>
    <d v="1899-12-30T11:00:00"/>
    <s v="Tivat"/>
    <s v="Tivat Airport"/>
    <s v="Airbus A320-232"/>
    <d v="2026-07-10T00:00:00"/>
    <d v="1899-12-30T11:00:00"/>
    <d v="1899-12-30T00:00:00"/>
    <x v="1"/>
  </r>
  <r>
    <x v="9"/>
    <s v="Landed 11:04"/>
    <d v="2026-07-10T00:00:00"/>
    <d v="1899-12-30T11:04:00"/>
    <s v="London"/>
    <s v="London Luton Airport"/>
    <s v="Boeing 737 MAX 8-200"/>
    <d v="2026-07-10T00:00:00"/>
    <d v="1899-12-30T11:10:00"/>
    <d v="1899-12-30T00:06:00"/>
    <x v="1"/>
  </r>
  <r>
    <x v="0"/>
    <s v="Landed 12:04"/>
    <d v="2026-07-10T00:00:00"/>
    <d v="1899-12-30T12:04:00"/>
    <s v="Prague"/>
    <s v="Prague Vaclav Havel Airport"/>
    <s v="Airbus A220-300"/>
    <d v="2026-07-10T00:00:00"/>
    <d v="1899-12-30T12:25:00"/>
    <d v="1899-12-30T00:21:00"/>
    <x v="0"/>
  </r>
  <r>
    <x v="11"/>
    <s v="Landed 12:37"/>
    <d v="2026-07-10T00:00:00"/>
    <d v="1899-12-30T12:37:00"/>
    <s v="Frankfurt"/>
    <s v="Frankfurt Airport"/>
    <s v="Airbus A321-131"/>
    <d v="2026-07-10T00:00:00"/>
    <d v="1899-12-30T12:40:00"/>
    <d v="1899-12-30T00:03:00"/>
    <x v="1"/>
  </r>
  <r>
    <x v="13"/>
    <s v="Landed 12:06"/>
    <d v="2026-07-10T00:00:00"/>
    <d v="1899-12-30T12:06:00"/>
    <s v="Varna"/>
    <s v="Varna Airport"/>
    <s v="Boeing 737-85P"/>
    <d v="2026-07-10T00:00:00"/>
    <d v="1899-12-30T12:49:00"/>
    <d v="1899-12-30T00:43:00"/>
    <x v="0"/>
  </r>
  <r>
    <x v="1"/>
    <s v="Landed 12:51"/>
    <d v="2026-07-10T00:00:00"/>
    <d v="1899-12-30T12:51:00"/>
    <s v="London"/>
    <s v="London Luton Airport"/>
    <s v="Airbus A321-271NX"/>
    <d v="2026-07-10T00:00:00"/>
    <d v="1899-12-30T12:50:00"/>
    <d v="1899-12-30T00:01:00"/>
    <x v="1"/>
  </r>
  <r>
    <x v="7"/>
    <s v="Landed 13:12"/>
    <d v="2026-07-10T00:00:00"/>
    <d v="1899-12-30T13:12:00"/>
    <s v="Helsinki"/>
    <s v="Helsinki Vantaa Airport"/>
    <s v="ATR 72-500"/>
    <d v="2026-07-10T00:00:00"/>
    <d v="1899-12-30T13:00:00"/>
    <d v="1899-12-30T00:12:00"/>
    <x v="1"/>
  </r>
  <r>
    <x v="12"/>
    <s v="Landed 13:21"/>
    <d v="2026-07-10T00:00:00"/>
    <d v="1899-12-30T13:21:00"/>
    <s v="Antalya"/>
    <s v="Antalya Airport"/>
    <s v="Airbus A320-232"/>
    <d v="2026-07-10T00:00:00"/>
    <d v="1899-12-30T13:06:00"/>
    <d v="1899-12-30T00:15:00"/>
    <x v="1"/>
  </r>
  <r>
    <x v="9"/>
    <s v="Landed 13:01"/>
    <d v="2026-07-10T00:00:00"/>
    <d v="1899-12-30T13:01:00"/>
    <s v="Barcelona"/>
    <s v="Barcelona El Prat Airport"/>
    <s v="Boeing 737-8AS"/>
    <d v="2026-07-10T00:00:00"/>
    <d v="1899-12-30T13:20:00"/>
    <d v="1899-12-30T00:19:00"/>
    <x v="0"/>
  </r>
  <r>
    <x v="9"/>
    <s v="Landed 13:06"/>
    <d v="2026-07-10T00:00:00"/>
    <d v="1899-12-30T13:06:00"/>
    <s v="Dublin"/>
    <s v="Dublin Airport"/>
    <s v="Boeing 737-8AS"/>
    <d v="2026-07-10T00:00:00"/>
    <d v="1899-12-30T13:20:00"/>
    <d v="1899-12-30T00:14:00"/>
    <x v="1"/>
  </r>
  <r>
    <x v="0"/>
    <s v="Landed 13:34"/>
    <d v="2026-07-10T00:00:00"/>
    <d v="1899-12-30T13:34:00"/>
    <s v="Amsterdam"/>
    <s v="Amsterdam Schiphol Airport"/>
    <s v="Airbus A220-300"/>
    <d v="2026-07-10T00:00:00"/>
    <d v="1899-12-30T13:25:00"/>
    <d v="1899-12-30T00:09:00"/>
    <x v="1"/>
  </r>
  <r>
    <x v="12"/>
    <s v="Landed 13:46"/>
    <d v="2026-07-10T00:00:00"/>
    <d v="1899-12-30T13:46:00"/>
    <s v="Podgorica"/>
    <s v="Podgorica Airport"/>
    <s v="Airbus A320-214"/>
    <d v="2026-07-10T00:00:00"/>
    <d v="1899-12-30T13:50:00"/>
    <d v="1899-12-30T00:04:00"/>
    <x v="1"/>
  </r>
  <r>
    <x v="2"/>
    <s v="Landed 14:05"/>
    <d v="2026-07-10T00:00:00"/>
    <d v="1899-12-30T14:05:00"/>
    <s v="Warsaw"/>
    <s v="Warsaw Chopin Airport"/>
    <s v="Embraer E190STD"/>
    <d v="2026-07-10T00:00:00"/>
    <d v="1899-12-30T13:50:00"/>
    <d v="1899-12-30T00:15:00"/>
    <x v="1"/>
  </r>
  <r>
    <x v="1"/>
    <s v="Landed 14:01"/>
    <d v="2026-07-10T00:00:00"/>
    <d v="1899-12-30T14:01:00"/>
    <s v="Budapest"/>
    <s v="Budapest Ferenc Liszt International Airport"/>
    <s v="Airbus A321-271NX"/>
    <d v="2026-07-10T00:00:00"/>
    <d v="1899-12-30T14:10:00"/>
    <d v="1899-12-30T00:09:00"/>
    <x v="1"/>
  </r>
  <r>
    <x v="0"/>
    <s v="Landed 15:05"/>
    <d v="2026-07-10T00:00:00"/>
    <d v="1899-12-30T15:05:00"/>
    <s v="Heraklion"/>
    <s v="Heraklion International Airport"/>
    <s v="Airbus A220-300"/>
    <d v="2026-07-10T00:00:00"/>
    <d v="1899-12-30T14:30:00"/>
    <d v="1899-12-30T00:35:00"/>
    <x v="0"/>
  </r>
  <r>
    <x v="0"/>
    <s v="Landed 14:46"/>
    <d v="2026-07-10T00:00:00"/>
    <d v="1899-12-30T14:46:00"/>
    <s v="Riga"/>
    <s v="Riga International Airport"/>
    <s v="Airbus A220-300"/>
    <d v="2026-07-10T00:00:00"/>
    <d v="1899-12-30T14:35:00"/>
    <d v="1899-12-30T00:11:00"/>
    <x v="1"/>
  </r>
  <r>
    <x v="3"/>
    <s v="Landed 15:24"/>
    <d v="2026-07-10T00:00:00"/>
    <d v="1899-12-30T15:24:00"/>
    <s v="Copenhagen"/>
    <s v="Copenhagen Airport"/>
    <s v="Mitsubishi CRJ-900LR"/>
    <d v="2026-07-10T00:00:00"/>
    <d v="1899-12-30T15:15:00"/>
    <d v="1899-12-30T00:09:00"/>
    <x v="1"/>
  </r>
  <r>
    <x v="0"/>
    <s v="Landed 15:17"/>
    <d v="2026-07-10T00:00:00"/>
    <d v="1899-12-30T15:17:00"/>
    <s v="Brussels"/>
    <s v="Brussels Airport"/>
    <s v="Airbus A220-300"/>
    <d v="2026-07-10T00:00:00"/>
    <d v="1899-12-30T15:25:00"/>
    <d v="1899-12-30T00:08:00"/>
    <x v="1"/>
  </r>
  <r>
    <x v="9"/>
    <s v="Landed 15:11"/>
    <d v="2026-07-10T00:00:00"/>
    <d v="1899-12-30T15:11:00"/>
    <s v="Turin"/>
    <s v="Turin Caselle Airport"/>
    <s v="Boeing 737-8AS"/>
    <d v="2026-07-10T00:00:00"/>
    <d v="1899-12-30T15:30:00"/>
    <d v="1899-12-30T00:19:00"/>
    <x v="0"/>
  </r>
  <r>
    <x v="1"/>
    <s v="Landed 15:29"/>
    <d v="2026-07-10T00:00:00"/>
    <d v="1899-12-30T15:29:00"/>
    <s v="Malaga"/>
    <s v="Malaga Costa Del Sol Airport"/>
    <s v="Airbus A321-271NX"/>
    <d v="2026-07-10T00:00:00"/>
    <d v="1899-12-30T15:35:00"/>
    <d v="1899-12-30T00:06:00"/>
    <x v="1"/>
  </r>
  <r>
    <x v="9"/>
    <s v="Landed 15:33"/>
    <d v="2026-07-10T00:00:00"/>
    <d v="1899-12-30T15:33:00"/>
    <s v="Paris"/>
    <s v="Paris Beauvais-Tille Airport"/>
    <s v="Boeing 737 MAX 8-200"/>
    <d v="2026-07-10T00:00:00"/>
    <d v="1899-12-30T15:40:00"/>
    <d v="1899-12-30T00:07:00"/>
    <x v="1"/>
  </r>
  <r>
    <x v="2"/>
    <s v="Landed 16:17"/>
    <d v="2026-07-10T00:00:00"/>
    <d v="1899-12-30T16:17:00"/>
    <s v="Warsaw"/>
    <s v="Warsaw Chopin Airport"/>
    <s v="Embraer E175STD"/>
    <d v="2026-07-10T00:00:00"/>
    <d v="1899-12-30T16:20:00"/>
    <d v="1899-12-30T00:03:00"/>
    <x v="1"/>
  </r>
  <r>
    <x v="9"/>
    <s v="Landed 17:21"/>
    <d v="2026-07-10T00:00:00"/>
    <d v="1899-12-30T17:21:00"/>
    <s v="Corfu"/>
    <s v="Corfu International Airport"/>
    <s v="Boeing 737 MAX 8-200"/>
    <d v="2026-07-10T00:00:00"/>
    <d v="1899-12-30T17:15:00"/>
    <d v="1899-12-30T00:06:00"/>
    <x v="1"/>
  </r>
  <r>
    <x v="0"/>
    <s v="Landed 17:06"/>
    <d v="2026-07-10T00:00:00"/>
    <d v="1899-12-30T17:06:00"/>
    <s v="Tallinn"/>
    <s v="Tallinn Lennart Meri Airport"/>
    <s v="Airbus A220-300"/>
    <d v="2026-07-10T00:00:00"/>
    <d v="1899-12-30T17:20:00"/>
    <d v="1899-12-30T00:14:00"/>
    <x v="1"/>
  </r>
  <r>
    <x v="7"/>
    <s v="Landed 18:00"/>
    <d v="2026-07-10T00:00:00"/>
    <d v="1899-12-30T18:00:00"/>
    <s v="Helsinki"/>
    <s v="Helsinki Vantaa Airport"/>
    <s v="ATR 72-500"/>
    <d v="2026-07-10T00:00:00"/>
    <d v="1899-12-30T17:35:00"/>
    <d v="1899-12-30T00:25:00"/>
    <x v="0"/>
  </r>
  <r>
    <x v="19"/>
    <s v="Landed 18:16"/>
    <d v="2026-07-10T00:00:00"/>
    <d v="1899-12-30T18:16:00"/>
    <s v="Tel Aviv"/>
    <s v="Tel Aviv Ben Gurion International Airport"/>
    <s v="Airbus A320-232"/>
    <d v="2026-07-10T00:00:00"/>
    <d v="1899-12-30T18:10:00"/>
    <d v="1899-12-30T00:06:00"/>
    <x v="1"/>
  </r>
  <r>
    <x v="9"/>
    <s v="Landed 18:03"/>
    <d v="2026-07-10T00:00:00"/>
    <d v="1899-12-30T18:03:00"/>
    <s v="Oslo"/>
    <s v="Oslo Gardermoen Airport"/>
    <s v="Boeing 737-8AS"/>
    <d v="2026-07-10T00:00:00"/>
    <d v="1899-12-30T18:20:00"/>
    <d v="1899-12-30T00:17:00"/>
    <x v="0"/>
  </r>
  <r>
    <x v="2"/>
    <s v="Landed 18:36"/>
    <d v="2026-07-10T00:00:00"/>
    <d v="1899-12-30T18:36:00"/>
    <s v="Warsaw"/>
    <s v="Warsaw Chopin Airport"/>
    <s v="Embraer E170STD"/>
    <d v="2026-07-10T00:00:00"/>
    <d v="1899-12-30T18:35:00"/>
    <d v="1899-12-30T00:01:00"/>
    <x v="1"/>
  </r>
  <r>
    <x v="1"/>
    <s v="Landed 18:32"/>
    <d v="2026-07-10T00:00:00"/>
    <d v="1899-12-30T18:32:00"/>
    <s v="Eindhoven"/>
    <s v="Eindhoven Airport"/>
    <s v="Airbus A321-271NX"/>
    <d v="2026-07-10T00:00:00"/>
    <d v="1899-12-30T18:45:00"/>
    <d v="1899-12-30T00:13:00"/>
    <x v="1"/>
  </r>
  <r>
    <x v="11"/>
    <s v="Landed 18:55"/>
    <d v="2026-07-10T00:00:00"/>
    <d v="1899-12-30T18:55:00"/>
    <s v="Frankfurt"/>
    <s v="Frankfurt Airport"/>
    <s v="Airbus A320-214"/>
    <d v="2026-07-10T00:00:00"/>
    <d v="1899-12-30T18:55:00"/>
    <d v="1899-12-30T00:00:00"/>
    <x v="1"/>
  </r>
  <r>
    <x v="9"/>
    <s v="Landed 20:03"/>
    <d v="2026-07-10T00:00:00"/>
    <d v="1899-12-30T20:03:00"/>
    <s v="Rome"/>
    <s v="Rome Ciampino Airport"/>
    <s v="Boeing 737 MAX 8-200"/>
    <d v="2026-07-10T00:00:00"/>
    <d v="1899-12-30T19:05:00"/>
    <d v="1899-12-30T00:58:00"/>
    <x v="0"/>
  </r>
  <r>
    <x v="9"/>
    <s v="Landed 18:59"/>
    <d v="2026-07-10T00:00:00"/>
    <d v="1899-12-30T18:59:00"/>
    <s v="Eindhoven"/>
    <s v="Eindhoven Airport"/>
    <s v="Boeing 737-8AS"/>
    <d v="2026-07-10T00:00:00"/>
    <d v="1899-12-30T19:05:00"/>
    <d v="1899-12-30T00:06:00"/>
    <x v="1"/>
  </r>
  <r>
    <x v="10"/>
    <s v="Landed 19:22"/>
    <d v="2026-07-10T00:00:00"/>
    <d v="1899-12-30T19:22:00"/>
    <s v="Istanbul"/>
    <s v="Istanbul Airport"/>
    <s v="Airbus A321-271NX"/>
    <d v="2026-07-10T00:00:00"/>
    <d v="1899-12-30T19:30:00"/>
    <d v="1899-12-30T00:08:00"/>
    <x v="1"/>
  </r>
  <r>
    <x v="0"/>
    <s v="Landed 19:46"/>
    <d v="2026-07-10T00:00:00"/>
    <d v="1899-12-30T19:46:00"/>
    <s v="Amsterdam"/>
    <s v="Amsterdam Schiphol Airport"/>
    <s v="Airbus A220-300"/>
    <d v="2026-07-10T00:00:00"/>
    <d v="1899-12-30T19:50:00"/>
    <d v="1899-12-30T00:04:00"/>
    <x v="1"/>
  </r>
  <r>
    <x v="7"/>
    <s v="Landed 21:29"/>
    <d v="2026-07-10T00:00:00"/>
    <d v="1899-12-30T21:29:00"/>
    <s v="Helsinki"/>
    <s v="Helsinki Vantaa Airport"/>
    <s v="ATR 72-500"/>
    <d v="2026-07-10T00:00:00"/>
    <d v="1899-12-30T21:10:00"/>
    <d v="1899-12-30T00:19:00"/>
    <x v="0"/>
  </r>
  <r>
    <x v="0"/>
    <s v="Landed 21:56"/>
    <d v="2026-07-10T00:00:00"/>
    <d v="1899-12-30T21:56:00"/>
    <s v="Paris"/>
    <s v="Paris Charles de Gaulle Airport"/>
    <s v="Airbus A220-300"/>
    <d v="2026-07-10T00:00:00"/>
    <d v="1899-12-30T21:55:00"/>
    <d v="1899-12-30T00:01:00"/>
    <x v="1"/>
  </r>
  <r>
    <x v="2"/>
    <s v="Landed 22:49"/>
    <d v="2026-07-10T00:00:00"/>
    <d v="1899-12-30T22:49:00"/>
    <s v="Warsaw"/>
    <s v="Warsaw Chopin Airport"/>
    <s v="Embraer E195LR"/>
    <d v="2026-07-10T00:00:00"/>
    <d v="1899-12-30T22:20:00"/>
    <d v="1899-12-30T00:29:00"/>
    <x v="0"/>
  </r>
  <r>
    <x v="13"/>
    <s v="Landed 22:45"/>
    <d v="2026-07-10T00:00:00"/>
    <d v="1899-12-30T22:45:00"/>
    <s v="Heraklion"/>
    <s v="Heraklion International Airport"/>
    <s v="Boeing 737-85P"/>
    <d v="2026-07-10T00:00:00"/>
    <d v="1899-12-30T22:33:00"/>
    <d v="1899-12-30T00:12:00"/>
    <x v="1"/>
  </r>
  <r>
    <x v="0"/>
    <s v="Landed 22:38"/>
    <d v="2026-07-10T00:00:00"/>
    <d v="1899-12-30T22:38:00"/>
    <s v="Munich"/>
    <s v="Munich Airport"/>
    <s v="Airbus A220-300"/>
    <d v="2026-07-10T00:00:00"/>
    <d v="1899-12-30T22:45:00"/>
    <d v="1899-12-30T00:07:00"/>
    <x v="1"/>
  </r>
  <r>
    <x v="17"/>
    <s v="Landed 23:26"/>
    <d v="2026-07-10T00:00:00"/>
    <d v="1899-12-30T23:26:00"/>
    <s v="Barcelona"/>
    <s v="Barcelona El Prat Airport"/>
    <s v="Airbus A320-232"/>
    <d v="2026-07-10T00:00:00"/>
    <d v="1899-12-30T23:05:00"/>
    <d v="1899-12-30T00:21:00"/>
    <x v="0"/>
  </r>
  <r>
    <x v="9"/>
    <s v="Delayed 00:28"/>
    <d v="2026-07-10T00:00:00"/>
    <e v="#N/A"/>
    <s v="London"/>
    <s v="London Stansted Airport"/>
    <s v="Boeing 737 MAX 8-200"/>
    <d v="2026-07-10T00:00:00"/>
    <d v="1899-12-30T23:35:00"/>
    <e v="#N/A"/>
    <x v="2"/>
  </r>
  <r>
    <x v="11"/>
    <s v="Landed 00:04"/>
    <d v="2026-07-11T00:00:00"/>
    <d v="1899-12-30T00:04:00"/>
    <s v="Frankfurt"/>
    <s v="Frankfurt Airport"/>
    <s v="Airbus A320-214"/>
    <d v="2026-07-10T00:00:00"/>
    <d v="1899-12-30T23:35:00"/>
    <d v="1899-12-30T00:29:00"/>
    <x v="0"/>
  </r>
  <r>
    <x v="9"/>
    <s v="Landed 23:30"/>
    <d v="2026-07-10T00:00:00"/>
    <d v="1899-12-30T23:30:00"/>
    <s v="Oslo"/>
    <s v="Oslo Gardermoen Airport"/>
    <s v="Boeing 737-8AS"/>
    <d v="2026-07-10T00:00:00"/>
    <d v="1899-12-30T23:50:00"/>
    <d v="1899-12-30T00:20:00"/>
    <x v="0"/>
  </r>
  <r>
    <x v="9"/>
    <s v="Landed 23:57"/>
    <d v="2026-07-10T00:00:00"/>
    <d v="1899-12-30T23:57:00"/>
    <s v="Milan"/>
    <s v="Milan Bergamo Orio al Serio International Airport"/>
    <s v="Boeing 737-8AS"/>
    <d v="2026-07-11T00:00:00"/>
    <d v="1899-12-30T00:10:00"/>
    <d v="1899-12-30T00:13:00"/>
    <x v="1"/>
  </r>
  <r>
    <x v="0"/>
    <s v="Landed 00:57"/>
    <d v="2026-07-11T00:00:00"/>
    <d v="1899-12-30T00:57:00"/>
    <s v="Riga"/>
    <s v="Riga International Airport"/>
    <s v="Airbus A220-300"/>
    <d v="2026-07-11T00:00:00"/>
    <d v="1899-12-30T00:30:00"/>
    <d v="1899-12-30T00:27:00"/>
    <x v="0"/>
  </r>
  <r>
    <x v="2"/>
    <s v="Landed 01:09"/>
    <d v="2026-07-11T00:00:00"/>
    <d v="1899-12-30T01:09:00"/>
    <s v="Warsaw"/>
    <s v="Warsaw Chopin Airport"/>
    <s v="Embraer E195-E2"/>
    <d v="2026-07-11T00:00:00"/>
    <d v="1899-12-30T00:40:00"/>
    <d v="1899-12-30T00:29:00"/>
    <x v="0"/>
  </r>
  <r>
    <x v="1"/>
    <s v="Landed 00:26"/>
    <d v="2026-07-11T00:00:00"/>
    <d v="1899-12-30T00:26:00"/>
    <s v="Reykjavik"/>
    <s v="Keflavik International Airport"/>
    <s v="Airbus A321-271NX"/>
    <d v="2026-07-11T00:00:00"/>
    <d v="1899-12-30T00:40:00"/>
    <d v="1899-12-30T00:14:00"/>
    <x v="1"/>
  </r>
  <r>
    <x v="1"/>
    <s v="Landed 00:51"/>
    <d v="2026-07-11T00:00:00"/>
    <d v="1899-12-30T00:51:00"/>
    <s v="Larnaca"/>
    <s v="Larnaca International Airport"/>
    <s v="Airbus A321-271NX"/>
    <d v="2026-07-11T00:00:00"/>
    <d v="1899-12-30T01:05:00"/>
    <d v="1899-12-30T00:14:00"/>
    <x v="1"/>
  </r>
  <r>
    <x v="1"/>
    <s v="Landed 01:42"/>
    <d v="2026-07-11T00:00:00"/>
    <d v="1899-12-30T01:42:00"/>
    <s v="Milan"/>
    <s v="Milan Malpensa Airport"/>
    <s v="Airbus A321-271NX"/>
    <d v="2026-07-11T00:00:00"/>
    <d v="1899-12-30T01:20:00"/>
    <d v="1899-12-30T00:22:00"/>
    <x v="0"/>
  </r>
  <r>
    <x v="0"/>
    <s v="Landed 01:27"/>
    <d v="2026-07-11T00:00:00"/>
    <d v="1899-12-30T01:27:00"/>
    <s v="Zurich"/>
    <s v="Zurich Airport"/>
    <s v="Airbus A220-300"/>
    <d v="2026-07-11T00:00:00"/>
    <d v="1899-12-30T01:25:00"/>
    <d v="1899-12-30T00:02:00"/>
    <x v="1"/>
  </r>
  <r>
    <x v="3"/>
    <s v="Landed 01:15"/>
    <d v="2026-07-11T00:00:00"/>
    <d v="1899-12-30T01:15:00"/>
    <s v="Copenhagen"/>
    <s v="Copenhagen Airport"/>
    <s v="Mitsubishi CRJ-900ER"/>
    <d v="2026-07-11T00:00:00"/>
    <d v="1899-12-30T01:25:00"/>
    <d v="1899-12-30T00:10:00"/>
    <x v="1"/>
  </r>
  <r>
    <x v="10"/>
    <s v="Unknown"/>
    <d v="2026-07-11T00:00:00"/>
    <e v="#N/A"/>
    <s v="Istanbul"/>
    <s v="Istanbul Airport"/>
    <s v="N/A"/>
    <d v="2026-07-11T00:00:00"/>
    <d v="1899-12-30T07:35:00"/>
    <e v="#N/A"/>
    <x v="2"/>
  </r>
  <r>
    <x v="0"/>
    <s v="Landed 08:35"/>
    <d v="2026-07-11T00:00:00"/>
    <d v="1899-12-30T08:35:00"/>
    <s v="Riga"/>
    <s v="Riga International Airport"/>
    <s v="Airbus A220-300"/>
    <d v="2026-07-11T00:00:00"/>
    <d v="1899-12-30T08:40:00"/>
    <d v="1899-12-30T00:05:00"/>
    <x v="1"/>
  </r>
  <r>
    <x v="7"/>
    <s v="Landed 09:17"/>
    <d v="2026-07-11T00:00:00"/>
    <d v="1899-12-30T09:17:00"/>
    <s v="Helsinki"/>
    <s v="Helsinki Vantaa Airport"/>
    <s v="ATR 72-500"/>
    <d v="2026-07-11T00:00:00"/>
    <d v="1899-12-30T09:20:00"/>
    <d v="1899-12-30T00:03:00"/>
    <x v="1"/>
  </r>
  <r>
    <x v="1"/>
    <s v="Landed 08:59"/>
    <d v="2026-07-11T00:00:00"/>
    <d v="1899-12-30T08:59:00"/>
    <s v="Tallinn"/>
    <s v="Tallinn Lennart Meri Airport"/>
    <s v="Airbus A321-271NX"/>
    <d v="2026-07-11T00:00:00"/>
    <d v="1899-12-30T09:20:00"/>
    <d v="1899-12-30T00:21:00"/>
    <x v="0"/>
  </r>
  <r>
    <x v="14"/>
    <s v="Landed 09:34"/>
    <d v="2026-07-11T00:00:00"/>
    <d v="1899-12-30T09:34:00"/>
    <s v="Oslo"/>
    <s v="Oslo Gardermoen Airport"/>
    <s v="Boeing 737-8JP"/>
    <d v="2026-07-11T00:00:00"/>
    <d v="1899-12-30T09:40:00"/>
    <d v="1899-12-30T00:06:00"/>
    <x v="1"/>
  </r>
  <r>
    <x v="9"/>
    <s v="Landed 09:42"/>
    <d v="2026-07-11T00:00:00"/>
    <d v="1899-12-30T09:42:00"/>
    <s v="Oslo"/>
    <s v="Oslo Gardermoen Airport"/>
    <s v="Boeing 737-8AS"/>
    <d v="2026-07-11T00:00:00"/>
    <d v="1899-12-30T09:55:00"/>
    <d v="1899-12-30T00:13:00"/>
    <x v="1"/>
  </r>
  <r>
    <x v="2"/>
    <s v="Landed 10:13"/>
    <d v="2026-07-11T00:00:00"/>
    <d v="1899-12-30T10:13:00"/>
    <s v="Warsaw"/>
    <s v="Warsaw Chopin Airport"/>
    <s v="Embraer E175STD"/>
    <d v="2026-07-11T00:00:00"/>
    <d v="1899-12-30T10:05:00"/>
    <d v="1899-12-30T00:08:00"/>
    <x v="1"/>
  </r>
  <r>
    <x v="9"/>
    <s v="Landed 09:57"/>
    <d v="2026-07-11T00:00:00"/>
    <d v="1899-12-30T09:57:00"/>
    <s v="Barcelona"/>
    <s v="Barcelona El Prat Airport"/>
    <s v="Boeing 737-8AS"/>
    <d v="2026-07-11T00:00:00"/>
    <d v="1899-12-30T10:15:00"/>
    <d v="1899-12-30T00:18:00"/>
    <x v="0"/>
  </r>
  <r>
    <x v="10"/>
    <s v="Landed 10:54"/>
    <d v="2026-07-11T00:00:00"/>
    <d v="1899-12-30T10:54:00"/>
    <s v="Istanbul"/>
    <s v="Istanbul Airport"/>
    <s v="Boeing 737 MAX 8"/>
    <d v="2026-07-11T00:00:00"/>
    <d v="1899-12-30T10:45:00"/>
    <d v="1899-12-30T00:09:00"/>
    <x v="1"/>
  </r>
  <r>
    <x v="9"/>
    <s v="Landed 10:44"/>
    <d v="2026-07-11T00:00:00"/>
    <d v="1899-12-30T10:44:00"/>
    <s v="Nuremberg"/>
    <s v="Nuremberg Airport"/>
    <s v="Boeing 737-8AS"/>
    <d v="2026-07-11T00:00:00"/>
    <d v="1899-12-30T11:00:00"/>
    <d v="1899-12-30T00:16:00"/>
    <x v="0"/>
  </r>
  <r>
    <x v="9"/>
    <s v="Landed 10:40"/>
    <d v="2026-07-11T00:00:00"/>
    <d v="1899-12-30T10:40:00"/>
    <s v="Berlin"/>
    <s v="Berlin Brandenburg Airport"/>
    <s v="Boeing 737-8AS"/>
    <d v="2026-07-11T00:00:00"/>
    <d v="1899-12-30T11:05:00"/>
    <d v="1899-12-30T00:25:00"/>
    <x v="0"/>
  </r>
  <r>
    <x v="1"/>
    <s v="Landed 11:19"/>
    <d v="2026-07-11T00:00:00"/>
    <d v="1899-12-30T11:19:00"/>
    <s v="Catania"/>
    <s v="Catania Fontanarossa Airport"/>
    <s v="Airbus A321-271NX"/>
    <d v="2026-07-11T00:00:00"/>
    <d v="1899-12-30T11:35:00"/>
    <d v="1899-12-30T00:16:00"/>
    <x v="0"/>
  </r>
  <r>
    <x v="0"/>
    <s v="Landed 11:58"/>
    <d v="2026-07-11T00:00:00"/>
    <d v="1899-12-30T11:58:00"/>
    <s v="Munich"/>
    <s v="Munich Airport"/>
    <s v="Airbus A220-300"/>
    <d v="2026-07-11T00:00:00"/>
    <d v="1899-12-30T12:00:00"/>
    <d v="1899-12-30T00:02:00"/>
    <x v="1"/>
  </r>
  <r>
    <x v="11"/>
    <s v="Landed 12:35"/>
    <d v="2026-07-11T00:00:00"/>
    <d v="1899-12-30T12:35:00"/>
    <s v="Frankfurt"/>
    <s v="Frankfurt Airport"/>
    <s v="Airbus A321-131"/>
    <d v="2026-07-11T00:00:00"/>
    <d v="1899-12-30T12:40:00"/>
    <d v="1899-12-30T00:05:00"/>
    <x v="1"/>
  </r>
  <r>
    <x v="13"/>
    <s v="Landed 12:28"/>
    <d v="2026-07-11T00:00:00"/>
    <d v="1899-12-30T12:28:00"/>
    <s v="Patras"/>
    <s v="Patras Araxos Airport"/>
    <s v="Boeing 737-83N"/>
    <d v="2026-07-11T00:00:00"/>
    <d v="1899-12-30T12:43:00"/>
    <d v="1899-12-30T00:15:00"/>
    <x v="1"/>
  </r>
  <r>
    <x v="7"/>
    <s v="Landed 12:57"/>
    <d v="2026-07-11T00:00:00"/>
    <d v="1899-12-30T12:57:00"/>
    <s v="Helsinki"/>
    <s v="Helsinki Vantaa Airport"/>
    <s v="ATR 72-500"/>
    <d v="2026-07-11T00:00:00"/>
    <d v="1899-12-30T13:00:00"/>
    <d v="1899-12-30T00:03:00"/>
    <x v="1"/>
  </r>
  <r>
    <x v="12"/>
    <s v="Landed 13:37"/>
    <d v="2026-07-11T00:00:00"/>
    <d v="1899-12-30T13:37:00"/>
    <s v="Antalya"/>
    <s v="Antalya Airport"/>
    <s v="Airbus A320-232"/>
    <d v="2026-07-11T00:00:00"/>
    <d v="1899-12-30T13:02:00"/>
    <d v="1899-12-30T00:35:00"/>
    <x v="0"/>
  </r>
  <r>
    <x v="13"/>
    <s v="Landed 13:14"/>
    <d v="2026-07-11T00:00:00"/>
    <d v="1899-12-30T13:14:00"/>
    <s v="Antalya"/>
    <s v="Antalya Airport"/>
    <s v="Boeing 737-85P"/>
    <d v="2026-07-11T00:00:00"/>
    <d v="1899-12-30T13:15:00"/>
    <d v="1899-12-30T00:01:00"/>
    <x v="1"/>
  </r>
  <r>
    <x v="0"/>
    <s v="Landed 13:42"/>
    <d v="2026-07-11T00:00:00"/>
    <d v="1899-12-30T13:42:00"/>
    <s v="Amsterdam"/>
    <s v="Amsterdam Schiphol Airport"/>
    <s v="Airbus A220-300"/>
    <d v="2026-07-11T00:00:00"/>
    <d v="1899-12-30T13:25:00"/>
    <d v="1899-12-30T00:17:00"/>
    <x v="0"/>
  </r>
  <r>
    <x v="9"/>
    <s v="Landed 13:27"/>
    <d v="2026-07-11T00:00:00"/>
    <d v="1899-12-30T13:27:00"/>
    <s v="London"/>
    <s v="London Luton Airport"/>
    <s v="Boeing 737 MAX 8-200"/>
    <d v="2026-07-11T00:00:00"/>
    <d v="1899-12-30T13:25:00"/>
    <d v="1899-12-30T00:02:00"/>
    <x v="1"/>
  </r>
  <r>
    <x v="9"/>
    <s v="Landed 13:33"/>
    <d v="2026-07-11T00:00:00"/>
    <d v="1899-12-30T13:33:00"/>
    <s v="Rome"/>
    <s v="Rome Ciampino Airport"/>
    <s v="Boeing 737 MAX 8-200"/>
    <d v="2026-07-11T00:00:00"/>
    <d v="1899-12-30T13:40:00"/>
    <d v="1899-12-30T00:07:00"/>
    <x v="1"/>
  </r>
  <r>
    <x v="17"/>
    <s v="Landed 13:30"/>
    <d v="2026-07-11T00:00:00"/>
    <d v="1899-12-30T13:30:00"/>
    <s v="Antalya"/>
    <s v="Antalya Airport"/>
    <s v="Airbus A320-232"/>
    <d v="2026-07-11T00:00:00"/>
    <d v="1899-12-30T13:40:00"/>
    <d v="1899-12-30T00:10:00"/>
    <x v="1"/>
  </r>
  <r>
    <x v="2"/>
    <s v="Landed 13:55"/>
    <d v="2026-07-11T00:00:00"/>
    <d v="1899-12-30T13:55:00"/>
    <s v="Warsaw"/>
    <s v="Warsaw Chopin Airport"/>
    <s v="Embraer E175STD"/>
    <d v="2026-07-11T00:00:00"/>
    <d v="1899-12-30T13:50:00"/>
    <d v="1899-12-30T00:05:00"/>
    <x v="1"/>
  </r>
  <r>
    <x v="1"/>
    <s v="Landed 14:06"/>
    <d v="2026-07-11T00:00:00"/>
    <d v="1899-12-30T14:06:00"/>
    <s v="Billund"/>
    <s v="Billund Airport"/>
    <s v="Airbus A321-271NX"/>
    <d v="2026-07-11T00:00:00"/>
    <d v="1899-12-30T14:10:00"/>
    <d v="1899-12-30T00:04:00"/>
    <x v="1"/>
  </r>
  <r>
    <x v="9"/>
    <s v="Landed 14:12"/>
    <d v="2026-07-11T00:00:00"/>
    <d v="1899-12-30T14:12:00"/>
    <s v="Oslo"/>
    <s v="Oslo Gardermoen Airport"/>
    <s v="Boeing 737-8AS"/>
    <d v="2026-07-11T00:00:00"/>
    <d v="1899-12-30T14:30:00"/>
    <d v="1899-12-30T00:18:00"/>
    <x v="0"/>
  </r>
  <r>
    <x v="0"/>
    <s v="Landed 14:58"/>
    <d v="2026-07-11T00:00:00"/>
    <d v="1899-12-30T14:58:00"/>
    <s v="Riga"/>
    <s v="Riga International Airport"/>
    <s v="Airbus A220-300"/>
    <d v="2026-07-11T00:00:00"/>
    <d v="1899-12-30T14:35:00"/>
    <d v="1899-12-30T00:23:00"/>
    <x v="0"/>
  </r>
  <r>
    <x v="1"/>
    <s v="Landed 14:18"/>
    <d v="2026-07-11T00:00:00"/>
    <d v="1899-12-30T14:18:00"/>
    <s v="Kutaisi"/>
    <s v="Kutaisi International Airport"/>
    <s v="Airbus A321-271NX"/>
    <d v="2026-07-11T00:00:00"/>
    <d v="1899-12-30T14:35:00"/>
    <d v="1899-12-30T00:17:00"/>
    <x v="0"/>
  </r>
  <r>
    <x v="3"/>
    <s v="Landed 15:23"/>
    <d v="2026-07-11T00:00:00"/>
    <d v="1899-12-30T15:23:00"/>
    <s v="Copenhagen"/>
    <s v="Copenhagen Airport"/>
    <s v="Mitsubishi CRJ-900LR"/>
    <d v="2026-07-11T00:00:00"/>
    <d v="1899-12-30T15:15:00"/>
    <d v="1899-12-30T00:08:00"/>
    <x v="1"/>
  </r>
  <r>
    <x v="9"/>
    <s v="Landed 15:20"/>
    <d v="2026-07-11T00:00:00"/>
    <d v="1899-12-30T15:20:00"/>
    <s v="Venice"/>
    <s v="Venice Treviso Airport"/>
    <s v="Boeing 737-8AS"/>
    <d v="2026-07-11T00:00:00"/>
    <d v="1899-12-30T15:25:00"/>
    <d v="1899-12-30T00:05:00"/>
    <x v="1"/>
  </r>
  <r>
    <x v="2"/>
    <s v="Landed 16:29"/>
    <d v="2026-07-11T00:00:00"/>
    <d v="1899-12-30T16:29:00"/>
    <s v="Warsaw"/>
    <s v="Warsaw Chopin Airport"/>
    <s v="Embraer E190STD"/>
    <d v="2026-07-11T00:00:00"/>
    <d v="1899-12-30T16:20:00"/>
    <d v="1899-12-30T00:09:00"/>
    <x v="1"/>
  </r>
  <r>
    <x v="9"/>
    <s v="Landed 16:32"/>
    <d v="2026-07-11T00:00:00"/>
    <d v="1899-12-30T16:32:00"/>
    <s v="London"/>
    <s v="London Stansted Airport"/>
    <s v="Boeing 737-8AS"/>
    <d v="2026-07-11T00:00:00"/>
    <d v="1899-12-30T16:35:00"/>
    <d v="1899-12-30T00:03:00"/>
    <x v="1"/>
  </r>
  <r>
    <x v="33"/>
    <s v="Landed 16:40"/>
    <d v="2026-07-11T00:00:00"/>
    <d v="1899-12-30T16:40:00"/>
    <s v="Genoa"/>
    <s v="Genoa Cristoforo Colombo Airport"/>
    <s v="Embraer Praetor 600"/>
    <d v="2026-07-11T00:00:00"/>
    <d v="1899-12-30T16:37:00"/>
    <d v="1899-12-30T00:03:00"/>
    <x v="1"/>
  </r>
  <r>
    <x v="9"/>
    <s v="Landed 16:52"/>
    <d v="2026-07-11T00:00:00"/>
    <d v="1899-12-30T16:52:00"/>
    <s v="Milan"/>
    <s v="Milan Bergamo Orio al Serio International Airport"/>
    <s v="Boeing 737-8AS"/>
    <d v="2026-07-11T00:00:00"/>
    <d v="1899-12-30T16:55:00"/>
    <d v="1899-12-30T00:03:00"/>
    <x v="1"/>
  </r>
  <r>
    <x v="1"/>
    <s v="Landed 16:49"/>
    <d v="2026-07-11T00:00:00"/>
    <d v="1899-12-30T16:49:00"/>
    <s v="Gdansk"/>
    <s v="Gdansk Lech Walesa Airport"/>
    <s v="Airbus A321-271NX"/>
    <d v="2026-07-11T00:00:00"/>
    <d v="1899-12-30T17:00:00"/>
    <d v="1899-12-30T00:11:00"/>
    <x v="1"/>
  </r>
  <r>
    <x v="7"/>
    <s v="Landed 18:08"/>
    <d v="2026-07-11T00:00:00"/>
    <d v="1899-12-30T18:08:00"/>
    <s v="Helsinki"/>
    <s v="Helsinki Vantaa Airport"/>
    <s v="ATR 72-500"/>
    <d v="2026-07-11T00:00:00"/>
    <d v="1899-12-30T17:55:00"/>
    <d v="1899-12-30T00:13:00"/>
    <x v="1"/>
  </r>
  <r>
    <x v="1"/>
    <s v="Landed 18:32"/>
    <d v="2026-07-11T00:00:00"/>
    <d v="1899-12-30T18:32:00"/>
    <s v="Tirana"/>
    <s v="Tirana International Airport"/>
    <s v="Airbus A321-271NX"/>
    <d v="2026-07-11T00:00:00"/>
    <d v="1899-12-30T18:05:00"/>
    <d v="1899-12-30T00:27:00"/>
    <x v="0"/>
  </r>
  <r>
    <x v="2"/>
    <s v="Landed 18:38"/>
    <d v="2026-07-11T00:00:00"/>
    <d v="1899-12-30T18:38:00"/>
    <s v="Warsaw"/>
    <s v="Warsaw Chopin Airport"/>
    <s v="Embraer E190AR"/>
    <d v="2026-07-11T00:00:00"/>
    <d v="1899-12-30T18:35:00"/>
    <d v="1899-12-30T00:03:00"/>
    <x v="1"/>
  </r>
  <r>
    <x v="10"/>
    <s v="Landed 19:25"/>
    <d v="2026-07-11T00:00:00"/>
    <d v="1899-12-30T19:25:00"/>
    <s v="Istanbul"/>
    <s v="Istanbul Airport"/>
    <s v="Boeing 737-9F2(ER)"/>
    <d v="2026-07-11T00:00:00"/>
    <d v="1899-12-30T19:30:00"/>
    <d v="1899-12-30T00:05:00"/>
    <x v="1"/>
  </r>
  <r>
    <x v="0"/>
    <s v="Landed 19:55"/>
    <d v="2026-07-11T00:00:00"/>
    <d v="1899-12-30T19:55:00"/>
    <s v="Amsterdam"/>
    <s v="Amsterdam Schiphol Airport"/>
    <s v="Airbus A220-300"/>
    <d v="2026-07-11T00:00:00"/>
    <d v="1899-12-30T19:50:00"/>
    <d v="1899-12-30T00:05:00"/>
    <x v="1"/>
  </r>
  <r>
    <x v="1"/>
    <s v="Landed 20:03"/>
    <d v="2026-07-11T00:00:00"/>
    <d v="1899-12-30T20:03:00"/>
    <s v="Dortmund"/>
    <s v="Dortmund Airport"/>
    <s v="Airbus A321-271NX"/>
    <d v="2026-07-11T00:00:00"/>
    <d v="1899-12-30T20:15:00"/>
    <d v="1899-12-30T00:12:00"/>
    <x v="1"/>
  </r>
  <r>
    <x v="0"/>
    <s v="Landed 20:34"/>
    <d v="2026-07-11T00:00:00"/>
    <d v="1899-12-30T20:34:00"/>
    <s v="Riga"/>
    <s v="Riga International Airport"/>
    <s v="Airbus A220-300"/>
    <d v="2026-07-11T00:00:00"/>
    <d v="1899-12-30T20:50:00"/>
    <d v="1899-12-30T00:16:00"/>
    <x v="0"/>
  </r>
  <r>
    <x v="12"/>
    <s v="Landed 21:28"/>
    <d v="2026-07-11T00:00:00"/>
    <d v="1899-12-30T21:28:00"/>
    <s v="Heraklion"/>
    <s v="Heraklion International Airport"/>
    <s v="Airbus A320-214"/>
    <d v="2026-07-11T00:00:00"/>
    <d v="1899-12-30T20:54:00"/>
    <d v="1899-12-30T00:34:00"/>
    <x v="0"/>
  </r>
  <r>
    <x v="7"/>
    <s v="Landed 20:56"/>
    <d v="2026-07-11T00:00:00"/>
    <d v="1899-12-30T20:56:00"/>
    <s v="Helsinki"/>
    <s v="Helsinki Vantaa Airport"/>
    <s v="ATR 72-500"/>
    <d v="2026-07-11T00:00:00"/>
    <d v="1899-12-30T21:10:00"/>
    <d v="1899-12-30T00:14:00"/>
    <x v="1"/>
  </r>
  <r>
    <x v="9"/>
    <s v="Unknown"/>
    <d v="2026-07-11T00:00:00"/>
    <e v="#N/A"/>
    <s v="Vienna"/>
    <s v="Vienna International Airport"/>
    <s v="Boeing 737-8AS"/>
    <d v="2026-07-11T00:00:00"/>
    <d v="1899-12-30T21:50:00"/>
    <e v="#N/A"/>
    <x v="2"/>
  </r>
  <r>
    <x v="13"/>
    <s v="Landed 21:49"/>
    <d v="2026-07-11T00:00:00"/>
    <d v="1899-12-30T21:49:00"/>
    <s v="Heraklion"/>
    <s v="Heraklion International Airport"/>
    <s v="Boeing 737-83N"/>
    <d v="2026-07-11T00:00:00"/>
    <d v="1899-12-30T21:52:00"/>
    <d v="1899-12-30T00:03:00"/>
    <x v="1"/>
  </r>
  <r>
    <x v="9"/>
    <s v="Landed 21:31"/>
    <d v="2026-07-11T00:00:00"/>
    <d v="1899-12-30T21:31:00"/>
    <s v="Athens"/>
    <s v="Athens Eleftherios Venizelos"/>
    <s v="Boeing 737-8AS"/>
    <d v="2026-07-11T00:00:00"/>
    <d v="1899-12-30T21:55:00"/>
    <d v="1899-12-30T00:24:00"/>
    <x v="0"/>
  </r>
  <r>
    <x v="17"/>
    <s v="Landed 22:39"/>
    <d v="2026-07-11T00:00:00"/>
    <d v="1899-12-30T22:39:00"/>
    <s v="Heraklion"/>
    <s v="Heraklion International Airport"/>
    <s v="Airbus A320-232"/>
    <d v="2026-07-11T00:00:00"/>
    <d v="1899-12-30T22:10:00"/>
    <d v="1899-12-30T00:29:00"/>
    <x v="0"/>
  </r>
  <r>
    <x v="13"/>
    <s v="Landed 22:51"/>
    <d v="2026-07-11T00:00:00"/>
    <d v="1899-12-30T22:51:00"/>
    <s v="Rhodes"/>
    <s v="Rhodes International Airport"/>
    <s v="Boeing 737-85P"/>
    <d v="2026-07-11T00:00:00"/>
    <d v="1899-12-30T22:43:00"/>
    <d v="1899-12-30T00:08:00"/>
    <x v="1"/>
  </r>
  <r>
    <x v="20"/>
    <s v="Landed 23:37"/>
    <d v="2026-07-11T00:00:00"/>
    <d v="1899-12-30T23:37:00"/>
    <s v="Antalya"/>
    <s v="Antalya Airport"/>
    <s v="Boeing 777-31H(ER)"/>
    <d v="2026-07-11T00:00:00"/>
    <d v="1899-12-30T23:15:00"/>
    <d v="1899-12-30T00:22:00"/>
    <x v="0"/>
  </r>
  <r>
    <x v="11"/>
    <s v="Landed 00:28"/>
    <d v="2026-07-12T00:00:00"/>
    <d v="1899-12-30T00:28:00"/>
    <s v="Frankfurt"/>
    <s v="Frankfurt Airport"/>
    <s v="Airbus A320-214"/>
    <d v="2026-07-11T00:00:00"/>
    <d v="1899-12-30T23:45:00"/>
    <d v="1899-12-30T00:43:00"/>
    <x v="0"/>
  </r>
  <r>
    <x v="1"/>
    <s v="Landed 00:12"/>
    <d v="2026-07-12T00:00:00"/>
    <d v="1899-12-30T00:12:00"/>
    <s v="Bergen"/>
    <s v="Bergen Flesland Airport"/>
    <s v="Airbus A321-271NX"/>
    <d v="2026-07-11T00:00:00"/>
    <d v="1899-12-30T23:55:00"/>
    <d v="1899-12-30T00:17:00"/>
    <x v="0"/>
  </r>
  <r>
    <x v="1"/>
    <s v="Landed 23:52"/>
    <d v="2026-07-11T00:00:00"/>
    <d v="1899-12-30T23:52:00"/>
    <s v="Turku"/>
    <s v="Turku Airport"/>
    <s v="Airbus A321-271NX"/>
    <d v="2026-07-12T00:00:00"/>
    <d v="1899-12-30T00:15:00"/>
    <d v="1899-12-30T00:23:00"/>
    <x v="1"/>
  </r>
  <r>
    <x v="0"/>
    <s v="Landed 00:37"/>
    <d v="2026-07-12T00:00:00"/>
    <d v="1899-12-30T00:37:00"/>
    <s v="Riga"/>
    <s v="Riga International Airport"/>
    <s v="Airbus A220-300"/>
    <d v="2026-07-12T00:00:00"/>
    <d v="1899-12-30T00:30:00"/>
    <d v="1899-12-30T00:07:00"/>
    <x v="1"/>
  </r>
  <r>
    <x v="1"/>
    <s v="Landed 00:41"/>
    <d v="2026-07-12T00:00:00"/>
    <d v="1899-12-30T00:41:00"/>
    <s v="Barcelona"/>
    <s v="Barcelona El Prat Airport"/>
    <s v="Airbus A321-271NX"/>
    <d v="2026-07-12T00:00:00"/>
    <d v="1899-12-30T00:30:00"/>
    <d v="1899-12-30T00:11:00"/>
    <x v="1"/>
  </r>
  <r>
    <x v="2"/>
    <s v="Landed 01:12"/>
    <d v="2026-07-12T00:00:00"/>
    <d v="1899-12-30T01:12:00"/>
    <s v="Warsaw"/>
    <s v="Warsaw Chopin Airport"/>
    <s v="Embraer E190AR"/>
    <d v="2026-07-12T00:00:00"/>
    <d v="1899-12-30T00:40:00"/>
    <d v="1899-12-30T00:32:00"/>
    <x v="0"/>
  </r>
  <r>
    <x v="0"/>
    <s v="Landed 01:55"/>
    <d v="2026-07-12T00:00:00"/>
    <d v="1899-12-30T01:55:00"/>
    <s v="Zurich"/>
    <s v="Zurich Airport"/>
    <s v="Airbus A220-300"/>
    <d v="2026-07-12T00:00:00"/>
    <d v="1899-12-30T01:25:00"/>
    <d v="1899-12-30T00:30:00"/>
    <x v="0"/>
  </r>
  <r>
    <x v="3"/>
    <s v="Landed 01:20"/>
    <d v="2026-07-12T00:00:00"/>
    <d v="1899-12-30T01:20:00"/>
    <s v="Copenhagen"/>
    <s v="Copenhagen Airport"/>
    <s v="Mitsubishi CRJ-900LR"/>
    <d v="2026-07-12T00:00:00"/>
    <d v="1899-12-30T01:25:00"/>
    <d v="1899-12-30T00:05:00"/>
    <x v="1"/>
  </r>
  <r>
    <x v="21"/>
    <s v="Landed 02:16"/>
    <d v="2026-07-12T00:00:00"/>
    <d v="1899-12-30T02:16:00"/>
    <s v="Athens"/>
    <s v="Athens Eleftherios Venizelos"/>
    <s v="Airbus A320-271N"/>
    <d v="2026-07-12T00:00:00"/>
    <d v="1899-12-30T02:10:00"/>
    <d v="1899-12-30T00:06:00"/>
    <x v="1"/>
  </r>
  <r>
    <x v="0"/>
    <s v="Landed 02:48"/>
    <d v="2026-07-12T00:00:00"/>
    <d v="1899-12-30T02:48:00"/>
    <s v="Nice"/>
    <s v="Nice Cote d'Azur Airport"/>
    <s v="Airbus A220-300"/>
    <d v="2026-07-12T00:00:00"/>
    <d v="1899-12-30T02:50:00"/>
    <d v="1899-12-30T00:02:00"/>
    <x v="1"/>
  </r>
  <r>
    <x v="0"/>
    <s v="Landed 03:28"/>
    <d v="2026-07-12T00:00:00"/>
    <d v="1899-12-30T03:28:00"/>
    <s v="Lisbon"/>
    <s v="Lisbon Humberto Delgado Airport"/>
    <s v="Airbus A220-300"/>
    <d v="2026-07-12T00:00:00"/>
    <d v="1899-12-30T03:35:00"/>
    <d v="1899-12-30T00:07:00"/>
    <x v="1"/>
  </r>
  <r>
    <x v="7"/>
    <s v="Landed 08:25"/>
    <d v="2026-07-12T00:00:00"/>
    <d v="1899-12-30T08:25:00"/>
    <s v="Helsinki"/>
    <s v="Helsinki Vantaa Airport"/>
    <s v="Embraer E190LR"/>
    <d v="2026-07-12T00:00:00"/>
    <d v="1899-12-30T08:30:00"/>
    <d v="1899-12-30T00:05:00"/>
    <x v="1"/>
  </r>
  <r>
    <x v="1"/>
    <s v="Landed 08:34"/>
    <d v="2026-07-12T00:00:00"/>
    <d v="1899-12-30T08:34:00"/>
    <s v="Krakow"/>
    <s v="Krakow John Paul II International Airport"/>
    <s v="Airbus A321-271NX"/>
    <d v="2026-07-12T00:00:00"/>
    <d v="1899-12-30T08:50:00"/>
    <d v="1899-12-30T00:16:00"/>
    <x v="0"/>
  </r>
  <r>
    <x v="9"/>
    <s v="Unknown"/>
    <d v="2026-07-12T00:00:00"/>
    <e v="#N/A"/>
    <s v="Katowice"/>
    <s v="Katowice International Airport"/>
    <s v="Boeing 737-8AS"/>
    <d v="2026-07-12T00:00:00"/>
    <d v="1899-12-30T09:06:00"/>
    <e v="#N/A"/>
    <x v="2"/>
  </r>
  <r>
    <x v="9"/>
    <s v="Landed 09:30"/>
    <d v="2026-07-12T00:00:00"/>
    <d v="1899-12-30T09:30:00"/>
    <s v="Katowice"/>
    <s v="Katowice International Airport"/>
    <s v="Boeing 737-8AS"/>
    <d v="2026-07-12T00:00:00"/>
    <d v="1899-12-30T09:11:00"/>
    <d v="1899-12-30T00:19:00"/>
    <x v="0"/>
  </r>
  <r>
    <x v="1"/>
    <s v="Landed 08:57"/>
    <d v="2026-07-12T00:00:00"/>
    <d v="1899-12-30T08:57:00"/>
    <s v="Tallinn"/>
    <s v="Tallinn Lennart Meri Airport"/>
    <s v="Airbus A321-271NX"/>
    <d v="2026-07-12T00:00:00"/>
    <d v="1899-12-30T09:20:00"/>
    <d v="1899-12-30T00:23:00"/>
    <x v="0"/>
  </r>
  <r>
    <x v="9"/>
    <s v="Unknown"/>
    <d v="2026-07-12T00:00:00"/>
    <e v="#N/A"/>
    <s v="Katowice"/>
    <s v="Katowice International Airport"/>
    <s v="Boeing 737-8AS"/>
    <d v="2026-07-12T00:00:00"/>
    <d v="1899-12-30T09:21:00"/>
    <e v="#N/A"/>
    <x v="2"/>
  </r>
  <r>
    <x v="8"/>
    <s v="Landed 10:06"/>
    <d v="2026-07-12T00:00:00"/>
    <d v="1899-12-30T10:06:00"/>
    <s v="Tel Aviv"/>
    <s v="Tel Aviv Ben Gurion International Airport"/>
    <s v="Airbus A321-231"/>
    <d v="2026-07-12T00:00:00"/>
    <d v="1899-12-30T09:50:00"/>
    <d v="1899-12-30T00:16:00"/>
    <x v="0"/>
  </r>
  <r>
    <x v="9"/>
    <s v="Landed 09:50"/>
    <d v="2026-07-12T00:00:00"/>
    <d v="1899-12-30T09:50:00"/>
    <s v="Malta"/>
    <s v="Malta Luqa International Airport"/>
    <s v="Boeing 737 MAX 8-200"/>
    <d v="2026-07-12T00:00:00"/>
    <d v="1899-12-30T10:00:00"/>
    <d v="1899-12-30T00:10:00"/>
    <x v="1"/>
  </r>
  <r>
    <x v="10"/>
    <s v="Landed 10:35"/>
    <d v="2026-07-12T00:00:00"/>
    <d v="1899-12-30T10:35:00"/>
    <s v="Istanbul"/>
    <s v="Istanbul Airport"/>
    <s v="Airbus A321-271NX"/>
    <d v="2026-07-12T00:00:00"/>
    <d v="1899-12-30T10:45:00"/>
    <d v="1899-12-30T00:10:00"/>
    <x v="1"/>
  </r>
  <r>
    <x v="14"/>
    <s v="Landed 11:07"/>
    <d v="2026-07-12T00:00:00"/>
    <d v="1899-12-30T11:07:00"/>
    <s v="Oslo"/>
    <s v="Oslo Gardermoen Airport"/>
    <s v="Boeing 737-8JP"/>
    <d v="2026-07-12T00:00:00"/>
    <d v="1899-12-30T11:25:00"/>
    <d v="1899-12-30T00:18:00"/>
    <x v="0"/>
  </r>
  <r>
    <x v="0"/>
    <s v="Landed 11:22"/>
    <d v="2026-07-12T00:00:00"/>
    <d v="1899-12-30T11:22:00"/>
    <s v="Prague"/>
    <s v="Prague Vaclav Havel Airport"/>
    <s v="Airbus A220-300"/>
    <d v="2026-07-12T00:00:00"/>
    <d v="1899-12-30T11:35:00"/>
    <d v="1899-12-30T00:13:00"/>
    <x v="1"/>
  </r>
  <r>
    <x v="9"/>
    <s v="Landed 11:45"/>
    <d v="2026-07-12T00:00:00"/>
    <d v="1899-12-30T11:45:00"/>
    <s v="Paris"/>
    <s v="Paris Beauvais-Tille Airport"/>
    <s v="Boeing 737-8AS"/>
    <d v="2026-07-12T00:00:00"/>
    <d v="1899-12-30T11:45:00"/>
    <d v="1899-12-30T00:00:00"/>
    <x v="1"/>
  </r>
  <r>
    <x v="1"/>
    <s v="Landed 11:39"/>
    <d v="2026-07-12T00:00:00"/>
    <d v="1899-12-30T11:39:00"/>
    <s v="Milan"/>
    <s v="Milan Malpensa Airport"/>
    <s v="Airbus A321-271NX"/>
    <d v="2026-07-12T00:00:00"/>
    <d v="1899-12-30T11:45:00"/>
    <d v="1899-12-30T00:06:00"/>
    <x v="1"/>
  </r>
  <r>
    <x v="9"/>
    <s v="Landed 13:58"/>
    <d v="2026-07-12T00:00:00"/>
    <d v="1899-12-30T13:58:00"/>
    <s v="Oslo"/>
    <s v="Oslo Gardermoen Airport"/>
    <s v="Boeing 737-8AS"/>
    <d v="2026-07-12T00:00:00"/>
    <d v="1899-12-30T12:10:00"/>
    <d v="1899-12-30T01:48:00"/>
    <x v="0"/>
  </r>
  <r>
    <x v="17"/>
    <s v="Landed 12:34"/>
    <d v="2026-07-12T00:00:00"/>
    <d v="1899-12-30T12:34:00"/>
    <s v="Tivat"/>
    <s v="Tivat Airport"/>
    <s v="Airbus A320-232"/>
    <d v="2026-07-12T00:00:00"/>
    <d v="1899-12-30T12:10:00"/>
    <d v="1899-12-30T00:24:00"/>
    <x v="0"/>
  </r>
  <r>
    <x v="0"/>
    <s v="Landed 13:12"/>
    <d v="2026-07-12T00:00:00"/>
    <d v="1899-12-30T13:12:00"/>
    <s v="Dusseldorf"/>
    <s v="Dusseldorf Airport"/>
    <s v="Airbus A220-300"/>
    <d v="2026-07-12T00:00:00"/>
    <d v="1899-12-30T12:40:00"/>
    <d v="1899-12-30T00:32:00"/>
    <x v="0"/>
  </r>
  <r>
    <x v="11"/>
    <s v="Landed 12:43"/>
    <d v="2026-07-12T00:00:00"/>
    <d v="1899-12-30T12:43:00"/>
    <s v="Frankfurt"/>
    <s v="Frankfurt Airport"/>
    <s v="Airbus A320-271N"/>
    <d v="2026-07-12T00:00:00"/>
    <d v="1899-12-30T12:40:00"/>
    <d v="1899-12-30T00:03:00"/>
    <x v="1"/>
  </r>
  <r>
    <x v="1"/>
    <s v="Landed 12:59"/>
    <d v="2026-07-12T00:00:00"/>
    <d v="1899-12-30T12:59:00"/>
    <s v="London"/>
    <s v="London Luton Airport"/>
    <s v="Airbus A321-271NX"/>
    <d v="2026-07-12T00:00:00"/>
    <d v="1899-12-30T12:50:00"/>
    <d v="1899-12-30T00:09:00"/>
    <x v="1"/>
  </r>
  <r>
    <x v="12"/>
    <s v="Landed 12:54"/>
    <d v="2026-07-12T00:00:00"/>
    <d v="1899-12-30T12:54:00"/>
    <s v="Antalya"/>
    <s v="Antalya Airport"/>
    <s v="Airbus A320-214"/>
    <d v="2026-07-12T00:00:00"/>
    <d v="1899-12-30T12:55:00"/>
    <d v="1899-12-30T00:01:00"/>
    <x v="1"/>
  </r>
  <r>
    <x v="7"/>
    <s v="Landed 13:15"/>
    <d v="2026-07-12T00:00:00"/>
    <d v="1899-12-30T13:15:00"/>
    <s v="Helsinki"/>
    <s v="Helsinki Vantaa Airport"/>
    <s v="ATR 72-500"/>
    <d v="2026-07-12T00:00:00"/>
    <d v="1899-12-30T13:00:00"/>
    <d v="1899-12-30T00:15:00"/>
    <x v="1"/>
  </r>
  <r>
    <x v="6"/>
    <s v="Landed 12:49"/>
    <d v="2026-07-12T00:00:00"/>
    <d v="1899-12-30T12:49:00"/>
    <s v="Vienna"/>
    <s v="Vienna International Airport"/>
    <s v="Airbus A320-214"/>
    <d v="2026-07-12T00:00:00"/>
    <d v="1899-12-30T13:00:00"/>
    <d v="1899-12-30T00:11:00"/>
    <x v="1"/>
  </r>
  <r>
    <x v="13"/>
    <s v="Landed 12:41"/>
    <d v="2026-07-12T00:00:00"/>
    <d v="1899-12-30T12:41:00"/>
    <s v="Lamezia Terme"/>
    <s v="Lamezia Terme Airport"/>
    <s v="Boeing 737-83N"/>
    <d v="2026-07-12T00:00:00"/>
    <d v="1899-12-30T13:16:00"/>
    <d v="1899-12-30T00:35:00"/>
    <x v="0"/>
  </r>
  <r>
    <x v="0"/>
    <s v="Landed 13:55"/>
    <d v="2026-07-12T00:00:00"/>
    <d v="1899-12-30T13:55:00"/>
    <s v="Amsterdam"/>
    <s v="Amsterdam Schiphol Airport"/>
    <s v="Airbus A220-300"/>
    <d v="2026-07-12T00:00:00"/>
    <d v="1899-12-30T13:25:00"/>
    <d v="1899-12-30T00:30:00"/>
    <x v="0"/>
  </r>
  <r>
    <x v="13"/>
    <s v="Landed 13:04"/>
    <d v="2026-07-12T00:00:00"/>
    <d v="1899-12-30T13:04:00"/>
    <s v="Antalya"/>
    <s v="Antalya Airport"/>
    <s v="Boeing 737-85P"/>
    <d v="2026-07-12T00:00:00"/>
    <d v="1899-12-30T13:30:00"/>
    <d v="1899-12-30T00:26:00"/>
    <x v="0"/>
  </r>
  <r>
    <x v="2"/>
    <s v="Landed 13:53"/>
    <d v="2026-07-12T00:00:00"/>
    <d v="1899-12-30T13:53:00"/>
    <s v="Warsaw"/>
    <s v="Warsaw Chopin Airport"/>
    <s v="Embraer E175STD"/>
    <d v="2026-07-12T00:00:00"/>
    <d v="1899-12-30T13:50:00"/>
    <d v="1899-12-30T00:03:00"/>
    <x v="1"/>
  </r>
  <r>
    <x v="1"/>
    <s v="Landed 14:01"/>
    <d v="2026-07-12T00:00:00"/>
    <d v="1899-12-30T14:01:00"/>
    <s v="Budapest"/>
    <s v="Budapest Ferenc Liszt International Airport"/>
    <s v="Airbus A321-271NX"/>
    <d v="2026-07-12T00:00:00"/>
    <d v="1899-12-30T14:10:00"/>
    <d v="1899-12-30T00:09:00"/>
    <x v="1"/>
  </r>
  <r>
    <x v="22"/>
    <s v="Landed 15:31"/>
    <d v="2026-07-12T00:00:00"/>
    <d v="1899-12-30T15:31:00"/>
    <s v="Vienna"/>
    <s v="Vienna International Airport"/>
    <s v="Embraer E195LR"/>
    <d v="2026-07-12T00:00:00"/>
    <d v="1899-12-30T15:10:00"/>
    <d v="1899-12-30T00:21:00"/>
    <x v="0"/>
  </r>
  <r>
    <x v="0"/>
    <s v="Landed 15:14"/>
    <d v="2026-07-12T00:00:00"/>
    <d v="1899-12-30T15:14:00"/>
    <s v="Riga"/>
    <s v="Riga International Airport"/>
    <s v="Airbus A220-300"/>
    <d v="2026-07-12T00:00:00"/>
    <d v="1899-12-30T15:15:00"/>
    <d v="1899-12-30T00:01:00"/>
    <x v="1"/>
  </r>
  <r>
    <x v="3"/>
    <s v="Landed 15:34"/>
    <d v="2026-07-12T00:00:00"/>
    <d v="1899-12-30T15:34:00"/>
    <s v="Copenhagen"/>
    <s v="Copenhagen Airport"/>
    <s v="Mitsubishi CRJ-900LR"/>
    <d v="2026-07-12T00:00:00"/>
    <d v="1899-12-30T15:15:00"/>
    <d v="1899-12-30T00:19:00"/>
    <x v="0"/>
  </r>
  <r>
    <x v="9"/>
    <s v="Landed 15:53"/>
    <d v="2026-07-12T00:00:00"/>
    <d v="1899-12-30T15:53:00"/>
    <s v="Milan"/>
    <s v="Milan Bergamo Orio al Serio International Airport"/>
    <s v="Boeing 737-8AS"/>
    <d v="2026-07-12T00:00:00"/>
    <d v="1899-12-30T16:00:00"/>
    <d v="1899-12-30T00:07:00"/>
    <x v="1"/>
  </r>
  <r>
    <x v="2"/>
    <s v="Landed 16:11"/>
    <d v="2026-07-12T00:00:00"/>
    <d v="1899-12-30T16:11:00"/>
    <s v="Warsaw"/>
    <s v="Warsaw Chopin Airport"/>
    <s v="Embraer E170STD"/>
    <d v="2026-07-12T00:00:00"/>
    <d v="1899-12-30T16:20:00"/>
    <d v="1899-12-30T00:09:00"/>
    <x v="1"/>
  </r>
  <r>
    <x v="9"/>
    <s v="Landed 16:28"/>
    <d v="2026-07-12T00:00:00"/>
    <d v="1899-12-30T16:28:00"/>
    <s v="Berlin"/>
    <s v="Berlin Brandenburg Airport"/>
    <s v="Boeing 737-8AS"/>
    <d v="2026-07-12T00:00:00"/>
    <d v="1899-12-30T16:40:00"/>
    <d v="1899-12-30T00:12:00"/>
    <x v="1"/>
  </r>
  <r>
    <x v="9"/>
    <s v="Landed 16:31"/>
    <d v="2026-07-12T00:00:00"/>
    <d v="1899-12-30T16:31:00"/>
    <s v="Frankfurt"/>
    <s v="Frankfurt Hahn Airport"/>
    <s v="Boeing 737-8AS"/>
    <d v="2026-07-12T00:00:00"/>
    <d v="1899-12-30T16:50:00"/>
    <d v="1899-12-30T00:19:00"/>
    <x v="0"/>
  </r>
  <r>
    <x v="0"/>
    <s v="Landed 16:42"/>
    <d v="2026-07-12T00:00:00"/>
    <d v="1899-12-30T16:42:00"/>
    <s v="Hamburg"/>
    <s v="Hamburg Airport"/>
    <s v="Airbus A220-300"/>
    <d v="2026-07-12T00:00:00"/>
    <d v="1899-12-30T16:55:00"/>
    <d v="1899-12-30T00:13:00"/>
    <x v="1"/>
  </r>
  <r>
    <x v="14"/>
    <s v="Landed 17:01"/>
    <d v="2026-07-12T00:00:00"/>
    <d v="1899-12-30T17:01:00"/>
    <s v="Stockholm"/>
    <s v="Stockholm Arlanda Airport"/>
    <s v="Boeing 737-8JP"/>
    <d v="2026-07-12T00:00:00"/>
    <d v="1899-12-30T17:05:00"/>
    <d v="1899-12-30T00:04:00"/>
    <x v="1"/>
  </r>
  <r>
    <x v="15"/>
    <s v="Landed 17:22"/>
    <d v="2026-07-12T00:00:00"/>
    <d v="1899-12-30T17:22:00"/>
    <s v="Palanga"/>
    <s v="Palanga International Airport"/>
    <s v="Diamond DA42 NG Twin Star"/>
    <d v="2026-07-12T00:00:00"/>
    <d v="1899-12-30T17:11:00"/>
    <d v="1899-12-30T00:11:00"/>
    <x v="1"/>
  </r>
  <r>
    <x v="9"/>
    <s v="Landed 19:18"/>
    <d v="2026-07-12T00:00:00"/>
    <d v="1899-12-30T19:18:00"/>
    <s v="Venice"/>
    <s v="Venice Treviso Airport"/>
    <s v="Boeing 737-8AS"/>
    <d v="2026-07-12T00:00:00"/>
    <d v="1899-12-30T17:35:00"/>
    <d v="1899-12-30T01:43:00"/>
    <x v="0"/>
  </r>
  <r>
    <x v="10"/>
    <s v="Unknown"/>
    <d v="2026-07-12T00:00:00"/>
    <e v="#N/A"/>
    <s v="Istanbul"/>
    <s v="Istanbul Airport"/>
    <s v="N/A"/>
    <d v="2026-07-12T00:00:00"/>
    <d v="1899-12-30T17:45:00"/>
    <e v="#N/A"/>
    <x v="2"/>
  </r>
  <r>
    <x v="7"/>
    <s v="Landed 18:00"/>
    <d v="2026-07-12T00:00:00"/>
    <d v="1899-12-30T18:00:00"/>
    <s v="Helsinki"/>
    <s v="Helsinki Vantaa Airport"/>
    <s v="ATR 72-500"/>
    <d v="2026-07-12T00:00:00"/>
    <d v="1899-12-30T17:50:00"/>
    <d v="1899-12-30T00:10:00"/>
    <x v="1"/>
  </r>
  <r>
    <x v="0"/>
    <s v="Landed 18:41"/>
    <d v="2026-07-12T00:00:00"/>
    <d v="1899-12-30T18:41:00"/>
    <s v="Brussels"/>
    <s v="Brussels Airport"/>
    <s v="Airbus A220-300"/>
    <d v="2026-07-12T00:00:00"/>
    <d v="1899-12-30T18:00:00"/>
    <d v="1899-12-30T00:41:00"/>
    <x v="0"/>
  </r>
  <r>
    <x v="2"/>
    <s v="Landed 19:40"/>
    <d v="2026-07-12T00:00:00"/>
    <d v="1899-12-30T19:40:00"/>
    <s v="Warsaw"/>
    <s v="Warsaw Chopin Airport"/>
    <s v="Embraer E195LR"/>
    <d v="2026-07-12T00:00:00"/>
    <d v="1899-12-30T18:35:00"/>
    <d v="1899-12-30T01:05:00"/>
    <x v="0"/>
  </r>
  <r>
    <x v="1"/>
    <s v="Landed 18:28"/>
    <d v="2026-07-12T00:00:00"/>
    <d v="1899-12-30T18:28:00"/>
    <s v="Dortmund"/>
    <s v="Dortmund Airport"/>
    <s v="Airbus A321-271NX"/>
    <d v="2026-07-12T00:00:00"/>
    <d v="1899-12-30T18:35:00"/>
    <d v="1899-12-30T00:07:00"/>
    <x v="1"/>
  </r>
  <r>
    <x v="1"/>
    <s v="Landed 18:52"/>
    <d v="2026-07-12T00:00:00"/>
    <d v="1899-12-30T18:52:00"/>
    <s v="Kutaisi"/>
    <s v="Kutaisi International Airport"/>
    <s v="Airbus A321-271NX"/>
    <d v="2026-07-12T00:00:00"/>
    <d v="1899-12-30T18:50:00"/>
    <d v="1899-12-30T00:02:00"/>
    <x v="1"/>
  </r>
  <r>
    <x v="0"/>
    <s v="Landed 19:21"/>
    <d v="2026-07-12T00:00:00"/>
    <d v="1899-12-30T19:21:00"/>
    <s v="Zurich"/>
    <s v="Zurich Airport"/>
    <s v="Airbus A220-300"/>
    <d v="2026-07-12T00:00:00"/>
    <d v="1899-12-30T19:05:00"/>
    <d v="1899-12-30T00:16:00"/>
    <x v="0"/>
  </r>
  <r>
    <x v="1"/>
    <s v="Landed 18:49"/>
    <d v="2026-07-12T00:00:00"/>
    <d v="1899-12-30T18:49:00"/>
    <s v="Gdansk"/>
    <s v="Gdansk Lech Walesa Airport"/>
    <s v="Airbus A321-271NX"/>
    <d v="2026-07-12T00:00:00"/>
    <d v="1899-12-30T19:10:00"/>
    <d v="1899-12-30T00:21:00"/>
    <x v="0"/>
  </r>
  <r>
    <x v="10"/>
    <s v="Landed 19:12"/>
    <d v="2026-07-12T00:00:00"/>
    <d v="1899-12-30T19:12:00"/>
    <s v="Istanbul"/>
    <s v="Istanbul Airport"/>
    <s v="Airbus A321-271NX"/>
    <d v="2026-07-12T00:00:00"/>
    <d v="1899-12-30T19:30:00"/>
    <d v="1899-12-30T00:18:00"/>
    <x v="0"/>
  </r>
  <r>
    <x v="0"/>
    <s v="Landed 20:02"/>
    <d v="2026-07-12T00:00:00"/>
    <d v="1899-12-30T20:02:00"/>
    <s v="Amsterdam"/>
    <s v="Amsterdam Schiphol Airport"/>
    <s v="Airbus A220-300"/>
    <d v="2026-07-12T00:00:00"/>
    <d v="1899-12-30T19:50:00"/>
    <d v="1899-12-30T00:12:00"/>
    <x v="1"/>
  </r>
  <r>
    <x v="12"/>
    <s v="Landed 20:00"/>
    <d v="2026-07-12T00:00:00"/>
    <d v="1899-12-30T20:00:00"/>
    <s v="Tivat"/>
    <s v="Tivat Airport"/>
    <s v="Airbus A320-214"/>
    <d v="2026-07-12T00:00:00"/>
    <d v="1899-12-30T20:08:00"/>
    <d v="1899-12-30T00:08:00"/>
    <x v="1"/>
  </r>
  <r>
    <x v="9"/>
    <s v="Landed 20:31"/>
    <d v="2026-07-12T00:00:00"/>
    <d v="1899-12-30T20:31:00"/>
    <s v="London"/>
    <s v="London Luton Airport"/>
    <s v="Boeing 737 MAX 8-200"/>
    <d v="2026-07-12T00:00:00"/>
    <d v="1899-12-30T20:20:00"/>
    <d v="1899-12-30T00:11:00"/>
    <x v="1"/>
  </r>
  <r>
    <x v="17"/>
    <s v="Landed 20:11"/>
    <d v="2026-07-12T00:00:00"/>
    <d v="1899-12-30T20:11:00"/>
    <s v="Burgas"/>
    <s v="Burgas Airport"/>
    <s v="Airbus A320-232"/>
    <d v="2026-07-12T00:00:00"/>
    <d v="1899-12-30T20:35:00"/>
    <d v="1899-12-30T00:24:00"/>
    <x v="0"/>
  </r>
  <r>
    <x v="15"/>
    <s v="Landed 21:02"/>
    <d v="2026-07-12T00:00:00"/>
    <d v="1899-12-30T21:02:00"/>
    <s v="Ostrava"/>
    <s v="Ostrava Leos Janacek Airport"/>
    <s v="Cirrus SR22T"/>
    <d v="2026-07-12T00:00:00"/>
    <d v="1899-12-30T20:39:00"/>
    <d v="1899-12-30T00:23:00"/>
    <x v="0"/>
  </r>
  <r>
    <x v="34"/>
    <s v="Landed 21:07"/>
    <d v="2026-07-12T00:00:00"/>
    <d v="1899-12-30T21:07:00"/>
    <s v="Paris"/>
    <s v="Paris Le Bourget Airport"/>
    <s v="Embraer Phenom 300"/>
    <d v="2026-07-12T00:00:00"/>
    <d v="1899-12-30T21:03:00"/>
    <d v="1899-12-30T00:04:00"/>
    <x v="1"/>
  </r>
  <r>
    <x v="13"/>
    <s v="Landed 20:48"/>
    <d v="2026-07-12T00:00:00"/>
    <d v="1899-12-30T20:48:00"/>
    <s v="Burgas"/>
    <s v="Burgas Airport"/>
    <s v="Boeing 737-85P"/>
    <d v="2026-07-12T00:00:00"/>
    <d v="1899-12-30T21:07:00"/>
    <d v="1899-12-30T00:19:00"/>
    <x v="0"/>
  </r>
  <r>
    <x v="7"/>
    <s v="Landed 21:38"/>
    <d v="2026-07-12T00:00:00"/>
    <d v="1899-12-30T21:38:00"/>
    <s v="Helsinki"/>
    <s v="Helsinki Vantaa Airport"/>
    <s v="ATR 72-500"/>
    <d v="2026-07-12T00:00:00"/>
    <d v="1899-12-30T21:10:00"/>
    <d v="1899-12-30T00:28:00"/>
    <x v="0"/>
  </r>
  <r>
    <x v="16"/>
    <s v="Landed 22:01"/>
    <d v="2026-07-12T00:00:00"/>
    <d v="1899-12-30T22:01:00"/>
    <s v="Tel Aviv"/>
    <s v="Tel Aviv Ben Gurion International Airport"/>
    <s v="Airbus A320-232"/>
    <d v="2026-07-12T00:00:00"/>
    <d v="1899-12-30T21:15:00"/>
    <d v="1899-12-30T00:46:00"/>
    <x v="0"/>
  </r>
  <r>
    <x v="1"/>
    <s v="Landed 21:27"/>
    <d v="2026-07-12T00:00:00"/>
    <d v="1899-12-30T21:27:00"/>
    <s v="Nice"/>
    <s v="Nice Cote d'Azur Airport"/>
    <s v="Airbus A321-271NX"/>
    <d v="2026-07-12T00:00:00"/>
    <d v="1899-12-30T21:30:00"/>
    <d v="1899-12-30T00:03:00"/>
    <x v="1"/>
  </r>
  <r>
    <x v="13"/>
    <s v="Landed 22:03"/>
    <d v="2026-07-12T00:00:00"/>
    <d v="1899-12-30T22:03:00"/>
    <s v="Heraklion"/>
    <s v="Heraklion International Airport"/>
    <s v="Boeing 737-83N"/>
    <d v="2026-07-12T00:00:00"/>
    <d v="1899-12-30T22:10:00"/>
    <d v="1899-12-30T00:07:00"/>
    <x v="1"/>
  </r>
  <r>
    <x v="0"/>
    <s v="Landed 22:14"/>
    <d v="2026-07-12T00:00:00"/>
    <d v="1899-12-30T22:14:00"/>
    <s v="Tallinn"/>
    <s v="Tallinn Lennart Meri Airport"/>
    <s v="Airbus A220-300"/>
    <d v="2026-07-12T00:00:00"/>
    <d v="1899-12-30T22:20:00"/>
    <d v="1899-12-30T00:06:00"/>
    <x v="1"/>
  </r>
  <r>
    <x v="2"/>
    <s v="Landed 23:00"/>
    <d v="2026-07-12T00:00:00"/>
    <d v="1899-12-30T23:00:00"/>
    <s v="Warsaw"/>
    <s v="Warsaw Chopin Airport"/>
    <s v="Embraer E195LR"/>
    <d v="2026-07-12T00:00:00"/>
    <d v="1899-12-30T22:20:00"/>
    <d v="1899-12-30T00:40:00"/>
    <x v="0"/>
  </r>
  <r>
    <x v="0"/>
    <s v="Landed 22:47"/>
    <d v="2026-07-12T00:00:00"/>
    <d v="1899-12-30T22:47:00"/>
    <s v="Riga"/>
    <s v="Riga International Airport"/>
    <s v="Airbus A220-300"/>
    <d v="2026-07-12T00:00:00"/>
    <d v="1899-12-30T22:50:00"/>
    <d v="1899-12-30T00:03:00"/>
    <x v="1"/>
  </r>
  <r>
    <x v="9"/>
    <s v="Landed 23:07"/>
    <d v="2026-07-12T00:00:00"/>
    <d v="1899-12-30T23:07:00"/>
    <s v="London"/>
    <s v="London Stansted Airport"/>
    <s v="Boeing 737-8AS"/>
    <d v="2026-07-12T00:00:00"/>
    <d v="1899-12-30T23:00:00"/>
    <d v="1899-12-30T00:07:00"/>
    <x v="1"/>
  </r>
  <r>
    <x v="11"/>
    <s v="Landed 00:42"/>
    <d v="2026-07-13T00:00:00"/>
    <d v="1899-12-30T00:42:00"/>
    <s v="Frankfurt"/>
    <s v="Frankfurt Airport"/>
    <s v="Airbus A321-131"/>
    <d v="2026-07-12T00:00:00"/>
    <d v="1899-12-30T23:30:00"/>
    <d v="1899-12-30T01:12:00"/>
    <x v="0"/>
  </r>
  <r>
    <x v="0"/>
    <s v="Landed 23:40"/>
    <d v="2026-07-12T00:00:00"/>
    <d v="1899-12-30T23:40:00"/>
    <s v="Paris"/>
    <s v="Paris Charles de Gaulle Airport"/>
    <s v="Airbus A220-300"/>
    <d v="2026-07-12T00:00:00"/>
    <d v="1899-12-30T23:55:00"/>
    <d v="1899-12-30T00:15:00"/>
    <x v="1"/>
  </r>
  <r>
    <x v="0"/>
    <s v="Landed 01:55"/>
    <d v="2026-07-13T00:00:00"/>
    <d v="1899-12-30T01:55:00"/>
    <s v="Riga"/>
    <s v="Riga International Airport"/>
    <s v="Airbus A220-300"/>
    <d v="2026-07-13T00:00:00"/>
    <d v="1899-12-30T00:30:00"/>
    <d v="1899-12-30T01:25:00"/>
    <x v="0"/>
  </r>
  <r>
    <x v="1"/>
    <s v="Landed 00:35"/>
    <d v="2026-07-13T00:00:00"/>
    <d v="1899-12-30T00:35:00"/>
    <s v="Barcelona"/>
    <s v="Barcelona El Prat Airport"/>
    <s v="Airbus A321-271NX"/>
    <d v="2026-07-13T00:00:00"/>
    <d v="1899-12-30T00:30:00"/>
    <d v="1899-12-30T00:05:00"/>
    <x v="1"/>
  </r>
  <r>
    <x v="2"/>
    <s v="Landed 01:02"/>
    <d v="2026-07-13T00:00:00"/>
    <d v="1899-12-30T01:02:00"/>
    <s v="Warsaw"/>
    <s v="Warsaw Chopin Airport"/>
    <s v="Embraer E170STD"/>
    <d v="2026-07-13T00:00:00"/>
    <d v="1899-12-30T00:40:00"/>
    <d v="1899-12-30T00:22:00"/>
    <x v="0"/>
  </r>
  <r>
    <x v="0"/>
    <s v="Landed 00:55"/>
    <d v="2026-07-13T00:00:00"/>
    <d v="1899-12-30T00:55:00"/>
    <s v="Munich"/>
    <s v="Munich Airport"/>
    <s v="Airbus A220-300"/>
    <d v="2026-07-13T00:00:00"/>
    <d v="1899-12-30T00:45:00"/>
    <d v="1899-12-30T00:10:00"/>
    <x v="1"/>
  </r>
  <r>
    <x v="9"/>
    <s v="Landed 02:38"/>
    <d v="2026-07-13T00:00:00"/>
    <d v="1899-12-30T02:38:00"/>
    <s v="Athens"/>
    <s v="Athens Eleftherios Venizelos"/>
    <s v="Boeing 737-8AS"/>
    <d v="2026-07-13T00:00:00"/>
    <d v="1899-12-30T01:00:00"/>
    <d v="1899-12-30T01:38:00"/>
    <x v="0"/>
  </r>
  <r>
    <x v="0"/>
    <s v="Landed 01:35"/>
    <d v="2026-07-13T00:00:00"/>
    <d v="1899-12-30T01:35:00"/>
    <s v="Zurich"/>
    <s v="Zurich Airport"/>
    <s v="Airbus A220-300"/>
    <d v="2026-07-13T00:00:00"/>
    <d v="1899-12-30T01:25:00"/>
    <d v="1899-12-30T00:10:00"/>
    <x v="1"/>
  </r>
  <r>
    <x v="3"/>
    <s v="Landed 01:17"/>
    <d v="2026-07-13T00:00:00"/>
    <d v="1899-12-30T01:17:00"/>
    <s v="Copenhagen"/>
    <s v="Copenhagen Airport"/>
    <s v="Mitsubishi CRJ-900LR"/>
    <d v="2026-07-13T00:00:00"/>
    <d v="1899-12-30T01:25:00"/>
    <d v="1899-12-30T00:08:00"/>
    <x v="1"/>
  </r>
  <r>
    <x v="1"/>
    <s v="Landed 01:20"/>
    <d v="2026-07-13T00:00:00"/>
    <d v="1899-12-30T01:20:00"/>
    <s v="Podgorica"/>
    <s v="Podgorica Airport"/>
    <s v="Airbus A321-271NX"/>
    <d v="2026-07-13T00:00:00"/>
    <d v="1899-12-30T01:25:00"/>
    <d v="1899-12-30T00:05:00"/>
    <x v="1"/>
  </r>
  <r>
    <x v="26"/>
    <s v="Landed 02:30"/>
    <d v="2026-07-13T00:00:00"/>
    <d v="1899-12-30T02:30:00"/>
    <s v="Helsinki"/>
    <s v="Helsinki Vantaa Airport"/>
    <s v="Airbus A330-243F"/>
    <d v="2026-07-13T00:00:00"/>
    <d v="1899-12-30T01:47:00"/>
    <d v="1899-12-30T00:43:00"/>
    <x v="0"/>
  </r>
  <r>
    <x v="35"/>
    <s v="Landed 05:30"/>
    <d v="2026-07-13T00:00:00"/>
    <d v="1899-12-30T05:30:00"/>
    <s v="Leipzig"/>
    <s v="Leipzig Halle Airport"/>
    <s v="Boeing 737-86J(SF)"/>
    <d v="2026-07-13T00:00:00"/>
    <d v="1899-12-30T05:30:00"/>
    <d v="1899-12-30T00:00:00"/>
    <x v="1"/>
  </r>
  <r>
    <x v="0"/>
    <s v="Landed 07:52"/>
    <d v="2026-07-13T00:00:00"/>
    <d v="1899-12-30T07:52:00"/>
    <s v="Tallinn"/>
    <s v="Tallinn Lennart Meri Airport"/>
    <s v="Airbus A220-300"/>
    <d v="2026-07-13T00:00:00"/>
    <d v="1899-12-30T08:15:00"/>
    <d v="1899-12-30T00:23:00"/>
    <x v="0"/>
  </r>
  <r>
    <x v="0"/>
    <s v="Landed 08:52"/>
    <d v="2026-07-13T00:00:00"/>
    <d v="1899-12-30T08:52:00"/>
    <s v="Riga"/>
    <s v="Riga International Airport"/>
    <s v="Airbus A220-300"/>
    <d v="2026-07-13T00:00:00"/>
    <d v="1899-12-30T08:40:00"/>
    <d v="1899-12-30T00:12:00"/>
    <x v="1"/>
  </r>
  <r>
    <x v="9"/>
    <s v="Landed 08:27"/>
    <d v="2026-07-13T00:00:00"/>
    <d v="1899-12-30T08:27:00"/>
    <s v="Corfu"/>
    <s v="Corfu International Airport"/>
    <s v="Boeing 737 MAX 8-200"/>
    <d v="2026-07-13T00:00:00"/>
    <d v="1899-12-30T08:45:00"/>
    <d v="1899-12-30T00:18:00"/>
    <x v="0"/>
  </r>
  <r>
    <x v="1"/>
    <s v="Landed 08:39"/>
    <d v="2026-07-13T00:00:00"/>
    <d v="1899-12-30T08:39:00"/>
    <s v="Krakow"/>
    <s v="Krakow John Paul II International Airport"/>
    <s v="Airbus A321-271NX"/>
    <d v="2026-07-13T00:00:00"/>
    <d v="1899-12-30T08:50:00"/>
    <d v="1899-12-30T00:11:00"/>
    <x v="1"/>
  </r>
  <r>
    <x v="7"/>
    <s v="Landed 09:19"/>
    <d v="2026-07-13T00:00:00"/>
    <d v="1899-12-30T09:19:00"/>
    <s v="Helsinki"/>
    <s v="Helsinki Vantaa Airport"/>
    <s v="ATR 72-500"/>
    <d v="2026-07-13T00:00:00"/>
    <d v="1899-12-30T09:20:00"/>
    <d v="1899-12-30T00:01:00"/>
    <x v="1"/>
  </r>
  <r>
    <x v="1"/>
    <s v="Landed 09:41"/>
    <d v="2026-07-13T00:00:00"/>
    <d v="1899-12-30T09:41:00"/>
    <s v="Tallinn"/>
    <s v="Tallinn Lennart Meri Airport"/>
    <s v="Airbus A321-271NX"/>
    <d v="2026-07-13T00:00:00"/>
    <d v="1899-12-30T09:20:00"/>
    <d v="1899-12-30T00:21:00"/>
    <x v="0"/>
  </r>
  <r>
    <x v="9"/>
    <s v="Landed 09:43"/>
    <d v="2026-07-13T00:00:00"/>
    <d v="1899-12-30T09:43:00"/>
    <s v="Oslo"/>
    <s v="Oslo Gardermoen Airport"/>
    <s v="Boeing 737-8AS"/>
    <d v="2026-07-13T00:00:00"/>
    <d v="1899-12-30T09:55:00"/>
    <d v="1899-12-30T00:12:00"/>
    <x v="1"/>
  </r>
  <r>
    <x v="9"/>
    <s v="Landed 09:47"/>
    <d v="2026-07-13T00:00:00"/>
    <d v="1899-12-30T09:47:00"/>
    <s v="Malta"/>
    <s v="Malta Luqa International Airport"/>
    <s v="Boeing 737 MAX 8-200"/>
    <d v="2026-07-13T00:00:00"/>
    <d v="1899-12-30T10:00:00"/>
    <d v="1899-12-30T00:13:00"/>
    <x v="1"/>
  </r>
  <r>
    <x v="0"/>
    <s v="Landed 10:21"/>
    <d v="2026-07-13T00:00:00"/>
    <d v="1899-12-30T10:21:00"/>
    <s v="Riga"/>
    <s v="Riga International Airport"/>
    <s v="Airbus A220-300"/>
    <d v="2026-07-13T00:00:00"/>
    <d v="1899-12-30T10:05:00"/>
    <d v="1899-12-30T00:16:00"/>
    <x v="0"/>
  </r>
  <r>
    <x v="10"/>
    <s v="Landed 10:26"/>
    <d v="2026-07-13T00:00:00"/>
    <d v="1899-12-30T10:26:00"/>
    <s v="Istanbul"/>
    <s v="Istanbul Airport"/>
    <s v="Airbus A321-231"/>
    <d v="2026-07-13T00:00:00"/>
    <d v="1899-12-30T10:45:00"/>
    <d v="1899-12-30T00:19:00"/>
    <x v="0"/>
  </r>
  <r>
    <x v="9"/>
    <s v="Landed 10:38"/>
    <d v="2026-07-13T00:00:00"/>
    <d v="1899-12-30T10:38:00"/>
    <s v="Milan"/>
    <s v="Milan Bergamo Orio al Serio International Airport"/>
    <s v="Boeing 737-8AS"/>
    <d v="2026-07-13T00:00:00"/>
    <d v="1899-12-30T10:55:00"/>
    <d v="1899-12-30T00:17:00"/>
    <x v="0"/>
  </r>
  <r>
    <x v="9"/>
    <s v="Landed 10:49"/>
    <d v="2026-07-13T00:00:00"/>
    <d v="1899-12-30T10:49:00"/>
    <s v="London"/>
    <s v="London Luton Airport"/>
    <s v="Boeing 737 MAX 8-200"/>
    <d v="2026-07-13T00:00:00"/>
    <d v="1899-12-30T11:05:00"/>
    <d v="1899-12-30T00:16:00"/>
    <x v="0"/>
  </r>
  <r>
    <x v="9"/>
    <s v="Landed 11:25"/>
    <d v="2026-07-13T00:00:00"/>
    <d v="1899-12-30T11:25:00"/>
    <s v="Berlin"/>
    <s v="Berlin Brandenburg Airport"/>
    <s v="Boeing 737-8AS"/>
    <d v="2026-07-13T00:00:00"/>
    <d v="1899-12-30T11:45:00"/>
    <d v="1899-12-30T00:20:00"/>
    <x v="0"/>
  </r>
  <r>
    <x v="11"/>
    <s v="Landed 12:34"/>
    <d v="2026-07-13T00:00:00"/>
    <d v="1899-12-30T12:34:00"/>
    <s v="Frankfurt"/>
    <s v="Frankfurt Airport"/>
    <s v="Airbus A320-214"/>
    <d v="2026-07-13T00:00:00"/>
    <d v="1899-12-30T12:40:00"/>
    <d v="1899-12-30T00:06:00"/>
    <x v="1"/>
  </r>
  <r>
    <x v="0"/>
    <s v="Landed 13:06"/>
    <d v="2026-07-13T00:00:00"/>
    <d v="1899-12-30T13:06:00"/>
    <s v="Munich"/>
    <s v="Munich Airport"/>
    <s v="Airbus A220-300"/>
    <d v="2026-07-13T00:00:00"/>
    <d v="1899-12-30T12:45:00"/>
    <d v="1899-12-30T00:21:00"/>
    <x v="0"/>
  </r>
  <r>
    <x v="1"/>
    <s v="Landed 13:03"/>
    <d v="2026-07-13T00:00:00"/>
    <d v="1899-12-30T13:03:00"/>
    <s v="London"/>
    <s v="London Luton Airport"/>
    <s v="Airbus A321-271NX"/>
    <d v="2026-07-13T00:00:00"/>
    <d v="1899-12-30T12:50:00"/>
    <d v="1899-12-30T00:13:00"/>
    <x v="1"/>
  </r>
  <r>
    <x v="12"/>
    <s v="Landed 12:54"/>
    <d v="2026-07-13T00:00:00"/>
    <d v="1899-12-30T12:54:00"/>
    <s v="Antalya"/>
    <s v="Antalya Airport"/>
    <s v="Airbus A320-214"/>
    <d v="2026-07-13T00:00:00"/>
    <d v="1899-12-30T12:59:00"/>
    <d v="1899-12-30T00:05:00"/>
    <x v="1"/>
  </r>
  <r>
    <x v="7"/>
    <s v="Landed 13:10"/>
    <d v="2026-07-13T00:00:00"/>
    <d v="1899-12-30T13:10:00"/>
    <s v="Helsinki"/>
    <s v="Helsinki Vantaa Airport"/>
    <s v="ATR 72-500"/>
    <d v="2026-07-13T00:00:00"/>
    <d v="1899-12-30T13:00:00"/>
    <d v="1899-12-30T00:10:00"/>
    <x v="1"/>
  </r>
  <r>
    <x v="9"/>
    <s v="Landed 12:53"/>
    <d v="2026-07-13T00:00:00"/>
    <d v="1899-12-30T12:53:00"/>
    <s v="London"/>
    <s v="London Stansted Airport"/>
    <s v="Boeing 737-8AS"/>
    <d v="2026-07-13T00:00:00"/>
    <d v="1899-12-30T13:00:00"/>
    <d v="1899-12-30T00:07:00"/>
    <x v="1"/>
  </r>
  <r>
    <x v="13"/>
    <s v="Landed 12:57"/>
    <d v="2026-07-13T00:00:00"/>
    <d v="1899-12-30T12:57:00"/>
    <s v="Antalya"/>
    <s v="Antalya Airport"/>
    <s v="Boeing 737-85P"/>
    <d v="2026-07-13T00:00:00"/>
    <d v="1899-12-30T13:22:00"/>
    <d v="1899-12-30T00:25:00"/>
    <x v="0"/>
  </r>
  <r>
    <x v="0"/>
    <s v="Landed 15:02"/>
    <d v="2026-07-13T00:00:00"/>
    <d v="1899-12-30T15:02:00"/>
    <s v="Amsterdam"/>
    <s v="Amsterdam Schiphol Airport"/>
    <s v="Airbus A220-300"/>
    <d v="2026-07-13T00:00:00"/>
    <d v="1899-12-30T13:25:00"/>
    <d v="1899-12-30T01:37:00"/>
    <x v="0"/>
  </r>
  <r>
    <x v="0"/>
    <s v="Landed 13:44"/>
    <d v="2026-07-13T00:00:00"/>
    <d v="1899-12-30T13:44:00"/>
    <s v="Paris"/>
    <s v="Paris Charles de Gaulle Airport"/>
    <s v="Airbus A220-300"/>
    <d v="2026-07-13T00:00:00"/>
    <d v="1899-12-30T13:40:00"/>
    <d v="1899-12-30T00:04:00"/>
    <x v="1"/>
  </r>
  <r>
    <x v="17"/>
    <s v="Landed 13:00"/>
    <d v="2026-07-13T00:00:00"/>
    <d v="1899-12-30T13:00:00"/>
    <s v="Antalya"/>
    <s v="Antalya Airport"/>
    <s v="Airbus A320-232"/>
    <d v="2026-07-13T00:00:00"/>
    <d v="1899-12-30T13:40:00"/>
    <d v="1899-12-30T00:40:00"/>
    <x v="0"/>
  </r>
  <r>
    <x v="2"/>
    <s v="Landed 13:56"/>
    <d v="2026-07-13T00:00:00"/>
    <d v="1899-12-30T13:56:00"/>
    <s v="Warsaw"/>
    <s v="Warsaw Chopin Airport"/>
    <s v="Embraer E175STD"/>
    <d v="2026-07-13T00:00:00"/>
    <d v="1899-12-30T13:50:00"/>
    <d v="1899-12-30T00:06:00"/>
    <x v="1"/>
  </r>
  <r>
    <x v="1"/>
    <s v="Landed 14:12"/>
    <d v="2026-07-13T00:00:00"/>
    <d v="1899-12-30T14:12:00"/>
    <s v="Budapest"/>
    <s v="Budapest Ferenc Liszt International Airport"/>
    <s v="Airbus A321-271NX"/>
    <d v="2026-07-13T00:00:00"/>
    <d v="1899-12-30T14:10:00"/>
    <d v="1899-12-30T00:02:00"/>
    <x v="1"/>
  </r>
  <r>
    <x v="36"/>
    <s v="Landed 14:08"/>
    <d v="2026-07-13T00:00:00"/>
    <d v="1899-12-30T14:08:00"/>
    <s v="Zagreb"/>
    <s v="Zagreb Franjo Tudman Airport"/>
    <s v="Cessna Citation Bravo"/>
    <d v="2026-07-13T00:00:00"/>
    <d v="1899-12-30T14:28:00"/>
    <d v="1899-12-30T00:20:00"/>
    <x v="0"/>
  </r>
  <r>
    <x v="9"/>
    <s v="Landed 14:29"/>
    <d v="2026-07-13T00:00:00"/>
    <d v="1899-12-30T14:29:00"/>
    <s v="Oslo"/>
    <s v="Oslo Gardermoen Airport"/>
    <s v="Boeing 737-8AS"/>
    <d v="2026-07-13T00:00:00"/>
    <d v="1899-12-30T14:45:00"/>
    <d v="1899-12-30T00:16:00"/>
    <x v="0"/>
  </r>
  <r>
    <x v="22"/>
    <s v="Landed 15:12"/>
    <d v="2026-07-13T00:00:00"/>
    <d v="1899-12-30T15:12:00"/>
    <s v="Vienna"/>
    <s v="Vienna International Airport"/>
    <s v="Airbus A320-214"/>
    <d v="2026-07-13T00:00:00"/>
    <d v="1899-12-30T15:10:00"/>
    <d v="1899-12-30T00:02:00"/>
    <x v="1"/>
  </r>
  <r>
    <x v="3"/>
    <s v="Landed 15:24"/>
    <d v="2026-07-13T00:00:00"/>
    <d v="1899-12-30T15:24:00"/>
    <s v="Copenhagen"/>
    <s v="Copenhagen Airport"/>
    <s v="Mitsubishi CRJ-900LR"/>
    <d v="2026-07-13T00:00:00"/>
    <d v="1899-12-30T15:15:00"/>
    <d v="1899-12-30T00:09:00"/>
    <x v="1"/>
  </r>
  <r>
    <x v="9"/>
    <s v="Landed 15:15"/>
    <d v="2026-07-13T00:00:00"/>
    <d v="1899-12-30T15:15:00"/>
    <s v="Rome"/>
    <s v="Rome Ciampino Airport"/>
    <s v="Boeing 737 MAX 8-200"/>
    <d v="2026-07-13T00:00:00"/>
    <d v="1899-12-30T15:25:00"/>
    <d v="1899-12-30T00:10:00"/>
    <x v="1"/>
  </r>
  <r>
    <x v="0"/>
    <s v="Landed 15:39"/>
    <d v="2026-07-13T00:00:00"/>
    <d v="1899-12-30T15:39:00"/>
    <s v="Brussels"/>
    <s v="Brussels Airport"/>
    <s v="Airbus A220-300"/>
    <d v="2026-07-13T00:00:00"/>
    <d v="1899-12-30T15:25:00"/>
    <d v="1899-12-30T00:14:00"/>
    <x v="1"/>
  </r>
  <r>
    <x v="1"/>
    <s v="Landed 15:21"/>
    <d v="2026-07-13T00:00:00"/>
    <d v="1899-12-30T15:21:00"/>
    <s v="Malaga"/>
    <s v="Malaga Costa Del Sol Airport"/>
    <s v="Airbus A321-271NX"/>
    <d v="2026-07-13T00:00:00"/>
    <d v="1899-12-30T15:35:00"/>
    <d v="1899-12-30T00:14:00"/>
    <x v="1"/>
  </r>
  <r>
    <x v="0"/>
    <s v="Landed 15:44"/>
    <d v="2026-07-13T00:00:00"/>
    <d v="1899-12-30T15:44:00"/>
    <s v="Riga"/>
    <s v="Riga International Airport"/>
    <s v="Airbus A220-300"/>
    <d v="2026-07-13T00:00:00"/>
    <d v="1899-12-30T16:05:00"/>
    <d v="1899-12-30T00:21:00"/>
    <x v="0"/>
  </r>
  <r>
    <x v="2"/>
    <s v="Landed 16:11"/>
    <d v="2026-07-13T00:00:00"/>
    <d v="1899-12-30T16:11:00"/>
    <s v="Warsaw"/>
    <s v="Warsaw Chopin Airport"/>
    <s v="Embraer E190AR"/>
    <d v="2026-07-13T00:00:00"/>
    <d v="1899-12-30T16:20:00"/>
    <d v="1899-12-30T00:09:00"/>
    <x v="1"/>
  </r>
  <r>
    <x v="9"/>
    <s v="Landed 16:52"/>
    <d v="2026-07-13T00:00:00"/>
    <d v="1899-12-30T16:52:00"/>
    <s v="Eindhoven"/>
    <s v="Eindhoven Airport"/>
    <s v="Boeing 737-8AS"/>
    <d v="2026-07-13T00:00:00"/>
    <d v="1899-12-30T17:05:00"/>
    <d v="1899-12-30T00:13:00"/>
    <x v="1"/>
  </r>
  <r>
    <x v="7"/>
    <s v="Landed 18:23"/>
    <d v="2026-07-13T00:00:00"/>
    <d v="1899-12-30T18:23:00"/>
    <s v="Helsinki"/>
    <s v="Helsinki Vantaa Airport"/>
    <s v="ATR 72-500"/>
    <d v="2026-07-13T00:00:00"/>
    <d v="1899-12-30T17:50:00"/>
    <d v="1899-12-30T00:33:00"/>
    <x v="0"/>
  </r>
  <r>
    <x v="2"/>
    <s v="Landed 19:18"/>
    <d v="2026-07-13T00:00:00"/>
    <d v="1899-12-30T19:18:00"/>
    <s v="Warsaw"/>
    <s v="Warsaw Chopin Airport"/>
    <s v="Embraer E195LR"/>
    <d v="2026-07-13T00:00:00"/>
    <d v="1899-12-30T18:35:00"/>
    <d v="1899-12-30T00:43:00"/>
    <x v="0"/>
  </r>
  <r>
    <x v="1"/>
    <s v="Landed 18:43"/>
    <d v="2026-07-13T00:00:00"/>
    <d v="1899-12-30T18:43:00"/>
    <s v="Eindhoven"/>
    <s v="Eindhoven Airport"/>
    <s v="Airbus A321-271NX"/>
    <d v="2026-07-13T00:00:00"/>
    <d v="1899-12-30T18:45:00"/>
    <d v="1899-12-30T00:02:00"/>
    <x v="1"/>
  </r>
  <r>
    <x v="11"/>
    <s v="Landed 19:12"/>
    <d v="2026-07-13T00:00:00"/>
    <d v="1899-12-30T19:12:00"/>
    <s v="Frankfurt"/>
    <s v="Frankfurt Airport"/>
    <s v="Airbus A320-271N"/>
    <d v="2026-07-13T00:00:00"/>
    <d v="1899-12-30T18:55:00"/>
    <d v="1899-12-30T00:17:00"/>
    <x v="0"/>
  </r>
  <r>
    <x v="19"/>
    <s v="Landed 19:22"/>
    <d v="2026-07-13T00:00:00"/>
    <d v="1899-12-30T19:22:00"/>
    <s v="Tel Aviv"/>
    <s v="Tel Aviv Ben Gurion International Airport"/>
    <s v="Airbus A320-232"/>
    <d v="2026-07-13T00:00:00"/>
    <d v="1899-12-30T19:05:00"/>
    <d v="1899-12-30T00:17:00"/>
    <x v="0"/>
  </r>
  <r>
    <x v="10"/>
    <s v="Landed 19:15"/>
    <d v="2026-07-13T00:00:00"/>
    <d v="1899-12-30T19:15:00"/>
    <s v="Istanbul"/>
    <s v="Istanbul Airport"/>
    <s v="Boeing 737-8F2"/>
    <d v="2026-07-13T00:00:00"/>
    <d v="1899-12-30T19:30:00"/>
    <d v="1899-12-30T00:15:00"/>
    <x v="1"/>
  </r>
  <r>
    <x v="0"/>
    <s v="Landed 19:55"/>
    <d v="2026-07-13T00:00:00"/>
    <d v="1899-12-30T19:55:00"/>
    <s v="Amsterdam"/>
    <s v="Amsterdam Schiphol Airport"/>
    <s v="Airbus A220-300"/>
    <d v="2026-07-13T00:00:00"/>
    <d v="1899-12-30T19:50:00"/>
    <d v="1899-12-30T00:05:00"/>
    <x v="1"/>
  </r>
  <r>
    <x v="9"/>
    <s v="Landed 20:12"/>
    <d v="2026-07-13T00:00:00"/>
    <d v="1899-12-30T20:12:00"/>
    <s v="Frankfurt"/>
    <s v="Frankfurt Hahn Airport"/>
    <s v="Boeing 737-8AS"/>
    <d v="2026-07-13T00:00:00"/>
    <d v="1899-12-30T20:30:00"/>
    <d v="1899-12-30T00:18:00"/>
    <x v="0"/>
  </r>
  <r>
    <x v="15"/>
    <s v="Landed 20:35"/>
    <d v="2026-07-13T00:00:00"/>
    <d v="1899-12-30T20:35:00"/>
    <s v="Warsaw"/>
    <s v="Warsaw Babice Airport"/>
    <s v="Diamond DA42 NG Twin Star"/>
    <d v="2026-07-13T00:00:00"/>
    <d v="1899-12-30T20:35:00"/>
    <d v="1899-12-30T00:00:00"/>
    <x v="1"/>
  </r>
  <r>
    <x v="0"/>
    <s v="Landed 20:55"/>
    <d v="2026-07-13T00:00:00"/>
    <d v="1899-12-30T20:55:00"/>
    <s v="Riga"/>
    <s v="Riga International Airport"/>
    <s v="Airbus A220-300"/>
    <d v="2026-07-13T00:00:00"/>
    <d v="1899-12-30T20:50:00"/>
    <d v="1899-12-30T00:05:00"/>
    <x v="1"/>
  </r>
  <r>
    <x v="9"/>
    <s v="Landed 21:05"/>
    <d v="2026-07-13T00:00:00"/>
    <d v="1899-12-30T21:05:00"/>
    <s v="Milan"/>
    <s v="Milan Bergamo Orio al Serio International Airport"/>
    <s v="Boeing 737 MAX 8-200"/>
    <d v="2026-07-13T00:00:00"/>
    <d v="1899-12-30T21:20:00"/>
    <d v="1899-12-30T00:15:00"/>
    <x v="1"/>
  </r>
  <r>
    <x v="13"/>
    <s v="Landed 21:29"/>
    <d v="2026-07-13T00:00:00"/>
    <d v="1899-12-30T21:29:00"/>
    <s v="Corfu"/>
    <s v="Corfu International Airport"/>
    <s v="Boeing 737-83N"/>
    <d v="2026-07-13T00:00:00"/>
    <d v="1899-12-30T21:37:00"/>
    <d v="1899-12-30T00:08:00"/>
    <x v="1"/>
  </r>
  <r>
    <x v="0"/>
    <s v="Landed 21:58"/>
    <d v="2026-07-13T00:00:00"/>
    <d v="1899-12-30T21:58:00"/>
    <s v="Tallinn"/>
    <s v="Tallinn Lennart Meri Airport"/>
    <s v="Airbus A220-300"/>
    <d v="2026-07-13T00:00:00"/>
    <d v="1899-12-30T21:50:00"/>
    <d v="1899-12-30T00:08:00"/>
    <x v="1"/>
  </r>
  <r>
    <x v="0"/>
    <s v="Landed 21:55"/>
    <d v="2026-07-13T00:00:00"/>
    <d v="1899-12-30T21:55:00"/>
    <s v="Heraklion"/>
    <s v="Heraklion International Airport"/>
    <s v="Airbus A220-300"/>
    <d v="2026-07-13T00:00:00"/>
    <d v="1899-12-30T21:50:00"/>
    <d v="1899-12-30T00:05:00"/>
    <x v="1"/>
  </r>
  <r>
    <x v="9"/>
    <s v="Landed 22:01"/>
    <d v="2026-07-13T00:00:00"/>
    <d v="1899-12-30T22:01:00"/>
    <s v="Barcelona"/>
    <s v="Barcelona El Prat Airport"/>
    <s v="Boeing 737-8AS"/>
    <d v="2026-07-13T00:00:00"/>
    <d v="1899-12-30T22:00:00"/>
    <d v="1899-12-30T00:01:00"/>
    <x v="1"/>
  </r>
  <r>
    <x v="2"/>
    <s v="Landed 22:17"/>
    <d v="2026-07-13T00:00:00"/>
    <d v="1899-12-30T22:17:00"/>
    <s v="Warsaw"/>
    <s v="Warsaw Chopin Airport"/>
    <s v="Boeing 737-86N"/>
    <d v="2026-07-13T00:00:00"/>
    <d v="1899-12-30T22:20:00"/>
    <d v="1899-12-30T00:03:00"/>
    <x v="1"/>
  </r>
  <r>
    <x v="17"/>
    <s v="Landed 22:23"/>
    <d v="2026-07-13T00:00:00"/>
    <d v="1899-12-30T22:23:00"/>
    <s v="Enfidha"/>
    <s v="Enfidha Hammamet International Airport"/>
    <s v="Airbus A320-232"/>
    <d v="2026-07-13T00:00:00"/>
    <d v="1899-12-30T22:30:00"/>
    <d v="1899-12-30T00:07:00"/>
    <x v="1"/>
  </r>
  <r>
    <x v="9"/>
    <s v="Landed 22:33"/>
    <d v="2026-07-13T00:00:00"/>
    <d v="1899-12-30T22:33:00"/>
    <s v="Dublin"/>
    <s v="Dublin Airport"/>
    <s v="Boeing 737 MAX 8-200"/>
    <d v="2026-07-13T00:00:00"/>
    <d v="1899-12-30T22:35:00"/>
    <d v="1899-12-30T00:02:00"/>
    <x v="1"/>
  </r>
  <r>
    <x v="13"/>
    <s v="Delayed 00:20"/>
    <d v="2026-07-13T00:00:00"/>
    <e v="#N/A"/>
    <s v="Belgrade"/>
    <s v="Belgrade Nikola Tesla Airport"/>
    <s v="Airbus A320-214"/>
    <d v="2026-07-13T00:00:00"/>
    <d v="1899-12-30T22:58:00"/>
    <e v="#N/A"/>
    <x v="2"/>
  </r>
  <r>
    <x v="20"/>
    <s v="Landed 23:17"/>
    <d v="2026-07-13T00:00:00"/>
    <d v="1899-12-30T23:17:00"/>
    <s v="Antalya"/>
    <s v="Antalya Airport"/>
    <s v="Boeing 777-31H(ER)"/>
    <d v="2026-07-13T00:00:00"/>
    <d v="1899-12-30T23:14:00"/>
    <d v="1899-12-30T00:03:00"/>
    <x v="1"/>
  </r>
  <r>
    <x v="9"/>
    <s v="Landed 23:34"/>
    <d v="2026-07-13T00:00:00"/>
    <d v="1899-12-30T23:34:00"/>
    <s v="Turin"/>
    <s v="Turin Caselle Airport"/>
    <s v="Boeing 737-8AS"/>
    <d v="2026-07-13T00:00:00"/>
    <d v="1899-12-30T23:55:00"/>
    <d v="1899-12-30T00:21:00"/>
    <x v="0"/>
  </r>
  <r>
    <x v="11"/>
    <s v="Landed 23:53"/>
    <d v="2026-07-13T00:00:00"/>
    <d v="1899-12-30T23:53:00"/>
    <s v="Frankfurt"/>
    <s v="Frankfurt Airport"/>
    <s v="Airbus A321-231"/>
    <d v="2026-07-13T00:00:00"/>
    <d v="1899-12-30T23:55:00"/>
    <d v="1899-12-30T00:02:00"/>
    <x v="1"/>
  </r>
  <r>
    <x v="0"/>
    <s v="Landed 00:27"/>
    <d v="2026-07-14T00:00:00"/>
    <d v="1899-12-30T00:27:00"/>
    <s v="Berlin"/>
    <s v="Berlin Brandenburg Airport"/>
    <s v="Airbus A220-300"/>
    <d v="2026-07-14T00:00:00"/>
    <d v="1899-12-30T00:15:00"/>
    <d v="1899-12-30T00:12:00"/>
    <x v="1"/>
  </r>
  <r>
    <x v="1"/>
    <s v="Landed 00:16"/>
    <d v="2026-07-14T00:00:00"/>
    <d v="1899-12-30T00:16:00"/>
    <s v="Reykjavik"/>
    <s v="Keflavik International Airport"/>
    <s v="Airbus A321-271NX"/>
    <d v="2026-07-14T00:00:00"/>
    <d v="1899-12-30T00:20:00"/>
    <d v="1899-12-30T00:04:00"/>
    <x v="1"/>
  </r>
  <r>
    <x v="0"/>
    <s v="Landed 01:05"/>
    <d v="2026-07-14T00:00:00"/>
    <d v="1899-12-30T01:05:00"/>
    <s v="Riga"/>
    <s v="Riga International Airport"/>
    <s v="Airbus A220-300"/>
    <d v="2026-07-14T00:00:00"/>
    <d v="1899-12-30T00:30:00"/>
    <d v="1899-12-30T00:35:00"/>
    <x v="0"/>
  </r>
  <r>
    <x v="2"/>
    <s v="Landed 01:30"/>
    <d v="2026-07-14T00:00:00"/>
    <d v="1899-12-30T01:30:00"/>
    <s v="Warsaw"/>
    <s v="Warsaw Chopin Airport"/>
    <s v="Boeing 737 MAX 8"/>
    <d v="2026-07-14T00:00:00"/>
    <d v="1899-12-30T00:40:00"/>
    <d v="1899-12-30T00:50:00"/>
    <x v="0"/>
  </r>
  <r>
    <x v="1"/>
    <s v="Landed 01:08"/>
    <d v="2026-07-14T00:00:00"/>
    <d v="1899-12-30T01:08:00"/>
    <s v="Larnaca"/>
    <s v="Larnaca International Airport"/>
    <s v="Airbus A321-271NX"/>
    <d v="2026-07-14T00:00:00"/>
    <d v="1899-12-30T01:05:00"/>
    <d v="1899-12-30T00:03:00"/>
    <x v="1"/>
  </r>
  <r>
    <x v="9"/>
    <s v="Landed 00:56"/>
    <d v="2026-07-14T00:00:00"/>
    <d v="1899-12-30T00:56:00"/>
    <s v="Nuremberg"/>
    <s v="Nuremberg Airport"/>
    <s v="Boeing 737-8AS"/>
    <d v="2026-07-14T00:00:00"/>
    <d v="1899-12-30T01:15:00"/>
    <d v="1899-12-30T00:19:00"/>
    <x v="0"/>
  </r>
  <r>
    <x v="1"/>
    <s v="Landed 01:25"/>
    <d v="2026-07-14T00:00:00"/>
    <d v="1899-12-30T01:25:00"/>
    <s v="Milan"/>
    <s v="Milan Malpensa Airport"/>
    <s v="Airbus A321-271NX"/>
    <d v="2026-07-14T00:00:00"/>
    <d v="1899-12-30T01:20:00"/>
    <d v="1899-12-30T00:05:00"/>
    <x v="1"/>
  </r>
  <r>
    <x v="0"/>
    <s v="Landed 01:14"/>
    <d v="2026-07-14T00:00:00"/>
    <d v="1899-12-30T01:14:00"/>
    <s v="Zurich"/>
    <s v="Zurich Airport"/>
    <s v="Airbus A220-300"/>
    <d v="2026-07-14T00:00:00"/>
    <d v="1899-12-30T01:25:00"/>
    <d v="1899-12-30T00:11:00"/>
    <x v="1"/>
  </r>
  <r>
    <x v="3"/>
    <s v="Landed 01:28"/>
    <d v="2026-07-14T00:00:00"/>
    <d v="1899-12-30T01:28:00"/>
    <s v="Copenhagen"/>
    <s v="Copenhagen Airport"/>
    <s v="Mitsubishi CRJ-900LR"/>
    <d v="2026-07-14T00:00:00"/>
    <d v="1899-12-30T01:25:00"/>
    <d v="1899-12-30T00:03:00"/>
    <x v="1"/>
  </r>
  <r>
    <x v="13"/>
    <s v="Landed 01:52"/>
    <d v="2026-07-14T00:00:00"/>
    <d v="1899-12-30T01:52:00"/>
    <s v="Funchal"/>
    <s v="Funchal Cristiano Ronaldo Airport"/>
    <s v="Boeing 737-85P"/>
    <d v="2026-07-14T00:00:00"/>
    <d v="1899-12-30T02:13:00"/>
    <d v="1899-12-30T00:21:00"/>
    <x v="0"/>
  </r>
  <r>
    <x v="5"/>
    <s v="Landed 07:35"/>
    <d v="2026-07-14T00:00:00"/>
    <d v="1899-12-30T07:35:00"/>
    <s v="Leipzig"/>
    <s v="Leipzig Halle Airport"/>
    <s v="Boeing 737-86N(SF)"/>
    <d v="2026-07-14T00:00:00"/>
    <d v="1899-12-30T07:28:00"/>
    <d v="1899-12-30T00:07:00"/>
    <x v="1"/>
  </r>
  <r>
    <x v="0"/>
    <s v="Landed 08:28"/>
    <d v="2026-07-14T00:00:00"/>
    <d v="1899-12-30T08:28:00"/>
    <s v="Riga"/>
    <s v="Riga International Airport"/>
    <s v="Airbus A220-300"/>
    <d v="2026-07-14T00:00:00"/>
    <d v="1899-12-30T08:40:00"/>
    <d v="1899-12-30T00:12:00"/>
    <x v="1"/>
  </r>
  <r>
    <x v="7"/>
    <s v="Landed 09:13"/>
    <d v="2026-07-14T00:00:00"/>
    <d v="1899-12-30T09:13:00"/>
    <s v="Helsinki"/>
    <s v="Helsinki Vantaa Airport"/>
    <s v="ATR 72-500"/>
    <d v="2026-07-14T00:00:00"/>
    <d v="1899-12-30T09:20:00"/>
    <d v="1899-12-30T00:07:00"/>
    <x v="1"/>
  </r>
  <r>
    <x v="15"/>
    <s v="Landed 10:03"/>
    <d v="2026-07-14T00:00:00"/>
    <d v="1899-12-30T10:03:00"/>
    <s v="Palanga"/>
    <s v="Palanga International Airport"/>
    <s v="Cirrus SR22T"/>
    <d v="2026-07-14T00:00:00"/>
    <d v="1899-12-30T09:53:00"/>
    <d v="1899-12-30T00:10:00"/>
    <x v="1"/>
  </r>
  <r>
    <x v="2"/>
    <s v="Landed 10:07"/>
    <d v="2026-07-14T00:00:00"/>
    <d v="1899-12-30T10:07:00"/>
    <s v="Warsaw"/>
    <s v="Warsaw Chopin Airport"/>
    <s v="Embraer E190STD"/>
    <d v="2026-07-14T00:00:00"/>
    <d v="1899-12-30T10:15:00"/>
    <d v="1899-12-30T00:08:00"/>
    <x v="1"/>
  </r>
  <r>
    <x v="9"/>
    <s v="Landed 09:58"/>
    <d v="2026-07-14T00:00:00"/>
    <d v="1899-12-30T09:58:00"/>
    <s v="Venice"/>
    <s v="Venice Treviso Airport"/>
    <s v="Boeing 737-8AS"/>
    <d v="2026-07-14T00:00:00"/>
    <d v="1899-12-30T10:20:00"/>
    <d v="1899-12-30T00:22:00"/>
    <x v="0"/>
  </r>
  <r>
    <x v="10"/>
    <s v="Landed 11:16"/>
    <d v="2026-07-14T00:00:00"/>
    <d v="1899-12-30T11:16:00"/>
    <s v="Istanbul"/>
    <s v="Istanbul Airport"/>
    <s v="Airbus A321-231"/>
    <d v="2026-07-14T00:00:00"/>
    <d v="1899-12-30T10:45:00"/>
    <d v="1899-12-30T00:31:00"/>
    <x v="0"/>
  </r>
  <r>
    <x v="17"/>
    <s v="Landed 11:51"/>
    <d v="2026-07-14T00:00:00"/>
    <d v="1899-12-30T11:51:00"/>
    <s v="Heraklion"/>
    <s v="Heraklion International Airport"/>
    <s v="Airbus A320-232"/>
    <d v="2026-07-14T00:00:00"/>
    <d v="1899-12-30T11:55:00"/>
    <d v="1899-12-30T00:04:00"/>
    <x v="1"/>
  </r>
  <r>
    <x v="9"/>
    <s v="Landed 11:54"/>
    <d v="2026-07-14T00:00:00"/>
    <d v="1899-12-30T11:54:00"/>
    <s v="Milan"/>
    <s v="Milan Bergamo Orio al Serio International Airport"/>
    <s v="Boeing 737-8AS"/>
    <d v="2026-07-14T00:00:00"/>
    <d v="1899-12-30T12:15:00"/>
    <d v="1899-12-30T00:21:00"/>
    <x v="0"/>
  </r>
  <r>
    <x v="19"/>
    <s v="Landed 12:35"/>
    <d v="2026-07-14T00:00:00"/>
    <d v="1899-12-30T12:35:00"/>
    <s v="Tel Aviv"/>
    <s v="Tel Aviv Ben Gurion International Airport"/>
    <s v="Airbus A320-232"/>
    <d v="2026-07-14T00:00:00"/>
    <d v="1899-12-30T12:15:00"/>
    <d v="1899-12-30T00:20:00"/>
    <x v="0"/>
  </r>
  <r>
    <x v="1"/>
    <s v="Landed 12:00"/>
    <d v="2026-07-14T00:00:00"/>
    <d v="1899-12-30T12:00:00"/>
    <s v="Nice"/>
    <s v="Nice Cote d'Azur Airport"/>
    <s v="Airbus A321-271NX"/>
    <d v="2026-07-14T00:00:00"/>
    <d v="1899-12-30T12:20:00"/>
    <d v="1899-12-30T00:20:00"/>
    <x v="0"/>
  </r>
  <r>
    <x v="1"/>
    <s v="Landed 12:03"/>
    <d v="2026-07-14T00:00:00"/>
    <d v="1899-12-30T12:03:00"/>
    <s v="Catania"/>
    <s v="Catania Fontanarossa Airport"/>
    <s v="Airbus A321-271NX"/>
    <d v="2026-07-14T00:00:00"/>
    <d v="1899-12-30T12:25:00"/>
    <d v="1899-12-30T00:22:00"/>
    <x v="0"/>
  </r>
  <r>
    <x v="9"/>
    <s v="Landed 12:53"/>
    <d v="2026-07-14T00:00:00"/>
    <d v="1899-12-30T12:53:00"/>
    <s v="London"/>
    <s v="London Stansted Airport"/>
    <s v="Boeing 737-8AS"/>
    <d v="2026-07-14T00:00:00"/>
    <d v="1899-12-30T12:40:00"/>
    <d v="1899-12-30T00:13:00"/>
    <x v="1"/>
  </r>
  <r>
    <x v="11"/>
    <s v="Landed 12:29"/>
    <d v="2026-07-14T00:00:00"/>
    <d v="1899-12-30T12:29:00"/>
    <s v="Frankfurt"/>
    <s v="Frankfurt Airport"/>
    <s v="Airbus A320-271N"/>
    <d v="2026-07-14T00:00:00"/>
    <d v="1899-12-30T12:40:00"/>
    <d v="1899-12-30T00:11:00"/>
    <x v="1"/>
  </r>
  <r>
    <x v="12"/>
    <s v="Landed 12:59"/>
    <d v="2026-07-14T00:00:00"/>
    <d v="1899-12-30T12:59:00"/>
    <s v="Heraklion"/>
    <s v="Heraklion International Airport"/>
    <s v="Airbus A320-232"/>
    <d v="2026-07-14T00:00:00"/>
    <d v="1899-12-30T12:47:00"/>
    <d v="1899-12-30T00:12:00"/>
    <x v="1"/>
  </r>
  <r>
    <x v="7"/>
    <s v="Landed 13:03"/>
    <d v="2026-07-14T00:00:00"/>
    <d v="1899-12-30T13:03:00"/>
    <s v="Helsinki"/>
    <s v="Helsinki Vantaa Airport"/>
    <s v="ATR 72-500"/>
    <d v="2026-07-14T00:00:00"/>
    <d v="1899-12-30T13:00:00"/>
    <d v="1899-12-30T00:03:00"/>
    <x v="1"/>
  </r>
  <r>
    <x v="13"/>
    <s v="Landed 13:06"/>
    <d v="2026-07-14T00:00:00"/>
    <d v="1899-12-30T13:06:00"/>
    <s v="Heraklion"/>
    <s v="Heraklion International Airport"/>
    <s v="Boeing 737-83N"/>
    <d v="2026-07-14T00:00:00"/>
    <d v="1899-12-30T13:15:00"/>
    <d v="1899-12-30T00:09:00"/>
    <x v="1"/>
  </r>
  <r>
    <x v="13"/>
    <s v="Landed 12:56"/>
    <d v="2026-07-14T00:00:00"/>
    <d v="1899-12-30T12:56:00"/>
    <s v="Antalya"/>
    <s v="Antalya Airport"/>
    <s v="Boeing 737-85P"/>
    <d v="2026-07-14T00:00:00"/>
    <d v="1899-12-30T13:22:00"/>
    <d v="1899-12-30T00:26:00"/>
    <x v="0"/>
  </r>
  <r>
    <x v="0"/>
    <s v="Landed 13:28"/>
    <d v="2026-07-14T00:00:00"/>
    <d v="1899-12-30T13:28:00"/>
    <s v="Amsterdam"/>
    <s v="Amsterdam Schiphol Airport"/>
    <s v="Airbus A220-300"/>
    <d v="2026-07-14T00:00:00"/>
    <d v="1899-12-30T13:25:00"/>
    <d v="1899-12-30T00:03:00"/>
    <x v="1"/>
  </r>
  <r>
    <x v="2"/>
    <s v="Landed 13:38"/>
    <d v="2026-07-14T00:00:00"/>
    <d v="1899-12-30T13:38:00"/>
    <s v="Warsaw"/>
    <s v="Warsaw Chopin Airport"/>
    <s v="Embraer E190STD"/>
    <d v="2026-07-14T00:00:00"/>
    <d v="1899-12-30T13:50:00"/>
    <d v="1899-12-30T00:12:00"/>
    <x v="1"/>
  </r>
  <r>
    <x v="20"/>
    <s v="Unknown"/>
    <d v="2026-07-14T00:00:00"/>
    <e v="#N/A"/>
    <s v="Hurghada"/>
    <s v="Hurghada International Airport"/>
    <s v="N/A"/>
    <d v="2026-07-14T00:00:00"/>
    <d v="1899-12-30T13:55:00"/>
    <e v="#N/A"/>
    <x v="2"/>
  </r>
  <r>
    <x v="0"/>
    <s v="Landed 15:02"/>
    <d v="2026-07-14T00:00:00"/>
    <d v="1899-12-30T15:02:00"/>
    <s v="Riga"/>
    <s v="Riga International Airport"/>
    <s v="Airbus A220-300"/>
    <d v="2026-07-14T00:00:00"/>
    <d v="1899-12-30T14:35:00"/>
    <d v="1899-12-30T00:27:00"/>
    <x v="0"/>
  </r>
  <r>
    <x v="1"/>
    <s v="Landed 14:25"/>
    <d v="2026-07-14T00:00:00"/>
    <d v="1899-12-30T14:25:00"/>
    <s v="Kutaisi"/>
    <s v="Kutaisi International Airport"/>
    <s v="Airbus A321-271NX"/>
    <d v="2026-07-14T00:00:00"/>
    <d v="1899-12-30T14:50:00"/>
    <d v="1899-12-30T00:25:00"/>
    <x v="0"/>
  </r>
  <r>
    <x v="3"/>
    <s v="Landed 15:11"/>
    <d v="2026-07-14T00:00:00"/>
    <d v="1899-12-30T15:11:00"/>
    <s v="Copenhagen"/>
    <s v="Copenhagen Airport"/>
    <s v="Mitsubishi CRJ-900LR"/>
    <d v="2026-07-14T00:00:00"/>
    <d v="1899-12-30T15:15:00"/>
    <d v="1899-12-30T00:04:00"/>
    <x v="1"/>
  </r>
  <r>
    <x v="9"/>
    <s v="Landed 15:36"/>
    <d v="2026-07-14T00:00:00"/>
    <d v="1899-12-30T15:36:00"/>
    <s v="London"/>
    <s v="London Luton Airport"/>
    <s v="Boeing 737 MAX 8-200"/>
    <d v="2026-07-14T00:00:00"/>
    <d v="1899-12-30T15:30:00"/>
    <d v="1899-12-30T00:06:00"/>
    <x v="1"/>
  </r>
  <r>
    <x v="0"/>
    <s v="Landed 16:05"/>
    <d v="2026-07-14T00:00:00"/>
    <d v="1899-12-30T16:05:00"/>
    <s v="Nice"/>
    <s v="Nice Cote d'Azur Airport"/>
    <s v="Airbus A220-300"/>
    <d v="2026-07-14T00:00:00"/>
    <d v="1899-12-30T16:00:00"/>
    <d v="1899-12-30T00:05:00"/>
    <x v="1"/>
  </r>
  <r>
    <x v="2"/>
    <s v="Landed 16:19"/>
    <d v="2026-07-14T00:00:00"/>
    <d v="1899-12-30T16:19:00"/>
    <s v="Warsaw"/>
    <s v="Warsaw Chopin Airport"/>
    <s v="Embraer E175LR"/>
    <d v="2026-07-14T00:00:00"/>
    <d v="1899-12-30T16:20:00"/>
    <d v="1899-12-30T00:01:00"/>
    <x v="1"/>
  </r>
  <r>
    <x v="14"/>
    <s v="Landed 16:30"/>
    <d v="2026-07-14T00:00:00"/>
    <d v="1899-12-30T16:30:00"/>
    <s v="Stockholm"/>
    <s v="Stockholm Arlanda Airport"/>
    <s v="Boeing 737 MAX 8"/>
    <d v="2026-07-14T00:00:00"/>
    <d v="1899-12-30T16:35:00"/>
    <d v="1899-12-30T00:05:00"/>
    <x v="1"/>
  </r>
  <r>
    <x v="9"/>
    <s v="Landed 16:33"/>
    <d v="2026-07-14T00:00:00"/>
    <d v="1899-12-30T16:33:00"/>
    <s v="Oslo"/>
    <s v="Oslo Gardermoen Airport"/>
    <s v="Boeing 737-8AS"/>
    <d v="2026-07-14T00:00:00"/>
    <d v="1899-12-30T16:50:00"/>
    <d v="1899-12-30T00:17:00"/>
    <x v="0"/>
  </r>
  <r>
    <x v="7"/>
    <s v="Landed 18:09"/>
    <d v="2026-07-14T00:00:00"/>
    <d v="1899-12-30T18:09:00"/>
    <s v="Helsinki"/>
    <s v="Helsinki Vantaa Airport"/>
    <s v="ATR 72-500"/>
    <d v="2026-07-14T00:00:00"/>
    <d v="1899-12-30T17:50:00"/>
    <d v="1899-12-30T00:19:00"/>
    <x v="0"/>
  </r>
  <r>
    <x v="1"/>
    <s v="Landed 18:37"/>
    <d v="2026-07-14T00:00:00"/>
    <d v="1899-12-30T18:37:00"/>
    <s v="Gdansk"/>
    <s v="Gdansk Lech Walesa Airport"/>
    <s v="Airbus A321-231"/>
    <d v="2026-07-14T00:00:00"/>
    <d v="1899-12-30T18:30:00"/>
    <d v="1899-12-30T00:07:00"/>
    <x v="1"/>
  </r>
  <r>
    <x v="2"/>
    <s v="Landed 18:29"/>
    <d v="2026-07-14T00:00:00"/>
    <d v="1899-12-30T18:29:00"/>
    <s v="Warsaw"/>
    <s v="Warsaw Chopin Airport"/>
    <s v="Embraer E195LR"/>
    <d v="2026-07-14T00:00:00"/>
    <d v="1899-12-30T18:35:00"/>
    <d v="1899-12-30T00:06:00"/>
    <x v="1"/>
  </r>
  <r>
    <x v="1"/>
    <s v="Landed 18:43"/>
    <d v="2026-07-14T00:00:00"/>
    <d v="1899-12-30T18:43:00"/>
    <s v="Tirana"/>
    <s v="Tirana International Airport"/>
    <s v="Airbus A321-271NX"/>
    <d v="2026-07-14T00:00:00"/>
    <d v="1899-12-30T18:50:00"/>
    <d v="1899-12-30T00:07:00"/>
    <x v="1"/>
  </r>
  <r>
    <x v="11"/>
    <s v="Landed 18:52"/>
    <d v="2026-07-14T00:00:00"/>
    <d v="1899-12-30T18:52:00"/>
    <s v="Frankfurt"/>
    <s v="Frankfurt Airport"/>
    <s v="Airbus A320-214"/>
    <d v="2026-07-14T00:00:00"/>
    <d v="1899-12-30T18:55:00"/>
    <d v="1899-12-30T00:03:00"/>
    <x v="1"/>
  </r>
  <r>
    <x v="9"/>
    <s v="Landed 19:14"/>
    <d v="2026-07-14T00:00:00"/>
    <d v="1899-12-30T19:14:00"/>
    <s v="Paris"/>
    <s v="Paris Beauvais-Tille Airport"/>
    <s v="Boeing 737-8AS"/>
    <d v="2026-07-14T00:00:00"/>
    <d v="1899-12-30T19:10:00"/>
    <d v="1899-12-30T00:04:00"/>
    <x v="1"/>
  </r>
  <r>
    <x v="0"/>
    <s v="Landed 19:40"/>
    <d v="2026-07-14T00:00:00"/>
    <d v="1899-12-30T19:40:00"/>
    <s v="Amsterdam"/>
    <s v="Amsterdam Schiphol Airport"/>
    <s v="Airbus A220-300"/>
    <d v="2026-07-14T00:00:00"/>
    <d v="1899-12-30T19:50:00"/>
    <d v="1899-12-30T00:10:00"/>
    <x v="1"/>
  </r>
  <r>
    <x v="1"/>
    <s v="Landed 19:55"/>
    <d v="2026-07-14T00:00:00"/>
    <d v="1899-12-30T19:55:00"/>
    <s v="Billund"/>
    <s v="Billund Airport"/>
    <s v="Airbus A321-271NX"/>
    <d v="2026-07-14T00:00:00"/>
    <d v="1899-12-30T20:10:00"/>
    <d v="1899-12-30T00:15:00"/>
    <x v="1"/>
  </r>
  <r>
    <x v="0"/>
    <s v="Landed 21:27"/>
    <d v="2026-07-14T00:00:00"/>
    <d v="1899-12-30T21:27:00"/>
    <s v="Riga"/>
    <s v="Riga International Airport"/>
    <s v="Airbus A220-300"/>
    <d v="2026-07-14T00:00:00"/>
    <d v="1899-12-30T20:50:00"/>
    <d v="1899-12-30T00:37:00"/>
    <x v="0"/>
  </r>
  <r>
    <x v="13"/>
    <s v="Landed 20:49"/>
    <d v="2026-07-14T00:00:00"/>
    <d v="1899-12-30T20:49:00"/>
    <s v="Burgas"/>
    <s v="Burgas Airport"/>
    <s v="Boeing 737-83N"/>
    <d v="2026-07-14T00:00:00"/>
    <d v="1899-12-30T20:55:00"/>
    <d v="1899-12-30T00:06:00"/>
    <x v="1"/>
  </r>
  <r>
    <x v="7"/>
    <s v="Landed 21:19"/>
    <d v="2026-07-14T00:00:00"/>
    <d v="1899-12-30T21:19:00"/>
    <s v="Helsinki"/>
    <s v="Helsinki Vantaa Airport"/>
    <s v="ATR 72-500"/>
    <d v="2026-07-14T00:00:00"/>
    <d v="1899-12-30T21:10:00"/>
    <d v="1899-12-30T00:09:00"/>
    <x v="1"/>
  </r>
  <r>
    <x v="0"/>
    <s v="Landed 21:30"/>
    <d v="2026-07-14T00:00:00"/>
    <d v="1899-12-30T21:30:00"/>
    <s v="Tallinn"/>
    <s v="Tallinn Lennart Meri Airport"/>
    <s v="Airbus A220-300"/>
    <d v="2026-07-14T00:00:00"/>
    <d v="1899-12-30T21:45:00"/>
    <d v="1899-12-30T00:15:00"/>
    <x v="1"/>
  </r>
  <r>
    <x v="12"/>
    <s v="Landed 22:05"/>
    <d v="2026-07-14T00:00:00"/>
    <d v="1899-12-30T22:05:00"/>
    <s v="Antalya"/>
    <s v="Antalya Airport"/>
    <s v="Airbus A320-232"/>
    <d v="2026-07-14T00:00:00"/>
    <d v="1899-12-30T22:05:00"/>
    <d v="1899-12-30T00:00:00"/>
    <x v="1"/>
  </r>
  <r>
    <x v="2"/>
    <s v="Landed 22:13"/>
    <d v="2026-07-14T00:00:00"/>
    <d v="1899-12-30T22:13:00"/>
    <s v="Warsaw"/>
    <s v="Warsaw Chopin Airport"/>
    <s v="Embraer E195LR"/>
    <d v="2026-07-14T00:00:00"/>
    <d v="1899-12-30T22:20:00"/>
    <d v="1899-12-30T00:07:00"/>
    <x v="1"/>
  </r>
  <r>
    <x v="14"/>
    <s v="Landed 22:39"/>
    <d v="2026-07-14T00:00:00"/>
    <d v="1899-12-30T22:39:00"/>
    <s v="Oslo"/>
    <s v="Oslo Gardermoen Airport"/>
    <s v="Boeing 737-86J"/>
    <d v="2026-07-14T00:00:00"/>
    <d v="1899-12-30T22:25:00"/>
    <d v="1899-12-30T00:14:00"/>
    <x v="1"/>
  </r>
  <r>
    <x v="0"/>
    <s v="Landed 22:44"/>
    <d v="2026-07-14T00:00:00"/>
    <d v="1899-12-30T22:44:00"/>
    <s v="Lisbon"/>
    <s v="Lisbon Humberto Delgado Airport"/>
    <s v="Airbus A220-300"/>
    <d v="2026-07-14T00:00:00"/>
    <d v="1899-12-30T22:45:00"/>
    <d v="1899-12-30T00:01:00"/>
    <x v="1"/>
  </r>
  <r>
    <x v="0"/>
    <s v="Landed 23:14"/>
    <d v="2026-07-14T00:00:00"/>
    <d v="1899-12-30T23:14:00"/>
    <s v="Paris"/>
    <s v="Paris Charles de Gaulle Airport"/>
    <s v="Airbus A220-300"/>
    <d v="2026-07-14T00:00:00"/>
    <d v="1899-12-30T23:05:00"/>
    <d v="1899-12-30T00:09:00"/>
    <x v="1"/>
  </r>
  <r>
    <x v="16"/>
    <s v="Landed 23:26"/>
    <d v="2026-07-14T00:00:00"/>
    <d v="1899-12-30T23:26:00"/>
    <s v="Tel Aviv"/>
    <s v="Tel Aviv Ben Gurion International Airport"/>
    <s v="Airbus A320-232"/>
    <d v="2026-07-14T00:00:00"/>
    <d v="1899-12-30T23:15:00"/>
    <d v="1899-12-30T00:11:00"/>
    <x v="1"/>
  </r>
  <r>
    <x v="9"/>
    <s v="Landed 23:37"/>
    <d v="2026-07-14T00:00:00"/>
    <d v="1899-12-30T23:37:00"/>
    <s v="Vienna"/>
    <s v="Vienna International Airport"/>
    <s v="Boeing 737-8AS"/>
    <d v="2026-07-14T00:00:00"/>
    <d v="1899-12-30T23:40:00"/>
    <d v="1899-12-30T00:03:00"/>
    <x v="1"/>
  </r>
  <r>
    <x v="11"/>
    <s v="Landed 23:41"/>
    <d v="2026-07-14T00:00:00"/>
    <d v="1899-12-30T23:41:00"/>
    <s v="Frankfurt"/>
    <s v="Frankfurt Airport"/>
    <s v="Airbus A321-231"/>
    <d v="2026-07-14T00:00:00"/>
    <d v="1899-12-30T23:50:00"/>
    <d v="1899-12-30T00:09:00"/>
    <x v="1"/>
  </r>
  <r>
    <x v="1"/>
    <s v="Landed 23:50"/>
    <d v="2026-07-14T00:00:00"/>
    <d v="1899-12-30T23:50:00"/>
    <s v="Turku"/>
    <s v="Turku Airport"/>
    <s v="Airbus A321-271NX"/>
    <d v="2026-07-15T00:00:00"/>
    <d v="1899-12-30T00:15:00"/>
    <d v="1899-12-30T00:25:00"/>
    <x v="1"/>
  </r>
  <r>
    <x v="0"/>
    <s v="Landed 00:56"/>
    <d v="2026-07-15T00:00:00"/>
    <d v="1899-12-30T00:56:00"/>
    <s v="Riga"/>
    <s v="Riga International Airport"/>
    <s v="Airbus A220-300"/>
    <d v="2026-07-15T00:00:00"/>
    <d v="1899-12-30T00:30:00"/>
    <d v="1899-12-30T00:26:00"/>
    <x v="0"/>
  </r>
  <r>
    <x v="1"/>
    <s v="Landed 00:15"/>
    <d v="2026-07-15T00:00:00"/>
    <d v="1899-12-30T00:15:00"/>
    <s v="Barcelona"/>
    <s v="Barcelona El Prat Airport"/>
    <s v="Airbus A321-271NX"/>
    <d v="2026-07-15T00:00:00"/>
    <d v="1899-12-30T00:30:00"/>
    <d v="1899-12-30T00:15:00"/>
    <x v="1"/>
  </r>
  <r>
    <x v="2"/>
    <s v="Landed 00:37"/>
    <d v="2026-07-15T00:00:00"/>
    <d v="1899-12-30T00:37:00"/>
    <s v="Warsaw"/>
    <s v="Warsaw Chopin Airport"/>
    <s v="Boeing 737 MAX 8"/>
    <d v="2026-07-15T00:00:00"/>
    <d v="1899-12-30T00:40:00"/>
    <d v="1899-12-30T00:03:00"/>
    <x v="1"/>
  </r>
  <r>
    <x v="1"/>
    <s v="Landed 00:33"/>
    <d v="2026-07-15T00:00:00"/>
    <d v="1899-12-30T00:33:00"/>
    <s v="Bergen"/>
    <s v="Bergen Flesland Airport"/>
    <s v="Airbus A321-271NX"/>
    <d v="2026-07-15T00:00:00"/>
    <d v="1899-12-30T00:40:00"/>
    <d v="1899-12-30T00:07:00"/>
    <x v="1"/>
  </r>
  <r>
    <x v="9"/>
    <s v="Landed 01:37"/>
    <d v="2026-07-15T00:00:00"/>
    <d v="1899-12-30T01:37:00"/>
    <s v="Barcelona"/>
    <s v="Barcelona El Prat Airport"/>
    <s v="Boeing 737-8AS"/>
    <d v="2026-07-15T00:00:00"/>
    <d v="1899-12-30T01:15:00"/>
    <d v="1899-12-30T00:22:00"/>
    <x v="0"/>
  </r>
  <r>
    <x v="0"/>
    <s v="Landed 02:01"/>
    <d v="2026-07-15T00:00:00"/>
    <d v="1899-12-30T02:01:00"/>
    <s v="Zurich"/>
    <s v="Zurich Airport"/>
    <s v="Airbus A220-300"/>
    <d v="2026-07-15T00:00:00"/>
    <d v="1899-12-30T01:25:00"/>
    <d v="1899-12-30T00:36:00"/>
    <x v="0"/>
  </r>
  <r>
    <x v="23"/>
    <s v="Landed 01:25"/>
    <d v="2026-07-15T00:00:00"/>
    <d v="1899-12-30T01:25:00"/>
    <s v="Copenhagen"/>
    <s v="Copenhagen Airport"/>
    <s v="Mitsubishi CRJ-1000EL"/>
    <d v="2026-07-15T00:00:00"/>
    <d v="1899-12-30T01:25:00"/>
    <d v="1899-12-30T00:00:00"/>
    <x v="1"/>
  </r>
  <r>
    <x v="5"/>
    <s v="Landed 07:43"/>
    <d v="2026-07-15T00:00:00"/>
    <d v="1899-12-30T07:43:00"/>
    <s v="Leipzig"/>
    <s v="Leipzig Halle Airport"/>
    <s v="Boeing 737-86N(SF)"/>
    <d v="2026-07-15T00:00:00"/>
    <d v="1899-12-30T07:43:00"/>
    <d v="1899-12-30T00:00:00"/>
    <x v="1"/>
  </r>
  <r>
    <x v="0"/>
    <s v="Landed 08:37"/>
    <d v="2026-07-15T00:00:00"/>
    <d v="1899-12-30T08:37:00"/>
    <s v="Riga"/>
    <s v="Riga International Airport"/>
    <s v="Airbus A220-300"/>
    <d v="2026-07-15T00:00:00"/>
    <d v="1899-12-30T08:40:00"/>
    <d v="1899-12-30T00:03:00"/>
    <x v="1"/>
  </r>
  <r>
    <x v="1"/>
    <s v="Landed 08:32"/>
    <d v="2026-07-15T00:00:00"/>
    <d v="1899-12-30T08:32:00"/>
    <s v="Krakow"/>
    <s v="Krakow John Paul II International Airport"/>
    <s v="Airbus A321-271NX"/>
    <d v="2026-07-15T00:00:00"/>
    <d v="1899-12-30T08:50:00"/>
    <d v="1899-12-30T00:18:00"/>
    <x v="0"/>
  </r>
  <r>
    <x v="7"/>
    <s v="Landed 09:06"/>
    <d v="2026-07-15T00:00:00"/>
    <d v="1899-12-30T09:06:00"/>
    <s v="Helsinki"/>
    <s v="Helsinki Vantaa Airport"/>
    <s v="ATR 72-500"/>
    <d v="2026-07-15T00:00:00"/>
    <d v="1899-12-30T09:15:00"/>
    <d v="1899-12-30T00:09:00"/>
    <x v="1"/>
  </r>
  <r>
    <x v="1"/>
    <s v="Landed 08:52"/>
    <d v="2026-07-15T00:00:00"/>
    <d v="1899-12-30T08:52:00"/>
    <s v="Tallinn"/>
    <s v="Tallinn Lennart Meri Airport"/>
    <s v="Airbus A321-271NX"/>
    <d v="2026-07-15T00:00:00"/>
    <d v="1899-12-30T09:20:00"/>
    <d v="1899-12-30T00:28:00"/>
    <x v="0"/>
  </r>
  <r>
    <x v="0"/>
    <s v="Landed 09:53"/>
    <d v="2026-07-15T00:00:00"/>
    <d v="1899-12-30T09:53:00"/>
    <s v="Tallinn"/>
    <s v="Tallinn Lennart Meri Airport"/>
    <s v="Airbus A220-300"/>
    <d v="2026-07-15T00:00:00"/>
    <d v="1899-12-30T10:00:00"/>
    <d v="1899-12-30T00:07:00"/>
    <x v="1"/>
  </r>
  <r>
    <x v="2"/>
    <s v="Landed 09:58"/>
    <d v="2026-07-15T00:00:00"/>
    <d v="1899-12-30T09:58:00"/>
    <s v="Warsaw"/>
    <s v="Warsaw Chopin Airport"/>
    <s v="Embraer E175STD"/>
    <d v="2026-07-15T00:00:00"/>
    <d v="1899-12-30T10:05:00"/>
    <d v="1899-12-30T00:07:00"/>
    <x v="1"/>
  </r>
  <r>
    <x v="10"/>
    <s v="Landed 10:39"/>
    <d v="2026-07-15T00:00:00"/>
    <d v="1899-12-30T10:39:00"/>
    <s v="Istanbul"/>
    <s v="Istanbul Airport"/>
    <s v="Boeing 737 MAX 8"/>
    <d v="2026-07-15T00:00:00"/>
    <d v="1899-12-30T10:45:00"/>
    <d v="1899-12-30T00:06:00"/>
    <x v="1"/>
  </r>
  <r>
    <x v="17"/>
    <s v="Landed 11:06"/>
    <d v="2026-07-15T00:00:00"/>
    <d v="1899-12-30T11:06:00"/>
    <s v="Tivat"/>
    <s v="Tivat Airport"/>
    <s v="Airbus A320-232"/>
    <d v="2026-07-15T00:00:00"/>
    <d v="1899-12-30T11:00:00"/>
    <d v="1899-12-30T00:06:00"/>
    <x v="1"/>
  </r>
  <r>
    <x v="9"/>
    <s v="Landed 11:08"/>
    <d v="2026-07-15T00:00:00"/>
    <d v="1899-12-30T11:08:00"/>
    <s v="London"/>
    <s v="London Stansted Airport"/>
    <s v="Boeing 737-8AS"/>
    <d v="2026-07-15T00:00:00"/>
    <d v="1899-12-30T11:10:00"/>
    <d v="1899-12-30T00:02:00"/>
    <x v="1"/>
  </r>
  <r>
    <x v="0"/>
    <s v="Landed 11:16"/>
    <d v="2026-07-15T00:00:00"/>
    <d v="1899-12-30T11:16:00"/>
    <s v="Riga"/>
    <s v="Riga International Airport"/>
    <s v="Airbus A220-300"/>
    <d v="2026-07-15T00:00:00"/>
    <d v="1899-12-30T11:35:00"/>
    <d v="1899-12-30T00:19:00"/>
    <x v="0"/>
  </r>
  <r>
    <x v="9"/>
    <s v="Landed 12:17"/>
    <d v="2026-07-15T00:00:00"/>
    <d v="1899-12-30T12:17:00"/>
    <s v="Nuremberg"/>
    <s v="Nuremberg Airport"/>
    <s v="Boeing 737-8AS"/>
    <d v="2026-07-15T00:00:00"/>
    <d v="1899-12-30T11:35:00"/>
    <d v="1899-12-30T00:42:00"/>
    <x v="0"/>
  </r>
  <r>
    <x v="9"/>
    <s v="Landed 11:44"/>
    <d v="2026-07-15T00:00:00"/>
    <d v="1899-12-30T11:44:00"/>
    <s v="London"/>
    <s v="London Luton Airport"/>
    <s v="Boeing 737 MAX 8-200"/>
    <d v="2026-07-15T00:00:00"/>
    <d v="1899-12-30T11:55:00"/>
    <d v="1899-12-30T00:11:00"/>
    <x v="1"/>
  </r>
  <r>
    <x v="9"/>
    <s v="Landed 11:47"/>
    <d v="2026-07-15T00:00:00"/>
    <d v="1899-12-30T11:47:00"/>
    <s v="Barcelona"/>
    <s v="Barcelona El Prat Airport"/>
    <s v="Boeing 737-8AS"/>
    <d v="2026-07-15T00:00:00"/>
    <d v="1899-12-30T12:00:00"/>
    <d v="1899-12-30T00:13:00"/>
    <x v="1"/>
  </r>
  <r>
    <x v="37"/>
    <s v="Landed 12:14"/>
    <d v="2026-07-15T00:00:00"/>
    <d v="1899-12-30T12:14:00"/>
    <s v="Podgorica"/>
    <s v="Podgorica Airport"/>
    <s v="Airbus A319-112"/>
    <d v="2026-07-15T00:00:00"/>
    <d v="1899-12-30T12:09:00"/>
    <d v="1899-12-30T00:05:00"/>
    <x v="1"/>
  </r>
  <r>
    <x v="11"/>
    <s v="Landed 12:39"/>
    <d v="2026-07-15T00:00:00"/>
    <d v="1899-12-30T12:39:00"/>
    <s v="Frankfurt"/>
    <s v="Frankfurt Airport"/>
    <s v="Airbus A321-131"/>
    <d v="2026-07-15T00:00:00"/>
    <d v="1899-12-30T12:40:00"/>
    <d v="1899-12-30T00:01:00"/>
    <x v="1"/>
  </r>
  <r>
    <x v="1"/>
    <s v="Landed 12:44"/>
    <d v="2026-07-15T00:00:00"/>
    <d v="1899-12-30T12:44:00"/>
    <s v="London"/>
    <s v="London Luton Airport"/>
    <s v="Airbus A321-271NX"/>
    <d v="2026-07-15T00:00:00"/>
    <d v="1899-12-30T12:50:00"/>
    <d v="1899-12-30T00:06:00"/>
    <x v="1"/>
  </r>
  <r>
    <x v="7"/>
    <s v="Landed 12:48"/>
    <d v="2026-07-15T00:00:00"/>
    <d v="1899-12-30T12:48:00"/>
    <s v="Helsinki"/>
    <s v="Helsinki Vantaa Airport"/>
    <s v="ATR 72-500"/>
    <d v="2026-07-15T00:00:00"/>
    <d v="1899-12-30T13:00:00"/>
    <d v="1899-12-30T00:12:00"/>
    <x v="1"/>
  </r>
  <r>
    <x v="9"/>
    <s v="Landed 12:49"/>
    <d v="2026-07-15T00:00:00"/>
    <d v="1899-12-30T12:49:00"/>
    <s v="Eindhoven"/>
    <s v="Eindhoven Airport"/>
    <s v="Boeing 737-8AS"/>
    <d v="2026-07-15T00:00:00"/>
    <d v="1899-12-30T13:10:00"/>
    <d v="1899-12-30T00:21:00"/>
    <x v="0"/>
  </r>
  <r>
    <x v="12"/>
    <s v="Landed 13:05"/>
    <d v="2026-07-15T00:00:00"/>
    <d v="1899-12-30T13:05:00"/>
    <s v="Antalya"/>
    <s v="Antalya Airport"/>
    <s v="Airbus A320-232"/>
    <d v="2026-07-15T00:00:00"/>
    <d v="1899-12-30T13:10:00"/>
    <d v="1899-12-30T00:05:00"/>
    <x v="1"/>
  </r>
  <r>
    <x v="0"/>
    <s v="Landed 13:52"/>
    <d v="2026-07-15T00:00:00"/>
    <d v="1899-12-30T13:52:00"/>
    <s v="Amsterdam"/>
    <s v="Amsterdam Schiphol Airport"/>
    <s v="Airbus A220-300"/>
    <d v="2026-07-15T00:00:00"/>
    <d v="1899-12-30T13:25:00"/>
    <d v="1899-12-30T00:27:00"/>
    <x v="0"/>
  </r>
  <r>
    <x v="13"/>
    <s v="Landed 13:10"/>
    <d v="2026-07-15T00:00:00"/>
    <d v="1899-12-30T13:10:00"/>
    <s v="Antalya"/>
    <s v="Antalya Airport"/>
    <s v="Boeing 737-85P"/>
    <d v="2026-07-15T00:00:00"/>
    <d v="1899-12-30T13:27:00"/>
    <d v="1899-12-30T00:17:00"/>
    <x v="0"/>
  </r>
  <r>
    <x v="13"/>
    <s v="Landed 13:20"/>
    <d v="2026-07-15T00:00:00"/>
    <d v="1899-12-30T13:20:00"/>
    <s v="Heraklion"/>
    <s v="Heraklion International Airport"/>
    <s v="Boeing 737-83N"/>
    <d v="2026-07-15T00:00:00"/>
    <d v="1899-12-30T13:38:00"/>
    <d v="1899-12-30T00:18:00"/>
    <x v="0"/>
  </r>
  <r>
    <x v="9"/>
    <s v="Landed 13:46"/>
    <d v="2026-07-15T00:00:00"/>
    <d v="1899-12-30T13:46:00"/>
    <s v="Rome"/>
    <s v="Rome Ciampino Airport"/>
    <s v="Boeing 737-8AS"/>
    <d v="2026-07-15T00:00:00"/>
    <d v="1899-12-30T13:50:00"/>
    <d v="1899-12-30T00:04:00"/>
    <x v="1"/>
  </r>
  <r>
    <x v="2"/>
    <s v="Landed 13:39"/>
    <d v="2026-07-15T00:00:00"/>
    <d v="1899-12-30T13:39:00"/>
    <s v="Warsaw"/>
    <s v="Warsaw Chopin Airport"/>
    <s v="Embraer E195LR"/>
    <d v="2026-07-15T00:00:00"/>
    <d v="1899-12-30T13:50:00"/>
    <d v="1899-12-30T00:11:00"/>
    <x v="1"/>
  </r>
  <r>
    <x v="9"/>
    <s v="Landed 14:48"/>
    <d v="2026-07-15T00:00:00"/>
    <d v="1899-12-30T14:48:00"/>
    <s v="Berlin"/>
    <s v="Berlin Brandenburg Airport"/>
    <s v="Boeing 737-8AS"/>
    <d v="2026-07-15T00:00:00"/>
    <d v="1899-12-30T14:05:00"/>
    <d v="1899-12-30T00:43:00"/>
    <x v="0"/>
  </r>
  <r>
    <x v="1"/>
    <s v="Landed 13:49"/>
    <d v="2026-07-15T00:00:00"/>
    <d v="1899-12-30T13:49:00"/>
    <s v="Budapest"/>
    <s v="Budapest Ferenc Liszt International Airport"/>
    <s v="Airbus A321-271NX"/>
    <d v="2026-07-15T00:00:00"/>
    <d v="1899-12-30T14:10:00"/>
    <d v="1899-12-30T00:21:00"/>
    <x v="0"/>
  </r>
  <r>
    <x v="0"/>
    <s v="Landed 14:59"/>
    <d v="2026-07-15T00:00:00"/>
    <d v="1899-12-30T14:59:00"/>
    <s v="Riga"/>
    <s v="Riga International Airport"/>
    <s v="Airbus A220-300"/>
    <d v="2026-07-15T00:00:00"/>
    <d v="1899-12-30T14:35:00"/>
    <d v="1899-12-30T00:24:00"/>
    <x v="0"/>
  </r>
  <r>
    <x v="0"/>
    <s v="Landed 15:16"/>
    <d v="2026-07-15T00:00:00"/>
    <d v="1899-12-30T15:16:00"/>
    <s v="Vienna"/>
    <s v="Vienna International Airport"/>
    <s v="Airbus A220-300"/>
    <d v="2026-07-15T00:00:00"/>
    <d v="1899-12-30T15:10:00"/>
    <d v="1899-12-30T00:06:00"/>
    <x v="1"/>
  </r>
  <r>
    <x v="3"/>
    <s v="Landed 15:23"/>
    <d v="2026-07-15T00:00:00"/>
    <d v="1899-12-30T15:23:00"/>
    <s v="Copenhagen"/>
    <s v="Copenhagen Airport"/>
    <s v="Mitsubishi CRJ-900LR"/>
    <d v="2026-07-15T00:00:00"/>
    <d v="1899-12-30T15:15:00"/>
    <d v="1899-12-30T00:08:00"/>
    <x v="1"/>
  </r>
  <r>
    <x v="1"/>
    <s v="Landed 15:34"/>
    <d v="2026-07-15T00:00:00"/>
    <d v="1899-12-30T15:34:00"/>
    <s v="Malaga"/>
    <s v="Malaga Costa Del Sol Airport"/>
    <s v="Airbus A321-271NX"/>
    <d v="2026-07-15T00:00:00"/>
    <d v="1899-12-30T15:35:00"/>
    <d v="1899-12-30T00:01:00"/>
    <x v="1"/>
  </r>
  <r>
    <x v="2"/>
    <s v="Landed 16:15"/>
    <d v="2026-07-15T00:00:00"/>
    <d v="1899-12-30T16:15:00"/>
    <s v="Warsaw"/>
    <s v="Warsaw Chopin Airport"/>
    <s v="Embraer E170STD"/>
    <d v="2026-07-15T00:00:00"/>
    <d v="1899-12-30T16:20:00"/>
    <d v="1899-12-30T00:05:00"/>
    <x v="1"/>
  </r>
  <r>
    <x v="7"/>
    <s v="Landed 17:04"/>
    <d v="2026-07-15T00:00:00"/>
    <d v="1899-12-30T17:04:00"/>
    <s v="Helsinki"/>
    <s v="Helsinki Vantaa Airport"/>
    <s v="Airbus A319-112"/>
    <d v="2026-07-15T00:00:00"/>
    <d v="1899-12-30T17:10:00"/>
    <d v="1899-12-30T00:06:00"/>
    <x v="1"/>
  </r>
  <r>
    <x v="9"/>
    <s v="Landed 17:31"/>
    <d v="2026-07-15T00:00:00"/>
    <d v="1899-12-30T17:31:00"/>
    <s v="Oslo"/>
    <s v="Oslo Gardermoen Airport"/>
    <s v="Boeing 737-8AS"/>
    <d v="2026-07-15T00:00:00"/>
    <d v="1899-12-30T17:45:00"/>
    <d v="1899-12-30T00:14:00"/>
    <x v="1"/>
  </r>
  <r>
    <x v="2"/>
    <s v="Landed 18:41"/>
    <d v="2026-07-15T00:00:00"/>
    <d v="1899-12-30T18:41:00"/>
    <s v="Warsaw"/>
    <s v="Warsaw Chopin Airport"/>
    <s v="Embraer E195LR"/>
    <d v="2026-07-15T00:00:00"/>
    <d v="1899-12-30T18:35:00"/>
    <d v="1899-12-30T00:06:00"/>
    <x v="1"/>
  </r>
  <r>
    <x v="1"/>
    <s v="Landed 18:25"/>
    <d v="2026-07-15T00:00:00"/>
    <d v="1899-12-30T18:25:00"/>
    <s v="Dortmund"/>
    <s v="Dortmund Airport"/>
    <s v="Airbus A321-271NX"/>
    <d v="2026-07-15T00:00:00"/>
    <d v="1899-12-30T18:35:00"/>
    <d v="1899-12-30T00:10:00"/>
    <x v="1"/>
  </r>
  <r>
    <x v="11"/>
    <s v="Landed 19:02"/>
    <d v="2026-07-15T00:00:00"/>
    <d v="1899-12-30T19:02:00"/>
    <s v="Frankfurt"/>
    <s v="Frankfurt Airport"/>
    <s v="Airbus A320-271N"/>
    <d v="2026-07-15T00:00:00"/>
    <d v="1899-12-30T18:50:00"/>
    <d v="1899-12-30T00:12:00"/>
    <x v="1"/>
  </r>
  <r>
    <x v="0"/>
    <s v="Landed 19:18"/>
    <d v="2026-07-15T00:00:00"/>
    <d v="1899-12-30T19:18:00"/>
    <s v="Palma de Mallorca"/>
    <s v="Palma de Mallorca Airport"/>
    <s v="Airbus A220-300"/>
    <d v="2026-07-15T00:00:00"/>
    <d v="1899-12-30T19:15:00"/>
    <d v="1899-12-30T00:03:00"/>
    <x v="1"/>
  </r>
  <r>
    <x v="10"/>
    <s v="Landed 19:25"/>
    <d v="2026-07-15T00:00:00"/>
    <d v="1899-12-30T19:25:00"/>
    <s v="Istanbul"/>
    <s v="Istanbul Airport"/>
    <s v="Boeing 737-8F2"/>
    <d v="2026-07-15T00:00:00"/>
    <d v="1899-12-30T19:30:00"/>
    <d v="1899-12-30T00:05:00"/>
    <x v="1"/>
  </r>
  <r>
    <x v="0"/>
    <s v="Landed 19:36"/>
    <d v="2026-07-15T00:00:00"/>
    <d v="1899-12-30T19:36:00"/>
    <s v="Amsterdam"/>
    <s v="Amsterdam Schiphol Airport"/>
    <s v="Airbus A220-300"/>
    <d v="2026-07-15T00:00:00"/>
    <d v="1899-12-30T19:50:00"/>
    <d v="1899-12-30T00:14:00"/>
    <x v="1"/>
  </r>
  <r>
    <x v="12"/>
    <s v="Landed 20:05"/>
    <d v="2026-07-15T00:00:00"/>
    <d v="1899-12-30T20:05:00"/>
    <s v="Tivat"/>
    <s v="Tivat Airport"/>
    <s v="Airbus A320-232"/>
    <d v="2026-07-15T00:00:00"/>
    <d v="1899-12-30T19:56:00"/>
    <d v="1899-12-30T00:09:00"/>
    <x v="1"/>
  </r>
  <r>
    <x v="17"/>
    <s v="Landed 20:17"/>
    <d v="2026-07-15T00:00:00"/>
    <d v="1899-12-30T20:17:00"/>
    <s v="Burgas"/>
    <s v="Burgas Airport"/>
    <s v="Airbus A320-232"/>
    <d v="2026-07-15T00:00:00"/>
    <d v="1899-12-30T20:35:00"/>
    <d v="1899-12-30T00:18:00"/>
    <x v="0"/>
  </r>
  <r>
    <x v="7"/>
    <s v="Landed 21:14"/>
    <d v="2026-07-15T00:00:00"/>
    <d v="1899-12-30T21:14:00"/>
    <s v="Helsinki"/>
    <s v="Helsinki Vantaa Airport"/>
    <s v="ATR 72-500"/>
    <d v="2026-07-15T00:00:00"/>
    <d v="1899-12-30T21:10:00"/>
    <d v="1899-12-30T00:04:00"/>
    <x v="1"/>
  </r>
  <r>
    <x v="9"/>
    <s v="Landed 21:03"/>
    <d v="2026-07-15T00:00:00"/>
    <d v="1899-12-30T21:03:00"/>
    <s v="Athens"/>
    <s v="Athens Eleftherios Venizelos"/>
    <s v="Boeing 737-8AS"/>
    <d v="2026-07-15T00:00:00"/>
    <d v="1899-12-30T21:15:00"/>
    <d v="1899-12-30T00:12:00"/>
    <x v="1"/>
  </r>
  <r>
    <x v="15"/>
    <s v="Landed 21:01"/>
    <d v="2026-07-15T00:00:00"/>
    <d v="1899-12-30T21:01:00"/>
    <s v="Bremen"/>
    <s v="Bremen Airport"/>
    <s v="Embraer Phenom 100"/>
    <d v="2026-07-15T00:00:00"/>
    <d v="1899-12-30T21:23:00"/>
    <d v="1899-12-30T00:22:00"/>
    <x v="0"/>
  </r>
  <r>
    <x v="1"/>
    <s v="Delayed 02:06"/>
    <d v="2026-07-15T00:00:00"/>
    <e v="#N/A"/>
    <s v="Nice"/>
    <s v="Nice Cote d'Azur Airport"/>
    <s v="Airbus A321-271NX"/>
    <d v="2026-07-15T00:00:00"/>
    <d v="1899-12-30T21:30:00"/>
    <e v="#N/A"/>
    <x v="2"/>
  </r>
  <r>
    <x v="0"/>
    <s v="Landed 22:00"/>
    <d v="2026-07-15T00:00:00"/>
    <d v="1899-12-30T22:00:00"/>
    <s v="Tallinn"/>
    <s v="Tallinn Lennart Meri Airport"/>
    <s v="Airbus A220-300"/>
    <d v="2026-07-15T00:00:00"/>
    <d v="1899-12-30T21:45:00"/>
    <d v="1899-12-30T00:15:00"/>
    <x v="1"/>
  </r>
  <r>
    <x v="9"/>
    <s v="Landed 22:50"/>
    <d v="2026-07-15T00:00:00"/>
    <d v="1899-12-30T22:50:00"/>
    <s v="Frankfurt"/>
    <s v="Frankfurt Hahn Airport"/>
    <s v="Boeing 737-8AS"/>
    <d v="2026-07-15T00:00:00"/>
    <d v="1899-12-30T22:10:00"/>
    <d v="1899-12-30T00:40:00"/>
    <x v="0"/>
  </r>
  <r>
    <x v="0"/>
    <s v="Delayed 00:41"/>
    <d v="2026-07-15T00:00:00"/>
    <e v="#N/A"/>
    <s v="Riga"/>
    <s v="Riga International Airport"/>
    <s v="Airbus A220-300"/>
    <d v="2026-07-15T00:00:00"/>
    <d v="1899-12-30T22:20:00"/>
    <e v="#N/A"/>
    <x v="2"/>
  </r>
  <r>
    <x v="26"/>
    <s v="Landed 23:00"/>
    <d v="2026-07-15T00:00:00"/>
    <d v="1899-12-30T23:00:00"/>
    <s v="Helsinki"/>
    <s v="Helsinki Vantaa Airport"/>
    <s v="Airbus A330-243F"/>
    <d v="2026-07-15T00:00:00"/>
    <d v="1899-12-30T22:45:00"/>
    <d v="1899-12-30T00:15:00"/>
    <x v="1"/>
  </r>
  <r>
    <x v="20"/>
    <s v="Landed 23:21"/>
    <d v="2026-07-15T00:00:00"/>
    <d v="1899-12-30T23:21:00"/>
    <s v="Antalya"/>
    <s v="Antalya Airport"/>
    <s v="Boeing 777-31H(ER)"/>
    <d v="2026-07-15T00:00:00"/>
    <d v="1899-12-30T23:15:00"/>
    <d v="1899-12-30T00:06:00"/>
    <x v="1"/>
  </r>
  <r>
    <x v="11"/>
    <s v="Landed 23:33"/>
    <d v="2026-07-15T00:00:00"/>
    <d v="1899-12-30T23:33:00"/>
    <s v="Frankfurt"/>
    <s v="Frankfurt Airport"/>
    <s v="Airbus A320-214"/>
    <d v="2026-07-15T00:00:00"/>
    <d v="1899-12-30T23:35:00"/>
    <d v="1899-12-30T00:02:00"/>
    <x v="1"/>
  </r>
  <r>
    <x v="0"/>
    <s v="Landed 23:59"/>
    <d v="2026-07-15T00:00:00"/>
    <d v="1899-12-30T23:59:00"/>
    <s v="Paris"/>
    <s v="Paris Charles de Gaulle Airport"/>
    <s v="Airbus A220-300"/>
    <d v="2026-07-15T00:00:00"/>
    <d v="1899-12-30T23:59:00"/>
    <d v="1899-12-30T00:00:00"/>
    <x v="1"/>
  </r>
  <r>
    <x v="9"/>
    <s v="Landed 23:56"/>
    <d v="2026-07-15T00:00:00"/>
    <d v="1899-12-30T23:56:00"/>
    <s v="Milan"/>
    <s v="Milan Bergamo Orio al Serio International Airport"/>
    <s v="Boeing 737-8AS"/>
    <d v="2026-07-15T00:00:00"/>
    <d v="1899-12-30T23:59:00"/>
    <d v="1899-12-30T00:03:00"/>
    <x v="1"/>
  </r>
  <r>
    <x v="0"/>
    <s v="Landed 01:13"/>
    <d v="2026-07-16T00:00:00"/>
    <d v="1899-12-30T01:13:00"/>
    <s v="Riga"/>
    <s v="Riga International Airport"/>
    <s v="Airbus A220-300"/>
    <d v="2026-07-16T00:00:00"/>
    <d v="1899-12-30T00:30:00"/>
    <d v="1899-12-30T00:43:00"/>
    <x v="0"/>
  </r>
  <r>
    <x v="1"/>
    <s v="Landed 01:25"/>
    <d v="2026-07-16T00:00:00"/>
    <d v="1899-12-30T01:25:00"/>
    <s v="Barcelona"/>
    <s v="Barcelona El Prat Airport"/>
    <s v="Airbus A321-271NX"/>
    <d v="2026-07-16T00:00:00"/>
    <d v="1899-12-30T00:30:00"/>
    <d v="1899-12-30T00:55:00"/>
    <x v="0"/>
  </r>
  <r>
    <x v="2"/>
    <s v="Landed 01:54"/>
    <d v="2026-07-16T00:00:00"/>
    <d v="1899-12-30T01:54:00"/>
    <s v="Warsaw"/>
    <s v="Warsaw Chopin Airport"/>
    <s v="Boeing 737-89P"/>
    <d v="2026-07-16T00:00:00"/>
    <d v="1899-12-30T00:40:00"/>
    <d v="1899-12-30T01:14:00"/>
    <x v="0"/>
  </r>
  <r>
    <x v="0"/>
    <s v="Landed 00:39"/>
    <d v="2026-07-16T00:00:00"/>
    <d v="1899-12-30T00:39:00"/>
    <s v="Munich"/>
    <s v="Munich Airport"/>
    <s v="Airbus A220-300"/>
    <d v="2026-07-16T00:00:00"/>
    <d v="1899-12-30T00:40:00"/>
    <d v="1899-12-30T00:01:00"/>
    <x v="1"/>
  </r>
  <r>
    <x v="0"/>
    <s v="Landed 00:36"/>
    <d v="2026-07-16T00:00:00"/>
    <d v="1899-12-30T00:36:00"/>
    <s v="Prague"/>
    <s v="Prague Vaclav Havel Airport"/>
    <s v="Airbus A220-300"/>
    <d v="2026-07-16T00:00:00"/>
    <d v="1899-12-30T00:50:00"/>
    <d v="1899-12-30T00:14:00"/>
    <x v="1"/>
  </r>
  <r>
    <x v="1"/>
    <s v="Landed 02:47"/>
    <d v="2026-07-16T00:00:00"/>
    <d v="1899-12-30T02:47:00"/>
    <s v="Milan"/>
    <s v="Milan Malpensa Airport"/>
    <s v="Airbus A321-271NX"/>
    <d v="2026-07-16T00:00:00"/>
    <d v="1899-12-30T01:20:00"/>
    <d v="1899-12-30T01:27:00"/>
    <x v="0"/>
  </r>
  <r>
    <x v="0"/>
    <s v="Canceled"/>
    <d v="2026-07-16T00:00:00"/>
    <e v="#N/A"/>
    <s v="Zurich"/>
    <s v="Zurich Airport"/>
    <s v="Airbus A220-300"/>
    <d v="2026-07-16T00:00:00"/>
    <d v="1899-12-30T01:25:00"/>
    <e v="#N/A"/>
    <x v="2"/>
  </r>
  <r>
    <x v="3"/>
    <s v="Landed 01:28"/>
    <d v="2026-07-16T00:00:00"/>
    <d v="1899-12-30T01:28:00"/>
    <s v="Copenhagen"/>
    <s v="Copenhagen Airport"/>
    <s v="Mitsubishi CRJ-900LR"/>
    <d v="2026-07-16T00:00:00"/>
    <d v="1899-12-30T01:25:00"/>
    <d v="1899-12-30T00:03:00"/>
    <x v="1"/>
  </r>
  <r>
    <x v="5"/>
    <s v="Landed 07:35"/>
    <d v="2026-07-16T00:00:00"/>
    <d v="1899-12-30T07:35:00"/>
    <s v="Leipzig"/>
    <s v="Leipzig Halle Airport"/>
    <s v="Boeing 737-86N(SF)"/>
    <d v="2026-07-16T00:00:00"/>
    <d v="1899-12-30T07:47:00"/>
    <d v="1899-12-30T00:12:00"/>
    <x v="1"/>
  </r>
  <r>
    <x v="0"/>
    <s v="Landed 08:26"/>
    <d v="2026-07-16T00:00:00"/>
    <d v="1899-12-30T08:26:00"/>
    <s v="Riga"/>
    <s v="Riga International Airport"/>
    <s v="Airbus A220-300"/>
    <d v="2026-07-16T00:00:00"/>
    <d v="1899-12-30T08:40:00"/>
    <d v="1899-12-30T00:14:00"/>
    <x v="1"/>
  </r>
  <r>
    <x v="6"/>
    <s v="Landed 08:56"/>
    <d v="2026-07-16T00:00:00"/>
    <d v="1899-12-30T08:56:00"/>
    <s v="Vienna"/>
    <s v="Vienna International Airport"/>
    <s v="Airbus A320-214"/>
    <d v="2026-07-16T00:00:00"/>
    <d v="1899-12-30T09:05:00"/>
    <d v="1899-12-30T00:09:00"/>
    <x v="1"/>
  </r>
  <r>
    <x v="7"/>
    <s v="Landed 09:05"/>
    <d v="2026-07-16T00:00:00"/>
    <d v="1899-12-30T09:05:00"/>
    <s v="Helsinki"/>
    <s v="Helsinki Vantaa Airport"/>
    <s v="ATR 72-500"/>
    <d v="2026-07-16T00:00:00"/>
    <d v="1899-12-30T09:20:00"/>
    <d v="1899-12-30T00:15:00"/>
    <x v="1"/>
  </r>
  <r>
    <x v="1"/>
    <s v="Landed 08:43"/>
    <d v="2026-07-16T00:00:00"/>
    <d v="1899-12-30T08:43:00"/>
    <s v="Tallinn"/>
    <s v="Tallinn Lennart Meri Airport"/>
    <s v="Airbus A321-271NX"/>
    <d v="2026-07-16T00:00:00"/>
    <d v="1899-12-30T09:20:00"/>
    <d v="1899-12-30T00:37:00"/>
    <x v="0"/>
  </r>
  <r>
    <x v="9"/>
    <s v="Landed 09:22"/>
    <d v="2026-07-16T00:00:00"/>
    <d v="1899-12-30T09:22:00"/>
    <s v="Corfu"/>
    <s v="Corfu International Airport"/>
    <s v="Boeing 737 MAX 8-200"/>
    <d v="2026-07-16T00:00:00"/>
    <d v="1899-12-30T09:55:00"/>
    <d v="1899-12-30T00:33:00"/>
    <x v="0"/>
  </r>
  <r>
    <x v="2"/>
    <s v="Landed 10:24"/>
    <d v="2026-07-16T00:00:00"/>
    <d v="1899-12-30T10:24:00"/>
    <s v="Warsaw"/>
    <s v="Warsaw Chopin Airport"/>
    <s v="Embraer E190LR"/>
    <d v="2026-07-16T00:00:00"/>
    <d v="1899-12-30T10:05:00"/>
    <d v="1899-12-30T00:19:00"/>
    <x v="0"/>
  </r>
  <r>
    <x v="19"/>
    <s v="Landed 10:42"/>
    <d v="2026-07-16T00:00:00"/>
    <d v="1899-12-30T10:42:00"/>
    <s v="Tel Aviv"/>
    <s v="Tel Aviv Ben Gurion International Airport"/>
    <s v="Airbus A320-232"/>
    <d v="2026-07-16T00:00:00"/>
    <d v="1899-12-30T10:20:00"/>
    <d v="1899-12-30T00:22:00"/>
    <x v="0"/>
  </r>
  <r>
    <x v="0"/>
    <s v="Landed 10:22"/>
    <d v="2026-07-16T00:00:00"/>
    <d v="1899-12-30T10:22:00"/>
    <s v="Tallinn"/>
    <s v="Tallinn Lennart Meri Airport"/>
    <s v="Airbus A220-300"/>
    <d v="2026-07-16T00:00:00"/>
    <d v="1899-12-30T10:45:00"/>
    <d v="1899-12-30T00:23:00"/>
    <x v="0"/>
  </r>
  <r>
    <x v="10"/>
    <s v="Landed 10:27"/>
    <d v="2026-07-16T00:00:00"/>
    <d v="1899-12-30T10:27:00"/>
    <s v="Istanbul"/>
    <s v="Istanbul Airport"/>
    <s v="Boeing 737-8F2"/>
    <d v="2026-07-16T00:00:00"/>
    <d v="1899-12-30T10:45:00"/>
    <d v="1899-12-30T00:18:00"/>
    <x v="0"/>
  </r>
  <r>
    <x v="9"/>
    <s v="Landed 12:07"/>
    <d v="2026-07-16T00:00:00"/>
    <d v="1899-12-30T12:07:00"/>
    <s v="London"/>
    <s v="London Stansted Airport"/>
    <s v="Boeing 737-8AS"/>
    <d v="2026-07-16T00:00:00"/>
    <d v="1899-12-30T12:00:00"/>
    <d v="1899-12-30T00:07:00"/>
    <x v="1"/>
  </r>
  <r>
    <x v="9"/>
    <s v="Landed 12:11"/>
    <d v="2026-07-16T00:00:00"/>
    <d v="1899-12-30T12:11:00"/>
    <s v="Athens"/>
    <s v="Athens Eleftherios Venizelos"/>
    <s v="Boeing 737-8AS"/>
    <d v="2026-07-16T00:00:00"/>
    <d v="1899-12-30T12:35:00"/>
    <d v="1899-12-30T00:24:00"/>
    <x v="0"/>
  </r>
  <r>
    <x v="11"/>
    <s v="Landed 12:35"/>
    <d v="2026-07-16T00:00:00"/>
    <d v="1899-12-30T12:35:00"/>
    <s v="Frankfurt"/>
    <s v="Frankfurt Airport"/>
    <s v="Airbus A320-271N"/>
    <d v="2026-07-16T00:00:00"/>
    <d v="1899-12-30T12:40:00"/>
    <d v="1899-12-30T00:05:00"/>
    <x v="1"/>
  </r>
  <r>
    <x v="1"/>
    <s v="Landed 12:38"/>
    <d v="2026-07-16T00:00:00"/>
    <d v="1899-12-30T12:38:00"/>
    <s v="London"/>
    <s v="London Luton Airport"/>
    <s v="Airbus A321-271NX"/>
    <d v="2026-07-16T00:00:00"/>
    <d v="1899-12-30T12:50:00"/>
    <d v="1899-12-30T00:12:00"/>
    <x v="1"/>
  </r>
  <r>
    <x v="7"/>
    <s v="Landed 12:49"/>
    <d v="2026-07-16T00:00:00"/>
    <d v="1899-12-30T12:49:00"/>
    <s v="Helsinki"/>
    <s v="Helsinki Vantaa Airport"/>
    <s v="ATR 72-500"/>
    <d v="2026-07-16T00:00:00"/>
    <d v="1899-12-30T13:00:00"/>
    <d v="1899-12-30T00:11:00"/>
    <x v="1"/>
  </r>
  <r>
    <x v="12"/>
    <s v="Landed 13:05"/>
    <d v="2026-07-16T00:00:00"/>
    <d v="1899-12-30T13:05:00"/>
    <s v="Antalya"/>
    <s v="Antalya Airport"/>
    <s v="Airbus A320-214"/>
    <d v="2026-07-16T00:00:00"/>
    <d v="1899-12-30T13:09:00"/>
    <d v="1899-12-30T00:04:00"/>
    <x v="1"/>
  </r>
  <r>
    <x v="9"/>
    <s v="Landed 13:36"/>
    <d v="2026-07-16T00:00:00"/>
    <d v="1899-12-30T13:36:00"/>
    <s v="Malta"/>
    <s v="Malta Luqa International Airport"/>
    <s v="Boeing 737-8AS"/>
    <d v="2026-07-16T00:00:00"/>
    <d v="1899-12-30T13:20:00"/>
    <d v="1899-12-30T00:16:00"/>
    <x v="0"/>
  </r>
  <r>
    <x v="0"/>
    <s v="Landed 13:08"/>
    <d v="2026-07-16T00:00:00"/>
    <d v="1899-12-30T13:08:00"/>
    <s v="Zurich"/>
    <s v="Zurich Airport"/>
    <s v="Airbus A220-300"/>
    <d v="2026-07-16T00:00:00"/>
    <d v="1899-12-30T13:25:00"/>
    <d v="1899-12-30T00:17:00"/>
    <x v="0"/>
  </r>
  <r>
    <x v="0"/>
    <s v="Unknown"/>
    <d v="2026-07-16T00:00:00"/>
    <e v="#N/A"/>
    <s v="Amsterdam"/>
    <s v="Amsterdam Schiphol Airport"/>
    <s v="Airbus A220-300"/>
    <d v="2026-07-16T00:00:00"/>
    <d v="1899-12-30T13:25:00"/>
    <e v="#N/A"/>
    <x v="2"/>
  </r>
  <r>
    <x v="13"/>
    <s v="Landed 13:32"/>
    <d v="2026-07-16T00:00:00"/>
    <d v="1899-12-30T13:32:00"/>
    <s v="Antalya"/>
    <s v="Antalya Airport"/>
    <s v="Boeing 737-85P"/>
    <d v="2026-07-16T00:00:00"/>
    <d v="1899-12-30T13:32:00"/>
    <d v="1899-12-30T00:00:00"/>
    <x v="1"/>
  </r>
  <r>
    <x v="2"/>
    <s v="Landed 14:19"/>
    <d v="2026-07-16T00:00:00"/>
    <d v="1899-12-30T14:19:00"/>
    <s v="Warsaw"/>
    <s v="Warsaw Chopin Airport"/>
    <s v="Embraer E190LR"/>
    <d v="2026-07-16T00:00:00"/>
    <d v="1899-12-30T13:50:00"/>
    <d v="1899-12-30T00:29:00"/>
    <x v="0"/>
  </r>
  <r>
    <x v="1"/>
    <s v="Landed 13:59"/>
    <d v="2026-07-16T00:00:00"/>
    <d v="1899-12-30T13:59:00"/>
    <s v="Billund"/>
    <s v="Billund Airport"/>
    <s v="Airbus A321-271NX"/>
    <d v="2026-07-16T00:00:00"/>
    <d v="1899-12-30T14:10:00"/>
    <d v="1899-12-30T00:11:00"/>
    <x v="1"/>
  </r>
  <r>
    <x v="0"/>
    <s v="Estimated 14:31*"/>
    <d v="2026-07-16T00:00:00"/>
    <e v="#N/A"/>
    <s v="Riga"/>
    <s v="Riga International Airport"/>
    <s v="Airbus A220-300"/>
    <d v="2026-07-16T00:00:00"/>
    <d v="1899-12-30T14:35:00"/>
    <e v="#N/A"/>
    <x v="2"/>
  </r>
  <r>
    <x v="36"/>
    <s v="Landed 14:55"/>
    <d v="2026-07-16T00:00:00"/>
    <d v="1899-12-30T14:55:00"/>
    <s v="Venice"/>
    <s v="Venice Marco Polo Airport"/>
    <s v="Cessna Citation Bravo"/>
    <d v="2026-07-16T00:00:00"/>
    <d v="1899-12-30T14:47:00"/>
    <d v="1899-12-30T00:08:00"/>
    <x v="1"/>
  </r>
  <r>
    <x v="14"/>
    <s v="Landed 15:01"/>
    <d v="2026-07-16T00:00:00"/>
    <d v="1899-12-30T15:01:00"/>
    <s v="Oslo"/>
    <s v="Oslo Gardermoen Airport"/>
    <s v="Boeing 737-8JP"/>
    <d v="2026-07-16T00:00:00"/>
    <d v="1899-12-30T15:05:00"/>
    <d v="1899-12-30T00:04:00"/>
    <x v="1"/>
  </r>
  <r>
    <x v="3"/>
    <s v="Landed 15:14"/>
    <d v="2026-07-16T00:00:00"/>
    <d v="1899-12-30T15:14:00"/>
    <s v="Copenhagen"/>
    <s v="Copenhagen Airport"/>
    <s v="Mitsubishi CRJ-900LR"/>
    <d v="2026-07-16T00:00:00"/>
    <d v="1899-12-30T15:15:00"/>
    <d v="1899-12-30T00:01:00"/>
    <x v="1"/>
  </r>
  <r>
    <x v="9"/>
    <s v="Landed 15:58"/>
    <d v="2026-07-16T00:00:00"/>
    <d v="1899-12-30T15:58:00"/>
    <s v="Milan"/>
    <s v="Milan Bergamo Orio al Serio International Airport"/>
    <s v="Boeing 737-8AS"/>
    <d v="2026-07-16T00:00:00"/>
    <d v="1899-12-30T15:30:00"/>
    <d v="1899-12-30T00:28:00"/>
    <x v="0"/>
  </r>
  <r>
    <x v="1"/>
    <s v="Landed 15:24"/>
    <d v="2026-07-16T00:00:00"/>
    <d v="1899-12-30T15:24:00"/>
    <s v="Reykjavik"/>
    <s v="Keflavik International Airport"/>
    <s v="Airbus A321-271NX"/>
    <d v="2026-07-16T00:00:00"/>
    <d v="1899-12-30T15:30:00"/>
    <d v="1899-12-30T00:06:00"/>
    <x v="1"/>
  </r>
  <r>
    <x v="0"/>
    <s v="Landed 15:48"/>
    <d v="2026-07-16T00:00:00"/>
    <d v="1899-12-30T15:48:00"/>
    <s v="Hamburg"/>
    <s v="Hamburg Airport"/>
    <s v="Airbus A220-300"/>
    <d v="2026-07-16T00:00:00"/>
    <d v="1899-12-30T16:00:00"/>
    <d v="1899-12-30T00:12:00"/>
    <x v="1"/>
  </r>
  <r>
    <x v="1"/>
    <s v="Landed 17:25"/>
    <d v="2026-07-16T00:00:00"/>
    <d v="1899-12-30T17:25:00"/>
    <s v="Sofia"/>
    <s v="Sofia Vasil Levski Airport"/>
    <s v="Airbus A321-271NX"/>
    <d v="2026-07-16T00:00:00"/>
    <d v="1899-12-30T16:10:00"/>
    <d v="1899-12-30T01:15:00"/>
    <x v="0"/>
  </r>
  <r>
    <x v="2"/>
    <s v="Landed 16:21"/>
    <d v="2026-07-16T00:00:00"/>
    <d v="1899-12-30T16:21:00"/>
    <s v="Warsaw"/>
    <s v="Warsaw Chopin Airport"/>
    <s v="Embraer E190STD"/>
    <d v="2026-07-16T00:00:00"/>
    <d v="1899-12-30T16:20:00"/>
    <d v="1899-12-30T00:01:00"/>
    <x v="1"/>
  </r>
  <r>
    <x v="9"/>
    <s v="Landed 16:48"/>
    <d v="2026-07-16T00:00:00"/>
    <d v="1899-12-30T16:48:00"/>
    <s v="Berlin"/>
    <s v="Berlin Brandenburg Airport"/>
    <s v="Boeing 737-8AS"/>
    <d v="2026-07-16T00:00:00"/>
    <d v="1899-12-30T17:05:00"/>
    <d v="1899-12-30T00:17:00"/>
    <x v="0"/>
  </r>
  <r>
    <x v="7"/>
    <s v="Landed 18:07"/>
    <d v="2026-07-16T00:00:00"/>
    <d v="1899-12-30T18:07:00"/>
    <s v="Helsinki"/>
    <s v="Helsinki Vantaa Airport"/>
    <s v="ATR 72-500"/>
    <d v="2026-07-16T00:00:00"/>
    <d v="1899-12-30T17:55:00"/>
    <d v="1899-12-30T00:12:00"/>
    <x v="1"/>
  </r>
  <r>
    <x v="9"/>
    <s v="Landed 18:17"/>
    <d v="2026-07-16T00:00:00"/>
    <d v="1899-12-30T18:17:00"/>
    <s v="Oslo"/>
    <s v="Oslo Gardermoen Airport"/>
    <s v="Boeing 737-8AS"/>
    <d v="2026-07-16T00:00:00"/>
    <d v="1899-12-30T18:30:00"/>
    <d v="1899-12-30T00:13:00"/>
    <x v="1"/>
  </r>
  <r>
    <x v="2"/>
    <s v="Landed 19:01"/>
    <d v="2026-07-16T00:00:00"/>
    <d v="1899-12-30T19:01:00"/>
    <s v="Warsaw"/>
    <s v="Warsaw Chopin Airport"/>
    <s v="Embraer E195LR"/>
    <d v="2026-07-16T00:00:00"/>
    <d v="1899-12-30T18:35:00"/>
    <d v="1899-12-30T00:26:00"/>
    <x v="0"/>
  </r>
  <r>
    <x v="11"/>
    <s v="Landed 19:04"/>
    <d v="2026-07-16T00:00:00"/>
    <d v="1899-12-30T19:04:00"/>
    <s v="Frankfurt"/>
    <s v="Frankfurt Airport"/>
    <s v="Airbus A320-211"/>
    <d v="2026-07-16T00:00:00"/>
    <d v="1899-12-30T18:50:00"/>
    <d v="1899-12-30T00:14:00"/>
    <x v="1"/>
  </r>
  <r>
    <x v="1"/>
    <s v="Landed 18:38"/>
    <d v="2026-07-16T00:00:00"/>
    <d v="1899-12-30T18:38:00"/>
    <s v="Kutaisi"/>
    <s v="Kutaisi International Airport"/>
    <s v="Airbus A321-271NX"/>
    <d v="2026-07-16T00:00:00"/>
    <d v="1899-12-30T18:50:00"/>
    <d v="1899-12-30T00:12:00"/>
    <x v="1"/>
  </r>
  <r>
    <x v="0"/>
    <s v="Landed 19:08"/>
    <d v="2026-07-16T00:00:00"/>
    <d v="1899-12-30T19:08:00"/>
    <s v="Tallinn"/>
    <s v="Tallinn Lennart Meri Airport"/>
    <s v="Airbus A220-300"/>
    <d v="2026-07-16T00:00:00"/>
    <d v="1899-12-30T19:08:00"/>
    <d v="1899-12-30T00:00:00"/>
    <x v="1"/>
  </r>
  <r>
    <x v="1"/>
    <s v="Landed 18:51"/>
    <d v="2026-07-16T00:00:00"/>
    <d v="1899-12-30T18:51:00"/>
    <s v="Gdansk"/>
    <s v="Gdansk Lech Walesa Airport"/>
    <s v="Airbus A321-271NX"/>
    <d v="2026-07-16T00:00:00"/>
    <d v="1899-12-30T19:10:00"/>
    <d v="1899-12-30T00:19:00"/>
    <x v="0"/>
  </r>
  <r>
    <x v="1"/>
    <s v="Landed 19:41"/>
    <d v="2026-07-16T00:00:00"/>
    <d v="1899-12-30T19:41:00"/>
    <s v="Tirana"/>
    <s v="Tirana International Airport"/>
    <s v="Airbus A321-271NX"/>
    <d v="2026-07-16T00:00:00"/>
    <d v="1899-12-30T19:10:00"/>
    <d v="1899-12-30T00:31:00"/>
    <x v="0"/>
  </r>
  <r>
    <x v="0"/>
    <s v="Canceled"/>
    <d v="2026-07-16T00:00:00"/>
    <e v="#N/A"/>
    <s v="Dusseldorf"/>
    <s v="Dusseldorf Airport"/>
    <s v="Airbus A220-300"/>
    <d v="2026-07-16T00:00:00"/>
    <d v="1899-12-30T19:20:00"/>
    <e v="#N/A"/>
    <x v="2"/>
  </r>
  <r>
    <x v="10"/>
    <s v="Landed 19:11"/>
    <d v="2026-07-16T00:00:00"/>
    <d v="1899-12-30T19:11:00"/>
    <s v="Istanbul"/>
    <s v="Istanbul Airport"/>
    <s v="Boeing 737-8F2"/>
    <d v="2026-07-16T00:00:00"/>
    <d v="1899-12-30T19:30:00"/>
    <d v="1899-12-30T00:19:00"/>
    <x v="0"/>
  </r>
  <r>
    <x v="0"/>
    <s v="Landed 19:44"/>
    <d v="2026-07-16T00:00:00"/>
    <d v="1899-12-30T19:44:00"/>
    <s v="Amsterdam"/>
    <s v="Amsterdam Schiphol Airport"/>
    <s v="Airbus A220-300"/>
    <d v="2026-07-16T00:00:00"/>
    <d v="1899-12-30T19:50:00"/>
    <d v="1899-12-30T00:06:00"/>
    <x v="1"/>
  </r>
  <r>
    <x v="9"/>
    <s v="Landed 20:06"/>
    <d v="2026-07-16T00:00:00"/>
    <d v="1899-12-30T20:06:00"/>
    <s v="London"/>
    <s v="London Luton Airport"/>
    <s v="Boeing 737 MAX 8-200"/>
    <d v="2026-07-16T00:00:00"/>
    <d v="1899-12-30T20:10:00"/>
    <d v="1899-12-30T00:04:00"/>
    <x v="1"/>
  </r>
  <r>
    <x v="1"/>
    <s v="Landed 19:52"/>
    <d v="2026-07-16T00:00:00"/>
    <d v="1899-12-30T19:52:00"/>
    <s v="Dortmund"/>
    <s v="Dortmund Airport"/>
    <s v="Airbus A321-271NX"/>
    <d v="2026-07-16T00:00:00"/>
    <d v="1899-12-30T20:15:00"/>
    <d v="1899-12-30T00:23:00"/>
    <x v="0"/>
  </r>
  <r>
    <x v="0"/>
    <s v="Landed 23:12"/>
    <d v="2026-07-16T00:00:00"/>
    <d v="1899-12-30T23:12:00"/>
    <s v="Riga"/>
    <s v="Riga International Airport"/>
    <s v="Airbus A220-300"/>
    <d v="2026-07-16T00:00:00"/>
    <d v="1899-12-30T20:50:00"/>
    <d v="1899-12-30T02:22:00"/>
    <x v="0"/>
  </r>
  <r>
    <x v="13"/>
    <s v="Landed 20:43"/>
    <d v="2026-07-16T00:00:00"/>
    <d v="1899-12-30T20:43:00"/>
    <s v="Burgas"/>
    <s v="Burgas Airport"/>
    <s v="Boeing 737-85P"/>
    <d v="2026-07-16T00:00:00"/>
    <d v="1899-12-30T20:54:00"/>
    <d v="1899-12-30T00:11:00"/>
    <x v="1"/>
  </r>
  <r>
    <x v="14"/>
    <s v="Landed 20:55"/>
    <d v="2026-07-16T00:00:00"/>
    <d v="1899-12-30T20:55:00"/>
    <s v="Stockholm"/>
    <s v="Stockholm Arlanda Airport"/>
    <s v="Boeing 737 MAX 8"/>
    <d v="2026-07-16T00:00:00"/>
    <d v="1899-12-30T21:00:00"/>
    <d v="1899-12-30T00:05:00"/>
    <x v="1"/>
  </r>
  <r>
    <x v="7"/>
    <s v="Landed 21:20"/>
    <d v="2026-07-16T00:00:00"/>
    <d v="1899-12-30T21:20:00"/>
    <s v="Helsinki"/>
    <s v="Helsinki Vantaa Airport"/>
    <s v="ATR 72-500"/>
    <d v="2026-07-16T00:00:00"/>
    <d v="1899-12-30T21:10:00"/>
    <d v="1899-12-30T00:10:00"/>
    <x v="1"/>
  </r>
  <r>
    <x v="16"/>
    <s v="Landed 21:49"/>
    <d v="2026-07-16T00:00:00"/>
    <d v="1899-12-30T21:49:00"/>
    <s v="Tel Aviv"/>
    <s v="Tel Aviv Ben Gurion International Airport"/>
    <s v="Airbus A320-232"/>
    <d v="2026-07-16T00:00:00"/>
    <d v="1899-12-30T21:15:00"/>
    <d v="1899-12-30T00:34:00"/>
    <x v="0"/>
  </r>
  <r>
    <x v="2"/>
    <s v="Landed 22:16"/>
    <d v="2026-07-16T00:00:00"/>
    <d v="1899-12-30T22:16:00"/>
    <s v="Warsaw"/>
    <s v="Warsaw Chopin Airport"/>
    <s v="Embraer E195LR"/>
    <d v="2026-07-16T00:00:00"/>
    <d v="1899-12-30T22:20:00"/>
    <d v="1899-12-30T00:04:00"/>
    <x v="1"/>
  </r>
  <r>
    <x v="17"/>
    <s v="Landed 22:09"/>
    <d v="2026-07-16T00:00:00"/>
    <d v="1899-12-30T22:09:00"/>
    <s v="Antalya"/>
    <s v="Antalya Airport"/>
    <s v="Airbus A320-232"/>
    <d v="2026-07-16T00:00:00"/>
    <d v="1899-12-30T22:35:00"/>
    <d v="1899-12-30T00:26:00"/>
    <x v="0"/>
  </r>
  <r>
    <x v="10"/>
    <s v="Unknown"/>
    <d v="2026-07-16T00:00:00"/>
    <e v="#N/A"/>
    <s v="Bucharest"/>
    <s v="Bucharest Henri Coanda International Airport"/>
    <s v="N/A"/>
    <d v="2026-07-16T00:00:00"/>
    <d v="1899-12-30T22:40:00"/>
    <e v="#N/A"/>
    <x v="2"/>
  </r>
  <r>
    <x v="0"/>
    <s v="Landed 23:25"/>
    <d v="2026-07-16T00:00:00"/>
    <d v="1899-12-30T23:25:00"/>
    <s v="Paris"/>
    <s v="Paris Charles de Gaulle Airport"/>
    <s v="Airbus A220-300"/>
    <d v="2026-07-16T00:00:00"/>
    <d v="1899-12-30T23:05:00"/>
    <d v="1899-12-30T00:20:00"/>
    <x v="0"/>
  </r>
  <r>
    <x v="9"/>
    <s v="Landed 23:14"/>
    <d v="2026-07-16T00:00:00"/>
    <d v="1899-12-30T23:14:00"/>
    <s v="Rome"/>
    <s v="Rome Ciampino Airport"/>
    <s v="Boeing 737-8AS"/>
    <d v="2026-07-16T00:00:00"/>
    <d v="1899-12-30T23:25:00"/>
    <d v="1899-12-30T00:11:00"/>
    <x v="1"/>
  </r>
  <r>
    <x v="11"/>
    <s v="Landed 23:30"/>
    <d v="2026-07-16T00:00:00"/>
    <d v="1899-12-30T23:30:00"/>
    <s v="Frankfurt"/>
    <s v="Frankfurt Airport"/>
    <s v="Airbus A321-231"/>
    <d v="2026-07-16T00:00:00"/>
    <d v="1899-12-30T23:35:00"/>
    <d v="1899-12-30T00:05:00"/>
    <x v="1"/>
  </r>
  <r>
    <x v="9"/>
    <s v="Landed 23:45"/>
    <d v="2026-07-16T00:00:00"/>
    <d v="1899-12-30T23:45:00"/>
    <s v="Venice"/>
    <s v="Venice Treviso Airport"/>
    <s v="Boeing 737-8AS"/>
    <d v="2026-07-16T00:00:00"/>
    <d v="1899-12-30T23:55:00"/>
    <d v="1899-12-30T00:10:00"/>
    <x v="1"/>
  </r>
  <r>
    <x v="0"/>
    <s v="Landed 00:10"/>
    <d v="2026-07-17T00:00:00"/>
    <d v="1899-12-30T00:10:00"/>
    <s v="Berlin"/>
    <s v="Berlin Brandenburg Airport"/>
    <s v="Airbus A220-300"/>
    <d v="2026-07-17T00:00:00"/>
    <d v="1899-12-30T00:15:00"/>
    <d v="1899-12-30T00:05:00"/>
    <x v="1"/>
  </r>
  <r>
    <x v="1"/>
    <s v="Landed 23:40"/>
    <d v="2026-07-16T00:00:00"/>
    <d v="1899-12-30T23:40:00"/>
    <s v="Turku"/>
    <s v="Turku Airport"/>
    <s v="Airbus A321-271NX"/>
    <d v="2026-07-17T00:00:00"/>
    <d v="1899-12-30T00:15:00"/>
    <d v="1899-12-30T00:35:00"/>
    <x v="1"/>
  </r>
  <r>
    <x v="0"/>
    <s v="Landed 00:47"/>
    <d v="2026-07-17T00:00:00"/>
    <d v="1899-12-30T00:47:00"/>
    <s v="Riga"/>
    <s v="Riga International Airport"/>
    <s v="Airbus A220-300"/>
    <d v="2026-07-17T00:00:00"/>
    <d v="1899-12-30T00:30:00"/>
    <d v="1899-12-30T00:17:00"/>
    <x v="0"/>
  </r>
  <r>
    <x v="1"/>
    <s v="Landed 00:20"/>
    <d v="2026-07-17T00:00:00"/>
    <d v="1899-12-30T00:20:00"/>
    <s v="Barcelona"/>
    <s v="Barcelona El Prat Airport"/>
    <s v="Airbus A321-271NX"/>
    <d v="2026-07-17T00:00:00"/>
    <d v="1899-12-30T00:30:00"/>
    <d v="1899-12-30T00:10:00"/>
    <x v="1"/>
  </r>
  <r>
    <x v="2"/>
    <s v="Landed 01:02"/>
    <d v="2026-07-17T00:00:00"/>
    <d v="1899-12-30T01:02:00"/>
    <s v="Warsaw"/>
    <s v="Warsaw Chopin Airport"/>
    <s v="Boeing 737 MAX 8"/>
    <d v="2026-07-17T00:00:00"/>
    <d v="1899-12-30T00:40:00"/>
    <d v="1899-12-30T00:22:00"/>
    <x v="0"/>
  </r>
  <r>
    <x v="0"/>
    <s v="Landed 00:43"/>
    <d v="2026-07-17T00:00:00"/>
    <d v="1899-12-30T00:43:00"/>
    <s v="Munich"/>
    <s v="Munich Airport"/>
    <s v="Airbus A220-300"/>
    <d v="2026-07-17T00:00:00"/>
    <d v="1899-12-30T00:45:00"/>
    <d v="1899-12-30T00:02:00"/>
    <x v="1"/>
  </r>
  <r>
    <x v="0"/>
    <s v="Landed 01:28"/>
    <d v="2026-07-17T00:00:00"/>
    <d v="1899-12-30T01:28:00"/>
    <s v="Zurich"/>
    <s v="Zurich Airport"/>
    <s v="Airbus A220-300"/>
    <d v="2026-07-17T00:00:00"/>
    <d v="1899-12-30T01:25:00"/>
    <d v="1899-12-30T00:03:00"/>
    <x v="1"/>
  </r>
  <r>
    <x v="3"/>
    <s v="Landed 01:14"/>
    <d v="2026-07-17T00:00:00"/>
    <d v="1899-12-30T01:14:00"/>
    <s v="Copenhagen"/>
    <s v="Copenhagen Airport"/>
    <s v="Mitsubishi CRJ-900LR"/>
    <d v="2026-07-17T00:00:00"/>
    <d v="1899-12-30T01:25:00"/>
    <d v="1899-12-30T00:11:00"/>
    <x v="1"/>
  </r>
  <r>
    <x v="1"/>
    <s v="Landed 01:08"/>
    <d v="2026-07-17T00:00:00"/>
    <d v="1899-12-30T01:08:00"/>
    <s v="Podgorica"/>
    <s v="Podgorica Airport"/>
    <s v="Airbus A321-271NX"/>
    <d v="2026-07-17T00:00:00"/>
    <d v="1899-12-30T01:25:00"/>
    <d v="1899-12-30T00:17:00"/>
    <x v="0"/>
  </r>
  <r>
    <x v="5"/>
    <s v="Landed 08:43"/>
    <d v="2026-07-17T00:00:00"/>
    <d v="1899-12-30T08:43:00"/>
    <s v="Leipzig"/>
    <s v="Leipzig Halle Airport"/>
    <s v="Boeing 737-86N(SF)"/>
    <d v="2026-07-17T00:00:00"/>
    <d v="1899-12-30T07:39:00"/>
    <d v="1899-12-30T01:04:00"/>
    <x v="0"/>
  </r>
  <r>
    <x v="0"/>
    <s v="Canceled"/>
    <d v="2026-07-17T00:00:00"/>
    <e v="#N/A"/>
    <s v="Riga"/>
    <s v="Riga International Airport"/>
    <s v="N/A"/>
    <d v="2026-07-17T00:00:00"/>
    <d v="1899-12-30T08:40:00"/>
    <e v="#N/A"/>
    <x v="2"/>
  </r>
  <r>
    <x v="1"/>
    <s v="Landed 08:39"/>
    <d v="2026-07-17T00:00:00"/>
    <d v="1899-12-30T08:39:00"/>
    <s v="Krakow"/>
    <s v="Krakow John Paul II International Airport"/>
    <s v="Airbus A321-271NX"/>
    <d v="2026-07-17T00:00:00"/>
    <d v="1899-12-30T08:50:00"/>
    <d v="1899-12-30T00:11:00"/>
    <x v="1"/>
  </r>
  <r>
    <x v="7"/>
    <s v="Landed 08:40"/>
    <d v="2026-07-17T00:00:00"/>
    <d v="1899-12-30T08:40:00"/>
    <s v="Helsinki"/>
    <s v="Helsinki Vantaa Airport"/>
    <s v="Embraer E190LR"/>
    <d v="2026-07-17T00:00:00"/>
    <d v="1899-12-30T08:55:00"/>
    <d v="1899-12-30T00:15:00"/>
    <x v="1"/>
  </r>
  <r>
    <x v="1"/>
    <s v="Landed 08:46"/>
    <d v="2026-07-17T00:00:00"/>
    <d v="1899-12-30T08:46:00"/>
    <s v="Tallinn"/>
    <s v="Tallinn Lennart Meri Airport"/>
    <s v="Airbus A321-271NX"/>
    <d v="2026-07-17T00:00:00"/>
    <d v="1899-12-30T09:20:00"/>
    <d v="1899-12-30T00:34:00"/>
    <x v="0"/>
  </r>
  <r>
    <x v="9"/>
    <s v="Landed 10:25"/>
    <d v="2026-07-17T00:00:00"/>
    <d v="1899-12-30T10:25:00"/>
    <s v="Milan"/>
    <s v="Milan Bergamo Orio al Serio International Airport"/>
    <s v="Boeing 737-8AS"/>
    <d v="2026-07-17T00:00:00"/>
    <d v="1899-12-30T09:35:00"/>
    <d v="1899-12-30T00:50:00"/>
    <x v="0"/>
  </r>
  <r>
    <x v="2"/>
    <s v="Landed 09:58"/>
    <d v="2026-07-17T00:00:00"/>
    <d v="1899-12-30T09:58:00"/>
    <s v="Warsaw"/>
    <s v="Warsaw Chopin Airport"/>
    <s v="Embraer E190STD"/>
    <d v="2026-07-17T00:00:00"/>
    <d v="1899-12-30T10:05:00"/>
    <d v="1899-12-30T00:07:00"/>
    <x v="1"/>
  </r>
  <r>
    <x v="10"/>
    <s v="Landed 10:38"/>
    <d v="2026-07-17T00:00:00"/>
    <d v="1899-12-30T10:38:00"/>
    <s v="Istanbul"/>
    <s v="Istanbul Airport"/>
    <s v="Boeing 737 MAX 8"/>
    <d v="2026-07-17T00:00:00"/>
    <d v="1899-12-30T10:45:00"/>
    <d v="1899-12-30T00:07:00"/>
    <x v="1"/>
  </r>
  <r>
    <x v="17"/>
    <s v="Landed 11:42"/>
    <d v="2026-07-17T00:00:00"/>
    <d v="1899-12-30T11:42:00"/>
    <s v="Tivat"/>
    <s v="Tivat Airport"/>
    <s v="Airbus A320-232"/>
    <d v="2026-07-17T00:00:00"/>
    <d v="1899-12-30T11:00:00"/>
    <d v="1899-12-30T00:42:00"/>
    <x v="0"/>
  </r>
  <r>
    <x v="9"/>
    <s v="Landed 10:55"/>
    <d v="2026-07-17T00:00:00"/>
    <d v="1899-12-30T10:55:00"/>
    <s v="London"/>
    <s v="London Luton Airport"/>
    <s v="Boeing 737 MAX 8-200"/>
    <d v="2026-07-17T00:00:00"/>
    <d v="1899-12-30T11:10:00"/>
    <d v="1899-12-30T00:15:00"/>
    <x v="1"/>
  </r>
  <r>
    <x v="13"/>
    <s v="Landed 12:33"/>
    <d v="2026-07-17T00:00:00"/>
    <d v="1899-12-30T12:33:00"/>
    <s v="Varna"/>
    <s v="Varna Airport"/>
    <s v="Boeing 737-85P"/>
    <d v="2026-07-17T00:00:00"/>
    <d v="1899-12-30T12:14:00"/>
    <d v="1899-12-30T00:19:00"/>
    <x v="0"/>
  </r>
  <r>
    <x v="0"/>
    <s v="Landed 12:12"/>
    <d v="2026-07-17T00:00:00"/>
    <d v="1899-12-30T12:12:00"/>
    <s v="Prague"/>
    <s v="Prague Vaclav Havel Airport"/>
    <s v="Airbus A220-300"/>
    <d v="2026-07-17T00:00:00"/>
    <d v="1899-12-30T12:25:00"/>
    <d v="1899-12-30T00:13:00"/>
    <x v="1"/>
  </r>
  <r>
    <x v="11"/>
    <s v="Landed 12:49"/>
    <d v="2026-07-17T00:00:00"/>
    <d v="1899-12-30T12:49:00"/>
    <s v="Frankfurt"/>
    <s v="Frankfurt Airport"/>
    <s v="Airbus A321-231"/>
    <d v="2026-07-17T00:00:00"/>
    <d v="1899-12-30T12:40:00"/>
    <d v="1899-12-30T00:09:00"/>
    <x v="1"/>
  </r>
  <r>
    <x v="1"/>
    <s v="Landed 12:30"/>
    <d v="2026-07-17T00:00:00"/>
    <d v="1899-12-30T12:30:00"/>
    <s v="London"/>
    <s v="London Luton Airport"/>
    <s v="Airbus A321-271NX"/>
    <d v="2026-07-17T00:00:00"/>
    <d v="1899-12-30T12:50:00"/>
    <d v="1899-12-30T00:20:00"/>
    <x v="0"/>
  </r>
  <r>
    <x v="7"/>
    <s v="Landed 12:56"/>
    <d v="2026-07-17T00:00:00"/>
    <d v="1899-12-30T12:56:00"/>
    <s v="Helsinki"/>
    <s v="Helsinki Vantaa Airport"/>
    <s v="ATR 72-500"/>
    <d v="2026-07-17T00:00:00"/>
    <d v="1899-12-30T13:00:00"/>
    <d v="1899-12-30T00:04:00"/>
    <x v="1"/>
  </r>
  <r>
    <x v="12"/>
    <s v="Landed 13:01"/>
    <d v="2026-07-17T00:00:00"/>
    <d v="1899-12-30T13:01:00"/>
    <s v="Antalya"/>
    <s v="Antalya Airport"/>
    <s v="Airbus A320-214"/>
    <d v="2026-07-17T00:00:00"/>
    <d v="1899-12-30T13:01:00"/>
    <d v="1899-12-30T00:00:00"/>
    <x v="1"/>
  </r>
  <r>
    <x v="9"/>
    <s v="Landed 13:12"/>
    <d v="2026-07-17T00:00:00"/>
    <d v="1899-12-30T13:12:00"/>
    <s v="Barcelona"/>
    <s v="Barcelona El Prat Airport"/>
    <s v="Boeing 737-8AS"/>
    <d v="2026-07-17T00:00:00"/>
    <d v="1899-12-30T13:20:00"/>
    <d v="1899-12-30T00:08:00"/>
    <x v="1"/>
  </r>
  <r>
    <x v="9"/>
    <s v="Landed 13:17"/>
    <d v="2026-07-17T00:00:00"/>
    <d v="1899-12-30T13:17:00"/>
    <s v="Dublin"/>
    <s v="Dublin Airport"/>
    <s v="Boeing 737-8AS"/>
    <d v="2026-07-17T00:00:00"/>
    <d v="1899-12-30T13:20:00"/>
    <d v="1899-12-30T00:03:00"/>
    <x v="1"/>
  </r>
  <r>
    <x v="0"/>
    <s v="Landed 13:35"/>
    <d v="2026-07-17T00:00:00"/>
    <d v="1899-12-30T13:35:00"/>
    <s v="Amsterdam"/>
    <s v="Amsterdam Schiphol Airport"/>
    <s v="Airbus A220-300"/>
    <d v="2026-07-17T00:00:00"/>
    <d v="1899-12-30T13:25:00"/>
    <d v="1899-12-30T00:10:00"/>
    <x v="1"/>
  </r>
  <r>
    <x v="2"/>
    <s v="Landed 14:58"/>
    <d v="2026-07-17T00:00:00"/>
    <d v="1899-12-30T14:58:00"/>
    <s v="Warsaw"/>
    <s v="Warsaw Chopin Airport"/>
    <s v="Embraer E195AR"/>
    <d v="2026-07-17T00:00:00"/>
    <d v="1899-12-30T13:50:00"/>
    <d v="1899-12-30T01:08:00"/>
    <x v="0"/>
  </r>
  <r>
    <x v="15"/>
    <s v="Landed 14:41"/>
    <d v="2026-07-17T00:00:00"/>
    <d v="1899-12-30T14:41:00"/>
    <s v="Palanga"/>
    <s v="Palanga International Airport"/>
    <s v="Diamond DA42 NG Twin Star"/>
    <d v="2026-07-17T00:00:00"/>
    <d v="1899-12-30T14:00:00"/>
    <d v="1899-12-30T00:41:00"/>
    <x v="0"/>
  </r>
  <r>
    <x v="1"/>
    <s v="Landed 13:46"/>
    <d v="2026-07-17T00:00:00"/>
    <d v="1899-12-30T13:46:00"/>
    <s v="Budapest"/>
    <s v="Budapest Ferenc Liszt International Airport"/>
    <s v="Airbus A321-271NX"/>
    <d v="2026-07-17T00:00:00"/>
    <d v="1899-12-30T14:10:00"/>
    <d v="1899-12-30T00:24:00"/>
    <x v="0"/>
  </r>
  <r>
    <x v="0"/>
    <s v="Landed 14:42"/>
    <d v="2026-07-17T00:00:00"/>
    <d v="1899-12-30T14:42:00"/>
    <s v="Heraklion"/>
    <s v="Heraklion International Airport"/>
    <s v="Airbus A220-300"/>
    <d v="2026-07-17T00:00:00"/>
    <d v="1899-12-30T14:30:00"/>
    <d v="1899-12-30T00:12:00"/>
    <x v="1"/>
  </r>
  <r>
    <x v="0"/>
    <s v="Landed 15:13"/>
    <d v="2026-07-17T00:00:00"/>
    <d v="1899-12-30T15:13:00"/>
    <s v="Riga"/>
    <s v="Riga International Airport"/>
    <s v="Airbus A220-300"/>
    <d v="2026-07-17T00:00:00"/>
    <d v="1899-12-30T14:35:00"/>
    <d v="1899-12-30T00:38:00"/>
    <x v="0"/>
  </r>
  <r>
    <x v="3"/>
    <s v="Landed 15:16"/>
    <d v="2026-07-17T00:00:00"/>
    <d v="1899-12-30T15:16:00"/>
    <s v="Copenhagen"/>
    <s v="Copenhagen Airport"/>
    <s v="Mitsubishi CRJ-900LR"/>
    <d v="2026-07-17T00:00:00"/>
    <d v="1899-12-30T15:15:00"/>
    <d v="1899-12-30T00:01:00"/>
    <x v="1"/>
  </r>
  <r>
    <x v="0"/>
    <s v="Landed 15:23"/>
    <d v="2026-07-17T00:00:00"/>
    <d v="1899-12-30T15:23:00"/>
    <s v="Brussels"/>
    <s v="Brussels Airport"/>
    <s v="Airbus A220-300"/>
    <d v="2026-07-17T00:00:00"/>
    <d v="1899-12-30T15:25:00"/>
    <d v="1899-12-30T00:02:00"/>
    <x v="1"/>
  </r>
  <r>
    <x v="9"/>
    <s v="Landed 15:28"/>
    <d v="2026-07-17T00:00:00"/>
    <d v="1899-12-30T15:28:00"/>
    <s v="Turin"/>
    <s v="Turin Caselle Airport"/>
    <s v="Boeing 737-8AS"/>
    <d v="2026-07-17T00:00:00"/>
    <d v="1899-12-30T15:30:00"/>
    <d v="1899-12-30T00:02:00"/>
    <x v="1"/>
  </r>
  <r>
    <x v="1"/>
    <s v="Landed 15:19"/>
    <d v="2026-07-17T00:00:00"/>
    <d v="1899-12-30T15:19:00"/>
    <s v="Malaga"/>
    <s v="Malaga Costa Del Sol Airport"/>
    <s v="Airbus A321-271NX"/>
    <d v="2026-07-17T00:00:00"/>
    <d v="1899-12-30T15:35:00"/>
    <d v="1899-12-30T00:16:00"/>
    <x v="0"/>
  </r>
  <r>
    <x v="9"/>
    <s v="Landed 15:25"/>
    <d v="2026-07-17T00:00:00"/>
    <d v="1899-12-30T15:25:00"/>
    <s v="Paris"/>
    <s v="Paris Beauvais-Tille Airport"/>
    <s v="Boeing 737 MAX 8-200"/>
    <d v="2026-07-17T00:00:00"/>
    <d v="1899-12-30T15:40:00"/>
    <d v="1899-12-30T00:15:00"/>
    <x v="1"/>
  </r>
  <r>
    <x v="2"/>
    <s v="Landed 17:09"/>
    <d v="2026-07-17T00:00:00"/>
    <d v="1899-12-30T17:09:00"/>
    <s v="Warsaw"/>
    <s v="Warsaw Chopin Airport"/>
    <s v="Embraer E190STD"/>
    <d v="2026-07-17T00:00:00"/>
    <d v="1899-12-30T16:20:00"/>
    <d v="1899-12-30T00:49:00"/>
    <x v="0"/>
  </r>
  <r>
    <x v="7"/>
    <s v="Landed 17:13"/>
    <d v="2026-07-17T00:00:00"/>
    <d v="1899-12-30T17:13:00"/>
    <s v="Helsinki"/>
    <s v="Helsinki Vantaa Airport"/>
    <s v="Embraer E190LR"/>
    <d v="2026-07-17T00:00:00"/>
    <d v="1899-12-30T17:10:00"/>
    <d v="1899-12-30T00:03:00"/>
    <x v="1"/>
  </r>
  <r>
    <x v="9"/>
    <s v="Landed 17:16"/>
    <d v="2026-07-17T00:00:00"/>
    <d v="1899-12-30T17:16:00"/>
    <s v="Corfu"/>
    <s v="Corfu International Airport"/>
    <s v="Boeing 737 MAX 8-200"/>
    <d v="2026-07-17T00:00:00"/>
    <d v="1899-12-30T17:15:00"/>
    <d v="1899-12-30T00:01:00"/>
    <x v="1"/>
  </r>
  <r>
    <x v="0"/>
    <s v="Landed 17:05"/>
    <d v="2026-07-17T00:00:00"/>
    <d v="1899-12-30T17:05:00"/>
    <s v="Tallinn"/>
    <s v="Tallinn Lennart Meri Airport"/>
    <s v="Airbus A220-300"/>
    <d v="2026-07-17T00:00:00"/>
    <d v="1899-12-30T17:20:00"/>
    <d v="1899-12-30T00:15:00"/>
    <x v="1"/>
  </r>
  <r>
    <x v="13"/>
    <s v="Delayed 00:34"/>
    <d v="2026-07-17T00:00:00"/>
    <e v="#N/A"/>
    <s v="Siauliai"/>
    <s v="Siauliai International Airport"/>
    <s v="Boeing 737-8FE"/>
    <d v="2026-07-17T00:00:00"/>
    <d v="1899-12-30T18:19:00"/>
    <e v="#N/A"/>
    <x v="2"/>
  </r>
  <r>
    <x v="9"/>
    <s v="Landed 18:11"/>
    <d v="2026-07-17T00:00:00"/>
    <d v="1899-12-30T18:11:00"/>
    <s v="Oslo"/>
    <s v="Oslo Gardermoen Airport"/>
    <s v="Boeing 737-8AS"/>
    <d v="2026-07-17T00:00:00"/>
    <d v="1899-12-30T18:20:00"/>
    <d v="1899-12-30T00:09:00"/>
    <x v="1"/>
  </r>
  <r>
    <x v="12"/>
    <s v="Landed 19:07"/>
    <d v="2026-07-17T00:00:00"/>
    <d v="1899-12-30T19:07:00"/>
    <s v="Riga"/>
    <s v="Riga International Airport"/>
    <s v="Airbus A320-232"/>
    <d v="2026-07-17T00:00:00"/>
    <d v="1899-12-30T18:21:00"/>
    <d v="1899-12-30T00:46:00"/>
    <x v="0"/>
  </r>
  <r>
    <x v="31"/>
    <s v="Landed 19:01"/>
    <d v="2026-07-17T00:00:00"/>
    <d v="1899-12-30T19:01:00"/>
    <s v="Tel Aviv"/>
    <s v="Tel Aviv Ben Gurion International Airport"/>
    <s v="Airbus A320-232"/>
    <d v="2026-07-17T00:00:00"/>
    <d v="1899-12-30T18:30:00"/>
    <d v="1899-12-30T00:31:00"/>
    <x v="0"/>
  </r>
  <r>
    <x v="2"/>
    <s v="Landed 19:16"/>
    <d v="2026-07-17T00:00:00"/>
    <d v="1899-12-30T19:16:00"/>
    <s v="Warsaw"/>
    <s v="Warsaw Chopin Airport"/>
    <s v="Embraer E190STD"/>
    <d v="2026-07-17T00:00:00"/>
    <d v="1899-12-30T18:35:00"/>
    <d v="1899-12-30T00:41:00"/>
    <x v="0"/>
  </r>
  <r>
    <x v="15"/>
    <s v="Landed 18:28"/>
    <d v="2026-07-17T00:00:00"/>
    <d v="1899-12-30T18:28:00"/>
    <s v="Liepaja"/>
    <s v="Liepaja Airport"/>
    <s v="Diamond DA42 NG Twin Star"/>
    <d v="2026-07-17T00:00:00"/>
    <d v="1899-12-30T18:40:00"/>
    <d v="1899-12-30T00:12:00"/>
    <x v="1"/>
  </r>
  <r>
    <x v="1"/>
    <s v="Landed 18:17"/>
    <d v="2026-07-17T00:00:00"/>
    <d v="1899-12-30T18:17:00"/>
    <s v="Eindhoven"/>
    <s v="Eindhoven Airport"/>
    <s v="Airbus A321-271NX"/>
    <d v="2026-07-17T00:00:00"/>
    <d v="1899-12-30T18:45:00"/>
    <d v="1899-12-30T00:28:00"/>
    <x v="0"/>
  </r>
  <r>
    <x v="11"/>
    <s v="Landed 19:04"/>
    <d v="2026-07-17T00:00:00"/>
    <d v="1899-12-30T19:04:00"/>
    <s v="Frankfurt"/>
    <s v="Frankfurt Airport"/>
    <s v="Airbus A320-214"/>
    <d v="2026-07-17T00:00:00"/>
    <d v="1899-12-30T18:55:00"/>
    <d v="1899-12-30T00:09:00"/>
    <x v="1"/>
  </r>
  <r>
    <x v="9"/>
    <s v="Landed 18:53"/>
    <d v="2026-07-17T00:00:00"/>
    <d v="1899-12-30T18:53:00"/>
    <s v="Rome"/>
    <s v="Rome Ciampino Airport"/>
    <s v="Boeing 737 MAX 8-200"/>
    <d v="2026-07-17T00:00:00"/>
    <d v="1899-12-30T19:05:00"/>
    <d v="1899-12-30T00:12:00"/>
    <x v="1"/>
  </r>
  <r>
    <x v="9"/>
    <s v="Landed 19:50"/>
    <d v="2026-07-17T00:00:00"/>
    <d v="1899-12-30T19:50:00"/>
    <s v="Eindhoven"/>
    <s v="Eindhoven Airport"/>
    <s v="Boeing 737-8AS"/>
    <d v="2026-07-17T00:00:00"/>
    <d v="1899-12-30T19:05:00"/>
    <d v="1899-12-30T00:45:00"/>
    <x v="0"/>
  </r>
  <r>
    <x v="10"/>
    <s v="Landed 19:31"/>
    <d v="2026-07-17T00:00:00"/>
    <d v="1899-12-30T19:31:00"/>
    <s v="Istanbul"/>
    <s v="Istanbul Airport"/>
    <s v="Airbus A321-271NX"/>
    <d v="2026-07-17T00:00:00"/>
    <d v="1899-12-30T19:30:00"/>
    <d v="1899-12-30T00:01:00"/>
    <x v="1"/>
  </r>
  <r>
    <x v="0"/>
    <s v="Landed 19:54"/>
    <d v="2026-07-17T00:00:00"/>
    <d v="1899-12-30T19:54:00"/>
    <s v="Amsterdam"/>
    <s v="Amsterdam Schiphol Airport"/>
    <s v="Airbus A220-300"/>
    <d v="2026-07-17T00:00:00"/>
    <d v="1899-12-30T19:50:00"/>
    <d v="1899-12-30T00:04:00"/>
    <x v="1"/>
  </r>
  <r>
    <x v="7"/>
    <s v="Landed 21:22"/>
    <d v="2026-07-17T00:00:00"/>
    <d v="1899-12-30T21:22:00"/>
    <s v="Helsinki"/>
    <s v="Helsinki Vantaa Airport"/>
    <s v="ATR 72-500"/>
    <d v="2026-07-17T00:00:00"/>
    <d v="1899-12-30T21:10:00"/>
    <d v="1899-12-30T00:12:00"/>
    <x v="1"/>
  </r>
  <r>
    <x v="0"/>
    <s v="Landed 23:16"/>
    <d v="2026-07-17T00:00:00"/>
    <d v="1899-12-30T23:16:00"/>
    <s v="Paris"/>
    <s v="Paris Charles de Gaulle Airport"/>
    <s v="Airbus A220-300"/>
    <d v="2026-07-17T00:00:00"/>
    <d v="1899-12-30T21:55:00"/>
    <d v="1899-12-30T01:21:00"/>
    <x v="0"/>
  </r>
  <r>
    <x v="2"/>
    <s v="Landed 22:26"/>
    <d v="2026-07-17T00:00:00"/>
    <d v="1899-12-30T22:26:00"/>
    <s v="Warsaw"/>
    <s v="Warsaw Chopin Airport"/>
    <s v="Embraer E195AR"/>
    <d v="2026-07-17T00:00:00"/>
    <d v="1899-12-30T22:20:00"/>
    <d v="1899-12-30T00:06:00"/>
    <x v="1"/>
  </r>
  <r>
    <x v="0"/>
    <s v="Landed 22:43"/>
    <d v="2026-07-17T00:00:00"/>
    <d v="1899-12-30T22:43:00"/>
    <s v="Munich"/>
    <s v="Munich Airport"/>
    <s v="Airbus A220-300"/>
    <d v="2026-07-17T00:00:00"/>
    <d v="1899-12-30T22:45:00"/>
    <d v="1899-12-30T00:02:00"/>
    <x v="1"/>
  </r>
  <r>
    <x v="17"/>
    <s v="Landed 00:05"/>
    <d v="2026-07-18T00:00:00"/>
    <d v="1899-12-30T00:05:00"/>
    <s v="Barcelona"/>
    <s v="Barcelona El Prat Airport"/>
    <s v="Airbus A320-232"/>
    <d v="2026-07-17T00:00:00"/>
    <d v="1899-12-30T23:05:00"/>
    <d v="1899-12-30T01:00:00"/>
    <x v="0"/>
  </r>
  <r>
    <x v="20"/>
    <s v="Landed 23:23"/>
    <d v="2026-07-17T00:00:00"/>
    <d v="1899-12-30T23:23:00"/>
    <s v="Antalya"/>
    <s v="Antalya Airport"/>
    <s v="Boeing 777-31H(ER)"/>
    <d v="2026-07-17T00:00:00"/>
    <d v="1899-12-30T23:10:00"/>
    <d v="1899-12-30T00:13:00"/>
    <x v="1"/>
  </r>
  <r>
    <x v="9"/>
    <s v="Landed 23:27"/>
    <d v="2026-07-17T00:00:00"/>
    <d v="1899-12-30T23:27:00"/>
    <s v="London"/>
    <s v="London Stansted Airport"/>
    <s v="Boeing 737 MAX 8-200"/>
    <d v="2026-07-17T00:00:00"/>
    <d v="1899-12-30T23:35:00"/>
    <d v="1899-12-30T00:08:00"/>
    <x v="1"/>
  </r>
  <r>
    <x v="11"/>
    <s v="Landed 23:57"/>
    <d v="2026-07-17T00:00:00"/>
    <d v="1899-12-30T23:57:00"/>
    <s v="Frankfurt"/>
    <s v="Frankfurt Airport"/>
    <s v="Airbus A321-271NX"/>
    <d v="2026-07-17T00:00:00"/>
    <d v="1899-12-30T23:35:00"/>
    <d v="1899-12-30T00:22:00"/>
    <x v="0"/>
  </r>
  <r>
    <x v="9"/>
    <s v="Delayed 00:23"/>
    <d v="2026-07-17T00:00:00"/>
    <e v="#N/A"/>
    <s v="Oslo"/>
    <s v="Oslo Gardermoen Airport"/>
    <s v="Boeing 737-8AS"/>
    <d v="2026-07-17T00:00:00"/>
    <d v="1899-12-30T23:50:00"/>
    <e v="#N/A"/>
    <x v="2"/>
  </r>
  <r>
    <x v="9"/>
    <s v="Landed 01:10"/>
    <d v="2026-07-18T00:00:00"/>
    <d v="1899-12-30T01:10:00"/>
    <s v="Milan"/>
    <s v="Milan Bergamo Orio al Serio International Airport"/>
    <s v="Boeing 737-8AS"/>
    <d v="2026-07-18T00:00:00"/>
    <d v="1899-12-30T00:10:00"/>
    <d v="1899-12-30T01:00:00"/>
    <x v="0"/>
  </r>
  <r>
    <x v="0"/>
    <s v="Landed 01:54"/>
    <d v="2026-07-18T00:00:00"/>
    <d v="1899-12-30T01:54:00"/>
    <s v="Riga"/>
    <s v="Riga International Airport"/>
    <s v="Airbus A220-300"/>
    <d v="2026-07-18T00:00:00"/>
    <d v="1899-12-30T00:30:00"/>
    <d v="1899-12-30T01:24:00"/>
    <x v="0"/>
  </r>
  <r>
    <x v="2"/>
    <s v="Landed 00:54"/>
    <d v="2026-07-18T00:00:00"/>
    <d v="1899-12-30T00:54:00"/>
    <s v="Warsaw"/>
    <s v="Warsaw Chopin Airport"/>
    <s v="Embraer E195-E2"/>
    <d v="2026-07-18T00:00:00"/>
    <d v="1899-12-30T00:40:00"/>
    <d v="1899-12-30T00:14:00"/>
    <x v="1"/>
  </r>
  <r>
    <x v="1"/>
    <s v="Landed 00:33"/>
    <d v="2026-07-18T00:00:00"/>
    <d v="1899-12-30T00:33:00"/>
    <s v="Reykjavik"/>
    <s v="Keflavik International Airport"/>
    <s v="Airbus A321-271NX"/>
    <d v="2026-07-18T00:00:00"/>
    <d v="1899-12-30T00:40:00"/>
    <d v="1899-12-30T00:07:00"/>
    <x v="1"/>
  </r>
  <r>
    <x v="1"/>
    <s v="Landed 00:40"/>
    <d v="2026-07-18T00:00:00"/>
    <d v="1899-12-30T00:40:00"/>
    <s v="Larnaca"/>
    <s v="Larnaca International Airport"/>
    <s v="Airbus A321-271NX"/>
    <d v="2026-07-18T00:00:00"/>
    <d v="1899-12-30T01:05:00"/>
    <d v="1899-12-30T00:25:00"/>
    <x v="0"/>
  </r>
  <r>
    <x v="1"/>
    <s v="Landed 01:47"/>
    <d v="2026-07-18T00:00:00"/>
    <d v="1899-12-30T01:47:00"/>
    <s v="Milan"/>
    <s v="Milan Malpensa Airport"/>
    <s v="Airbus A321-271NX"/>
    <d v="2026-07-18T00:00:00"/>
    <d v="1899-12-30T01:20:00"/>
    <d v="1899-12-30T00:27:00"/>
    <x v="0"/>
  </r>
  <r>
    <x v="0"/>
    <s v="Landed 02:10"/>
    <d v="2026-07-18T00:00:00"/>
    <d v="1899-12-30T02:10:00"/>
    <s v="Zurich"/>
    <s v="Zurich Airport"/>
    <s v="Airbus A220-300"/>
    <d v="2026-07-18T00:00:00"/>
    <d v="1899-12-30T01:25:00"/>
    <d v="1899-12-30T00:45:00"/>
    <x v="0"/>
  </r>
  <r>
    <x v="23"/>
    <s v="Landed 01:19"/>
    <d v="2026-07-18T00:00:00"/>
    <d v="1899-12-30T01:19:00"/>
    <s v="Copenhagen"/>
    <s v="Copenhagen Airport"/>
    <s v="Mitsubishi CRJ-900LR"/>
    <d v="2026-07-18T00:00:00"/>
    <d v="1899-12-30T01:25:00"/>
    <d v="1899-12-30T00:06:00"/>
    <x v="1"/>
  </r>
  <r>
    <x v="4"/>
    <s v="Landed 03:26"/>
    <d v="2026-07-18T00:00:00"/>
    <d v="1899-12-30T03:26:00"/>
    <s v="Sharm el-Sheikh"/>
    <s v="Sharm el-Sheikh International Airport"/>
    <s v="Boeing 737-8Z0"/>
    <d v="2026-07-18T00:00:00"/>
    <d v="1899-12-30T03:19:00"/>
    <d v="1899-12-30T00:07:00"/>
    <x v="1"/>
  </r>
  <r>
    <x v="10"/>
    <s v="Unknown"/>
    <d v="2026-07-18T00:00:00"/>
    <e v="#N/A"/>
    <s v="Istanbul"/>
    <s v="Istanbul Airport"/>
    <s v="N/A"/>
    <d v="2026-07-18T00:00:00"/>
    <d v="1899-12-30T07:35:00"/>
    <e v="#N/A"/>
    <x v="2"/>
  </r>
  <r>
    <x v="0"/>
    <s v="Landed 08:31"/>
    <d v="2026-07-18T00:00:00"/>
    <d v="1899-12-30T08:31:00"/>
    <s v="Riga"/>
    <s v="Riga International Airport"/>
    <s v="Airbus A220-300"/>
    <d v="2026-07-18T00:00:00"/>
    <d v="1899-12-30T08:40:00"/>
    <d v="1899-12-30T00:09:00"/>
    <x v="1"/>
  </r>
  <r>
    <x v="7"/>
    <s v="Landed 09:39"/>
    <d v="2026-07-18T00:00:00"/>
    <d v="1899-12-30T09:39:00"/>
    <s v="Helsinki"/>
    <s v="Helsinki Vantaa Airport"/>
    <s v="ATR 72-500"/>
    <d v="2026-07-18T00:00:00"/>
    <d v="1899-12-30T09:20:00"/>
    <d v="1899-12-30T00:19:00"/>
    <x v="0"/>
  </r>
  <r>
    <x v="1"/>
    <s v="Landed 08:53"/>
    <d v="2026-07-18T00:00:00"/>
    <d v="1899-12-30T08:53:00"/>
    <s v="Tallinn"/>
    <s v="Tallinn Lennart Meri Airport"/>
    <s v="Airbus A321-271NX"/>
    <d v="2026-07-18T00:00:00"/>
    <d v="1899-12-30T09:20:00"/>
    <d v="1899-12-30T00:27:00"/>
    <x v="0"/>
  </r>
  <r>
    <x v="14"/>
    <s v="Landed 09:48"/>
    <d v="2026-07-18T00:00:00"/>
    <d v="1899-12-30T09:48:00"/>
    <s v="Oslo"/>
    <s v="Oslo Gardermoen Airport"/>
    <s v="Boeing 737 MAX 8"/>
    <d v="2026-07-18T00:00:00"/>
    <d v="1899-12-30T09:40:00"/>
    <d v="1899-12-30T00:08:00"/>
    <x v="1"/>
  </r>
  <r>
    <x v="9"/>
    <s v="Landed 10:12"/>
    <d v="2026-07-18T00:00:00"/>
    <d v="1899-12-30T10:12:00"/>
    <s v="Oslo"/>
    <s v="Oslo Gardermoen Airport"/>
    <s v="Boeing 737-8AS"/>
    <d v="2026-07-18T00:00:00"/>
    <d v="1899-12-30T09:55:00"/>
    <d v="1899-12-30T00:17:00"/>
    <x v="0"/>
  </r>
  <r>
    <x v="2"/>
    <s v="Landed 10:04"/>
    <d v="2026-07-18T00:00:00"/>
    <d v="1899-12-30T10:04:00"/>
    <s v="Warsaw"/>
    <s v="Warsaw Chopin Airport"/>
    <s v="Embraer E190AR"/>
    <d v="2026-07-18T00:00:00"/>
    <d v="1899-12-30T10:05:00"/>
    <d v="1899-12-30T00:01:00"/>
    <x v="1"/>
  </r>
  <r>
    <x v="9"/>
    <s v="Landed 09:54"/>
    <d v="2026-07-18T00:00:00"/>
    <d v="1899-12-30T09:54:00"/>
    <s v="Barcelona"/>
    <s v="Barcelona El Prat Airport"/>
    <s v="Boeing 737-8AS"/>
    <d v="2026-07-18T00:00:00"/>
    <d v="1899-12-30T10:15:00"/>
    <d v="1899-12-30T00:21:00"/>
    <x v="0"/>
  </r>
  <r>
    <x v="10"/>
    <s v="Landed 10:27"/>
    <d v="2026-07-18T00:00:00"/>
    <d v="1899-12-30T10:27:00"/>
    <s v="Istanbul"/>
    <s v="Istanbul Airport"/>
    <s v="Boeing 737 MAX 8"/>
    <d v="2026-07-18T00:00:00"/>
    <d v="1899-12-30T10:45:00"/>
    <d v="1899-12-30T00:18:00"/>
    <x v="0"/>
  </r>
  <r>
    <x v="9"/>
    <s v="Landed 11:22"/>
    <d v="2026-07-18T00:00:00"/>
    <d v="1899-12-30T11:22:00"/>
    <s v="Nuremberg"/>
    <s v="Nuremberg Airport"/>
    <s v="Boeing 737-8AS"/>
    <d v="2026-07-18T00:00:00"/>
    <d v="1899-12-30T11:00:00"/>
    <d v="1899-12-30T00:22:00"/>
    <x v="0"/>
  </r>
  <r>
    <x v="9"/>
    <s v="Landed 10:44"/>
    <d v="2026-07-18T00:00:00"/>
    <d v="1899-12-30T10:44:00"/>
    <s v="Berlin"/>
    <s v="Berlin Brandenburg Airport"/>
    <s v="Boeing 737-8AS"/>
    <d v="2026-07-18T00:00:00"/>
    <d v="1899-12-30T11:05:00"/>
    <d v="1899-12-30T00:21:00"/>
    <x v="0"/>
  </r>
  <r>
    <x v="1"/>
    <s v="Landed 11:18"/>
    <d v="2026-07-18T00:00:00"/>
    <d v="1899-12-30T11:18:00"/>
    <s v="Catania"/>
    <s v="Catania Fontanarossa Airport"/>
    <s v="Airbus A321-271NX"/>
    <d v="2026-07-18T00:00:00"/>
    <d v="1899-12-30T11:35:00"/>
    <d v="1899-12-30T00:17:00"/>
    <x v="0"/>
  </r>
  <r>
    <x v="0"/>
    <s v="Landed 11:54"/>
    <d v="2026-07-18T00:00:00"/>
    <d v="1899-12-30T11:54:00"/>
    <s v="Munich"/>
    <s v="Munich Airport"/>
    <s v="Airbus A220-300"/>
    <d v="2026-07-18T00:00:00"/>
    <d v="1899-12-30T12:00:00"/>
    <d v="1899-12-30T00:06:00"/>
    <x v="1"/>
  </r>
  <r>
    <x v="11"/>
    <s v="Landed 12:41"/>
    <d v="2026-07-18T00:00:00"/>
    <d v="1899-12-30T12:41:00"/>
    <s v="Frankfurt"/>
    <s v="Frankfurt Airport"/>
    <s v="Airbus A321-131"/>
    <d v="2026-07-18T00:00:00"/>
    <d v="1899-12-30T12:40:00"/>
    <d v="1899-12-30T00:01:00"/>
    <x v="1"/>
  </r>
  <r>
    <x v="13"/>
    <s v="Landed 12:37"/>
    <d v="2026-07-18T00:00:00"/>
    <d v="1899-12-30T12:37:00"/>
    <s v="Patras"/>
    <s v="Patras Araxos Airport"/>
    <s v="Boeing 737-83N"/>
    <d v="2026-07-18T00:00:00"/>
    <d v="1899-12-30T12:40:00"/>
    <d v="1899-12-30T00:03:00"/>
    <x v="1"/>
  </r>
  <r>
    <x v="7"/>
    <s v="Landed 13:01"/>
    <d v="2026-07-18T00:00:00"/>
    <d v="1899-12-30T13:01:00"/>
    <s v="Helsinki"/>
    <s v="Helsinki Vantaa Airport"/>
    <s v="ATR 72-500"/>
    <d v="2026-07-18T00:00:00"/>
    <d v="1899-12-30T13:00:00"/>
    <d v="1899-12-30T00:01:00"/>
    <x v="1"/>
  </r>
  <r>
    <x v="12"/>
    <s v="Landed 13:03"/>
    <d v="2026-07-18T00:00:00"/>
    <d v="1899-12-30T13:03:00"/>
    <s v="Antalya"/>
    <s v="Antalya Airport"/>
    <s v="Airbus A320-232"/>
    <d v="2026-07-18T00:00:00"/>
    <d v="1899-12-30T13:02:00"/>
    <d v="1899-12-30T00:01:00"/>
    <x v="1"/>
  </r>
  <r>
    <x v="13"/>
    <s v="Landed 12:47"/>
    <d v="2026-07-18T00:00:00"/>
    <d v="1899-12-30T12:47:00"/>
    <s v="Antalya"/>
    <s v="Antalya Airport"/>
    <s v="Boeing 737-85P"/>
    <d v="2026-07-18T00:00:00"/>
    <d v="1899-12-30T13:13:00"/>
    <d v="1899-12-30T00:26:00"/>
    <x v="0"/>
  </r>
  <r>
    <x v="0"/>
    <s v="Landed 13:40"/>
    <d v="2026-07-18T00:00:00"/>
    <d v="1899-12-30T13:40:00"/>
    <s v="Amsterdam"/>
    <s v="Amsterdam Schiphol Airport"/>
    <s v="Airbus A220-300"/>
    <d v="2026-07-18T00:00:00"/>
    <d v="1899-12-30T13:25:00"/>
    <d v="1899-12-30T00:15:00"/>
    <x v="1"/>
  </r>
  <r>
    <x v="9"/>
    <s v="Landed 12:56"/>
    <d v="2026-07-18T00:00:00"/>
    <d v="1899-12-30T12:56:00"/>
    <s v="London"/>
    <s v="London Luton Airport"/>
    <s v="Boeing 737 MAX 8-200"/>
    <d v="2026-07-18T00:00:00"/>
    <d v="1899-12-30T13:25:00"/>
    <d v="1899-12-30T00:29:00"/>
    <x v="0"/>
  </r>
  <r>
    <x v="9"/>
    <s v="Landed 13:19"/>
    <d v="2026-07-18T00:00:00"/>
    <d v="1899-12-30T13:19:00"/>
    <s v="Rome"/>
    <s v="Rome Ciampino Airport"/>
    <s v="Boeing 737 MAX 8-200"/>
    <d v="2026-07-18T00:00:00"/>
    <d v="1899-12-30T13:40:00"/>
    <d v="1899-12-30T00:21:00"/>
    <x v="0"/>
  </r>
  <r>
    <x v="17"/>
    <s v="Landed 13:26"/>
    <d v="2026-07-18T00:00:00"/>
    <d v="1899-12-30T13:26:00"/>
    <s v="Antalya"/>
    <s v="Antalya Airport"/>
    <s v="Airbus A320-232"/>
    <d v="2026-07-18T00:00:00"/>
    <d v="1899-12-30T13:40:00"/>
    <d v="1899-12-30T00:14:00"/>
    <x v="1"/>
  </r>
  <r>
    <x v="2"/>
    <s v="Landed 13:54"/>
    <d v="2026-07-18T00:00:00"/>
    <d v="1899-12-30T13:54:00"/>
    <s v="Warsaw"/>
    <s v="Warsaw Chopin Airport"/>
    <s v="Embraer E190STD"/>
    <d v="2026-07-18T00:00:00"/>
    <d v="1899-12-30T13:50:00"/>
    <d v="1899-12-30T00:04:00"/>
    <x v="1"/>
  </r>
  <r>
    <x v="1"/>
    <s v="Landed 13:59"/>
    <d v="2026-07-18T00:00:00"/>
    <d v="1899-12-30T13:59:00"/>
    <s v="Billund"/>
    <s v="Billund Airport"/>
    <s v="Airbus A321-271NX"/>
    <d v="2026-07-18T00:00:00"/>
    <d v="1899-12-30T14:10:00"/>
    <d v="1899-12-30T00:11:00"/>
    <x v="1"/>
  </r>
  <r>
    <x v="9"/>
    <s v="Landed 14:42"/>
    <d v="2026-07-18T00:00:00"/>
    <d v="1899-12-30T14:42:00"/>
    <s v="Oslo"/>
    <s v="Oslo Gardermoen Airport"/>
    <s v="Boeing 737-8AS"/>
    <d v="2026-07-18T00:00:00"/>
    <d v="1899-12-30T14:30:00"/>
    <d v="1899-12-30T00:12:00"/>
    <x v="1"/>
  </r>
  <r>
    <x v="0"/>
    <s v="Landed 16:07"/>
    <d v="2026-07-18T00:00:00"/>
    <d v="1899-12-30T16:07:00"/>
    <s v="Riga"/>
    <s v="Riga International Airport"/>
    <s v="Airbus A220-300"/>
    <d v="2026-07-18T00:00:00"/>
    <d v="1899-12-30T14:35:00"/>
    <d v="1899-12-30T01:32:00"/>
    <x v="0"/>
  </r>
  <r>
    <x v="1"/>
    <s v="Landed 14:19"/>
    <d v="2026-07-18T00:00:00"/>
    <d v="1899-12-30T14:19:00"/>
    <s v="Kutaisi"/>
    <s v="Kutaisi International Airport"/>
    <s v="Airbus A321-271NX"/>
    <d v="2026-07-18T00:00:00"/>
    <d v="1899-12-30T14:35:00"/>
    <d v="1899-12-30T00:16:00"/>
    <x v="0"/>
  </r>
  <r>
    <x v="3"/>
    <s v="Landed 15:13"/>
    <d v="2026-07-18T00:00:00"/>
    <d v="1899-12-30T15:13:00"/>
    <s v="Copenhagen"/>
    <s v="Copenhagen Airport"/>
    <s v="Mitsubishi CRJ-900LR"/>
    <d v="2026-07-18T00:00:00"/>
    <d v="1899-12-30T15:15:00"/>
    <d v="1899-12-30T00:02:00"/>
    <x v="1"/>
  </r>
  <r>
    <x v="9"/>
    <s v="Landed 15:12"/>
    <d v="2026-07-18T00:00:00"/>
    <d v="1899-12-30T15:12:00"/>
    <s v="Venice"/>
    <s v="Venice Treviso Airport"/>
    <s v="Boeing 737-8AS"/>
    <d v="2026-07-18T00:00:00"/>
    <d v="1899-12-30T15:25:00"/>
    <d v="1899-12-30T00:13:00"/>
    <x v="1"/>
  </r>
  <r>
    <x v="13"/>
    <s v="Landed 15:45"/>
    <d v="2026-07-18T00:00:00"/>
    <d v="1899-12-30T15:45:00"/>
    <s v="Zurich"/>
    <s v="Zurich Airport"/>
    <s v="Airbus A320-214"/>
    <d v="2026-07-18T00:00:00"/>
    <d v="1899-12-30T15:41:00"/>
    <d v="1899-12-30T00:04:00"/>
    <x v="1"/>
  </r>
  <r>
    <x v="2"/>
    <s v="Landed 16:25"/>
    <d v="2026-07-18T00:00:00"/>
    <d v="1899-12-30T16:25:00"/>
    <s v="Warsaw"/>
    <s v="Warsaw Chopin Airport"/>
    <s v="Embraer E195LR"/>
    <d v="2026-07-18T00:00:00"/>
    <d v="1899-12-30T16:20:00"/>
    <d v="1899-12-30T00:05:00"/>
    <x v="1"/>
  </r>
  <r>
    <x v="9"/>
    <s v="Landed 16:39"/>
    <d v="2026-07-18T00:00:00"/>
    <d v="1899-12-30T16:39:00"/>
    <s v="London"/>
    <s v="London Stansted Airport"/>
    <s v="Boeing 737-8AS"/>
    <d v="2026-07-18T00:00:00"/>
    <d v="1899-12-30T16:35:00"/>
    <d v="1899-12-30T00:04:00"/>
    <x v="1"/>
  </r>
  <r>
    <x v="9"/>
    <s v="Landed 18:28"/>
    <d v="2026-07-18T00:00:00"/>
    <d v="1899-12-30T18:28:00"/>
    <s v="Milan"/>
    <s v="Milan Bergamo Orio al Serio International Airport"/>
    <s v="Boeing 737-8AS"/>
    <d v="2026-07-18T00:00:00"/>
    <d v="1899-12-30T16:55:00"/>
    <d v="1899-12-30T01:33:00"/>
    <x v="0"/>
  </r>
  <r>
    <x v="1"/>
    <s v="Landed 16:47"/>
    <d v="2026-07-18T00:00:00"/>
    <d v="1899-12-30T16:47:00"/>
    <s v="Gdansk"/>
    <s v="Gdansk Lech Walesa Airport"/>
    <s v="Airbus A321-231"/>
    <d v="2026-07-18T00:00:00"/>
    <d v="1899-12-30T17:00:00"/>
    <d v="1899-12-30T00:13:00"/>
    <x v="1"/>
  </r>
  <r>
    <x v="7"/>
    <s v="Landed 18:12"/>
    <d v="2026-07-18T00:00:00"/>
    <d v="1899-12-30T18:12:00"/>
    <s v="Helsinki"/>
    <s v="Helsinki Vantaa Airport"/>
    <s v="ATR 72-500"/>
    <d v="2026-07-18T00:00:00"/>
    <d v="1899-12-30T17:55:00"/>
    <d v="1899-12-30T00:17:00"/>
    <x v="0"/>
  </r>
  <r>
    <x v="1"/>
    <s v="Landed 17:53"/>
    <d v="2026-07-18T00:00:00"/>
    <d v="1899-12-30T17:53:00"/>
    <s v="Tirana"/>
    <s v="Tirana International Airport"/>
    <s v="Airbus A321-271NX"/>
    <d v="2026-07-18T00:00:00"/>
    <d v="1899-12-30T18:05:00"/>
    <d v="1899-12-30T00:12:00"/>
    <x v="1"/>
  </r>
  <r>
    <x v="38"/>
    <s v="Unknown"/>
    <d v="2026-07-18T00:00:00"/>
    <e v="#N/A"/>
    <s v="Cologne"/>
    <s v="Cologne Bonn Airport"/>
    <s v="Cessna Citation CJ2"/>
    <d v="2026-07-18T00:00:00"/>
    <d v="1899-12-30T18:19:00"/>
    <e v="#N/A"/>
    <x v="2"/>
  </r>
  <r>
    <x v="2"/>
    <s v="Landed 18:35"/>
    <d v="2026-07-18T00:00:00"/>
    <d v="1899-12-30T18:35:00"/>
    <s v="Warsaw"/>
    <s v="Warsaw Chopin Airport"/>
    <s v="Embraer E175STD"/>
    <d v="2026-07-18T00:00:00"/>
    <d v="1899-12-30T18:35:00"/>
    <d v="1899-12-30T00:00:00"/>
    <x v="1"/>
  </r>
  <r>
    <x v="10"/>
    <s v="Landed 19:18"/>
    <d v="2026-07-18T00:00:00"/>
    <d v="1899-12-30T19:18:00"/>
    <s v="Istanbul"/>
    <s v="Istanbul Airport"/>
    <s v="Boeing 737-9F2(ER)"/>
    <d v="2026-07-18T00:00:00"/>
    <d v="1899-12-30T19:30:00"/>
    <d v="1899-12-30T00:12:00"/>
    <x v="1"/>
  </r>
  <r>
    <x v="0"/>
    <s v="Landed 20:07"/>
    <d v="2026-07-18T00:00:00"/>
    <d v="1899-12-30T20:07:00"/>
    <s v="Amsterdam"/>
    <s v="Amsterdam Schiphol Airport"/>
    <s v="Airbus A220-300"/>
    <d v="2026-07-18T00:00:00"/>
    <d v="1899-12-30T19:50:00"/>
    <d v="1899-12-30T00:17:00"/>
    <x v="0"/>
  </r>
  <r>
    <x v="1"/>
    <s v="Landed 20:24"/>
    <d v="2026-07-18T00:00:00"/>
    <d v="1899-12-30T20:24:00"/>
    <s v="Dortmund"/>
    <s v="Dortmund Airport"/>
    <s v="Airbus A321-271NX"/>
    <d v="2026-07-18T00:00:00"/>
    <d v="1899-12-30T20:15:00"/>
    <d v="1899-12-30T00:09:00"/>
    <x v="1"/>
  </r>
  <r>
    <x v="0"/>
    <s v="Landed 23:22"/>
    <d v="2026-07-18T00:00:00"/>
    <d v="1899-12-30T23:22:00"/>
    <s v="Riga"/>
    <s v="Riga International Airport"/>
    <s v="Airbus A220-300"/>
    <d v="2026-07-18T00:00:00"/>
    <d v="1899-12-30T20:50:00"/>
    <d v="1899-12-30T02:32:00"/>
    <x v="0"/>
  </r>
  <r>
    <x v="7"/>
    <s v="Landed 21:41"/>
    <d v="2026-07-18T00:00:00"/>
    <d v="1899-12-30T21:41:00"/>
    <s v="Helsinki"/>
    <s v="Helsinki Vantaa Airport"/>
    <s v="ATR 72-500"/>
    <d v="2026-07-18T00:00:00"/>
    <d v="1899-12-30T21:10:00"/>
    <d v="1899-12-30T00:31:00"/>
    <x v="0"/>
  </r>
  <r>
    <x v="12"/>
    <s v="Landed 21:42"/>
    <d v="2026-07-18T00:00:00"/>
    <d v="1899-12-30T21:42:00"/>
    <s v="Heraklion"/>
    <s v="Heraklion International Airport"/>
    <s v="Airbus A320-232"/>
    <d v="2026-07-18T00:00:00"/>
    <d v="1899-12-30T21:34:00"/>
    <d v="1899-12-30T00:08:00"/>
    <x v="1"/>
  </r>
  <r>
    <x v="9"/>
    <s v="Landed 23:01"/>
    <d v="2026-07-18T00:00:00"/>
    <d v="1899-12-30T23:01:00"/>
    <s v="Vienna"/>
    <s v="Vienna International Airport"/>
    <s v="Boeing 737-8AS"/>
    <d v="2026-07-18T00:00:00"/>
    <d v="1899-12-30T21:50:00"/>
    <d v="1899-12-30T01:11:00"/>
    <x v="0"/>
  </r>
  <r>
    <x v="13"/>
    <s v="Landed 21:59"/>
    <d v="2026-07-18T00:00:00"/>
    <d v="1899-12-30T21:59:00"/>
    <s v="Heraklion"/>
    <s v="Heraklion International Airport"/>
    <s v="Boeing 737-83N"/>
    <d v="2026-07-18T00:00:00"/>
    <d v="1899-12-30T21:50:00"/>
    <d v="1899-12-30T00:09:00"/>
    <x v="1"/>
  </r>
  <r>
    <x v="9"/>
    <s v="Landed 21:49"/>
    <d v="2026-07-18T00:00:00"/>
    <d v="1899-12-30T21:49:00"/>
    <s v="Athens"/>
    <s v="Athens Eleftherios Venizelos"/>
    <s v="Boeing 737-8AS"/>
    <d v="2026-07-18T00:00:00"/>
    <d v="1899-12-30T21:55:00"/>
    <d v="1899-12-30T00:06:00"/>
    <x v="1"/>
  </r>
  <r>
    <x v="17"/>
    <s v="Landed 22:17"/>
    <d v="2026-07-18T00:00:00"/>
    <d v="1899-12-30T22:17:00"/>
    <s v="Heraklion"/>
    <s v="Heraklion International Airport"/>
    <s v="Airbus A320-232"/>
    <d v="2026-07-18T00:00:00"/>
    <d v="1899-12-30T22:10:00"/>
    <d v="1899-12-30T00:07:00"/>
    <x v="1"/>
  </r>
  <r>
    <x v="13"/>
    <s v="Landed 22:30"/>
    <d v="2026-07-18T00:00:00"/>
    <d v="1899-12-30T22:30:00"/>
    <s v="Rhodes"/>
    <s v="Rhodes International Airport"/>
    <s v="Boeing 737-85P"/>
    <d v="2026-07-18T00:00:00"/>
    <d v="1899-12-30T22:45:00"/>
    <d v="1899-12-30T00:15:00"/>
    <x v="1"/>
  </r>
  <r>
    <x v="11"/>
    <s v="Landed 23:51"/>
    <d v="2026-07-18T00:00:00"/>
    <d v="1899-12-30T23:51:00"/>
    <s v="Frankfurt"/>
    <s v="Frankfurt Airport"/>
    <s v="Airbus A321-271NX"/>
    <d v="2026-07-18T00:00:00"/>
    <d v="1899-12-30T23:45:00"/>
    <d v="1899-12-30T00:06:00"/>
    <x v="1"/>
  </r>
  <r>
    <x v="1"/>
    <s v="Landed 23:37"/>
    <d v="2026-07-18T00:00:00"/>
    <d v="1899-12-30T23:37:00"/>
    <s v="Bergen"/>
    <s v="Bergen Flesland Airport"/>
    <s v="Airbus A321-271NX"/>
    <d v="2026-07-18T00:00:00"/>
    <d v="1899-12-30T23:55:00"/>
    <d v="1899-12-30T00:18:00"/>
    <x v="0"/>
  </r>
  <r>
    <x v="1"/>
    <s v="Landed 00:06"/>
    <d v="2026-07-19T00:00:00"/>
    <d v="1899-12-30T00:06:00"/>
    <s v="Turku"/>
    <s v="Turku Airport"/>
    <s v="Airbus A321-271NX"/>
    <d v="2026-07-19T00:00:00"/>
    <d v="1899-12-30T00:15:00"/>
    <d v="1899-12-30T00:09:00"/>
    <x v="1"/>
  </r>
  <r>
    <x v="0"/>
    <s v="Landed 01:36"/>
    <d v="2026-07-19T00:00:00"/>
    <d v="1899-12-30T01:36:00"/>
    <s v="Riga"/>
    <s v="Riga International Airport"/>
    <s v="Airbus A220-300"/>
    <d v="2026-07-19T00:00:00"/>
    <d v="1899-12-30T00:30:00"/>
    <d v="1899-12-30T01:06:00"/>
    <x v="0"/>
  </r>
  <r>
    <x v="1"/>
    <s v="Landed 00:33"/>
    <d v="2026-07-19T00:00:00"/>
    <d v="1899-12-30T00:33:00"/>
    <s v="Barcelona"/>
    <s v="Barcelona El Prat Airport"/>
    <s v="Airbus A321-271NX"/>
    <d v="2026-07-19T00:00:00"/>
    <d v="1899-12-30T00:30:00"/>
    <d v="1899-12-30T00:03:00"/>
    <x v="1"/>
  </r>
  <r>
    <x v="2"/>
    <s v="Landed 00:56"/>
    <d v="2026-07-19T00:00:00"/>
    <d v="1899-12-30T00:56:00"/>
    <s v="Warsaw"/>
    <s v="Warsaw Chopin Airport"/>
    <s v="Embraer E195-E2"/>
    <d v="2026-07-19T00:00:00"/>
    <d v="1899-12-30T00:40:00"/>
    <d v="1899-12-30T00:16:00"/>
    <x v="0"/>
  </r>
  <r>
    <x v="0"/>
    <s v="Landed 01:13"/>
    <d v="2026-07-19T00:00:00"/>
    <d v="1899-12-30T01:13:00"/>
    <s v="Zurich"/>
    <s v="Zurich Airport"/>
    <s v="Airbus A220-300"/>
    <d v="2026-07-19T00:00:00"/>
    <d v="1899-12-30T01:25:00"/>
    <d v="1899-12-30T00:12:00"/>
    <x v="1"/>
  </r>
  <r>
    <x v="23"/>
    <s v="Landed 01:16"/>
    <d v="2026-07-19T00:00:00"/>
    <d v="1899-12-30T01:16:00"/>
    <s v="Copenhagen"/>
    <s v="Copenhagen Airport"/>
    <s v="Mitsubishi CRJ-900LR"/>
    <d v="2026-07-19T00:00:00"/>
    <d v="1899-12-30T01:25:00"/>
    <d v="1899-12-30T00:09:00"/>
    <x v="1"/>
  </r>
  <r>
    <x v="21"/>
    <s v="Landed 02:14"/>
    <d v="2026-07-19T00:00:00"/>
    <d v="1899-12-30T02:14:00"/>
    <s v="Athens"/>
    <s v="Athens Eleftherios Venizelos"/>
    <s v="Airbus A320-271N"/>
    <d v="2026-07-19T00:00:00"/>
    <d v="1899-12-30T02:10:00"/>
    <d v="1899-12-30T00:04:00"/>
    <x v="1"/>
  </r>
  <r>
    <x v="0"/>
    <s v="Landed 03:09"/>
    <d v="2026-07-19T00:00:00"/>
    <d v="1899-12-30T03:09:00"/>
    <s v="Nice"/>
    <s v="Nice Cote d'Azur Airport"/>
    <s v="Airbus A220-300"/>
    <d v="2026-07-19T00:00:00"/>
    <d v="1899-12-30T02:50:00"/>
    <d v="1899-12-30T00:19:00"/>
    <x v="0"/>
  </r>
  <r>
    <x v="0"/>
    <s v="Landed 03:13"/>
    <d v="2026-07-19T00:00:00"/>
    <d v="1899-12-30T03:13:00"/>
    <s v="Lisbon"/>
    <s v="Lisbon Humberto Delgado Airport"/>
    <s v="Airbus A220-300"/>
    <d v="2026-07-19T00:00:00"/>
    <d v="1899-12-30T03:35:00"/>
    <d v="1899-12-30T00:22:00"/>
    <x v="0"/>
  </r>
  <r>
    <x v="7"/>
    <s v="Landed 07:55"/>
    <d v="2026-07-19T00:00:00"/>
    <d v="1899-12-30T07:55:00"/>
    <s v="Helsinki"/>
    <s v="Helsinki Vantaa Airport"/>
    <s v="Embraer E190LR"/>
    <d v="2026-07-19T00:00:00"/>
    <d v="1899-12-30T08:10:00"/>
    <d v="1899-12-30T00:15:00"/>
    <x v="1"/>
  </r>
  <r>
    <x v="1"/>
    <s v="Landed 15:28"/>
    <d v="2026-07-19T00:00:00"/>
    <d v="1899-12-30T15:28:00"/>
    <s v="Krakow"/>
    <s v="Krakow John Paul II International Airport"/>
    <s v="Airbus A321-271NX"/>
    <d v="2026-07-19T00:00:00"/>
    <d v="1899-12-30T08:50:00"/>
    <d v="1899-12-30T06:38:00"/>
    <x v="0"/>
  </r>
  <r>
    <x v="1"/>
    <s v="Landed 08:51"/>
    <d v="2026-07-19T00:00:00"/>
    <d v="1899-12-30T08:51:00"/>
    <s v="Tallinn"/>
    <s v="Tallinn Lennart Meri Airport"/>
    <s v="Airbus A321-271NX"/>
    <d v="2026-07-19T00:00:00"/>
    <d v="1899-12-30T09:20:00"/>
    <d v="1899-12-30T00:29:00"/>
    <x v="0"/>
  </r>
  <r>
    <x v="5"/>
    <s v="Landed 09:39"/>
    <d v="2026-07-19T00:00:00"/>
    <d v="1899-12-30T09:39:00"/>
    <s v="Tel Aviv"/>
    <s v="Tel Aviv Ben Gurion International Airport"/>
    <s v="Boeing 747-428F(ER)"/>
    <d v="2026-07-19T00:00:00"/>
    <d v="1899-12-30T09:50:00"/>
    <d v="1899-12-30T00:11:00"/>
    <x v="1"/>
  </r>
  <r>
    <x v="9"/>
    <s v="Landed 09:41"/>
    <d v="2026-07-19T00:00:00"/>
    <d v="1899-12-30T09:41:00"/>
    <s v="Malta"/>
    <s v="Malta Luqa International Airport"/>
    <s v="Boeing 737 MAX 8-200"/>
    <d v="2026-07-19T00:00:00"/>
    <d v="1899-12-30T10:00:00"/>
    <d v="1899-12-30T00:19:00"/>
    <x v="0"/>
  </r>
  <r>
    <x v="10"/>
    <s v="Landed 11:06"/>
    <d v="2026-07-19T00:00:00"/>
    <d v="1899-12-30T11:06:00"/>
    <s v="Istanbul"/>
    <s v="Istanbul Airport"/>
    <s v="Airbus A321-231"/>
    <d v="2026-07-19T00:00:00"/>
    <d v="1899-12-30T10:45:00"/>
    <d v="1899-12-30T00:21:00"/>
    <x v="0"/>
  </r>
  <r>
    <x v="14"/>
    <s v="Landed 11:11"/>
    <d v="2026-07-19T00:00:00"/>
    <d v="1899-12-30T11:11:00"/>
    <s v="Oslo"/>
    <s v="Oslo Gardermoen Airport"/>
    <s v="Boeing 737-8JP"/>
    <d v="2026-07-19T00:00:00"/>
    <d v="1899-12-30T11:25:00"/>
    <d v="1899-12-30T00:14:00"/>
    <x v="1"/>
  </r>
  <r>
    <x v="0"/>
    <s v="Landed 11:08"/>
    <d v="2026-07-19T00:00:00"/>
    <d v="1899-12-30T11:08:00"/>
    <s v="Prague"/>
    <s v="Prague Vaclav Havel Airport"/>
    <s v="Airbus A220-300"/>
    <d v="2026-07-19T00:00:00"/>
    <d v="1899-12-30T11:35:00"/>
    <d v="1899-12-30T00:27:00"/>
    <x v="0"/>
  </r>
  <r>
    <x v="9"/>
    <s v="Landed 11:18"/>
    <d v="2026-07-19T00:00:00"/>
    <d v="1899-12-30T11:18:00"/>
    <s v="Paris"/>
    <s v="Paris Beauvais-Tille Airport"/>
    <s v="Boeing 737-8AS"/>
    <d v="2026-07-19T00:00:00"/>
    <d v="1899-12-30T11:45:00"/>
    <d v="1899-12-30T00:27:00"/>
    <x v="0"/>
  </r>
  <r>
    <x v="1"/>
    <s v="Landed 11:23"/>
    <d v="2026-07-19T00:00:00"/>
    <d v="1899-12-30T11:23:00"/>
    <s v="Milan"/>
    <s v="Milan Malpensa Airport"/>
    <s v="Airbus A321-271NX"/>
    <d v="2026-07-19T00:00:00"/>
    <d v="1899-12-30T11:45:00"/>
    <d v="1899-12-30T00:22:00"/>
    <x v="0"/>
  </r>
  <r>
    <x v="9"/>
    <s v="Landed 11:45"/>
    <d v="2026-07-19T00:00:00"/>
    <d v="1899-12-30T11:45:00"/>
    <s v="Oslo"/>
    <s v="Oslo Gardermoen Airport"/>
    <s v="Boeing 737-8AS"/>
    <d v="2026-07-19T00:00:00"/>
    <d v="1899-12-30T12:10:00"/>
    <d v="1899-12-30T00:25:00"/>
    <x v="0"/>
  </r>
  <r>
    <x v="17"/>
    <s v="Landed 12:13"/>
    <d v="2026-07-19T00:00:00"/>
    <d v="1899-12-30T12:13:00"/>
    <s v="Tivat"/>
    <s v="Tivat Airport"/>
    <s v="Airbus A320-232"/>
    <d v="2026-07-19T00:00:00"/>
    <d v="1899-12-30T12:10:00"/>
    <d v="1899-12-30T00:03:00"/>
    <x v="1"/>
  </r>
  <r>
    <x v="15"/>
    <s v="Landed 12:48"/>
    <d v="2026-07-19T00:00:00"/>
    <d v="1899-12-30T12:48:00"/>
    <s v="Palanga"/>
    <s v="Palanga International Airport"/>
    <s v="Cirrus SR22T"/>
    <d v="2026-07-19T00:00:00"/>
    <d v="1899-12-30T12:15:00"/>
    <d v="1899-12-30T00:33:00"/>
    <x v="0"/>
  </r>
  <r>
    <x v="0"/>
    <s v="Landed 12:34"/>
    <d v="2026-07-19T00:00:00"/>
    <d v="1899-12-30T12:34:00"/>
    <s v="Dusseldorf"/>
    <s v="Dusseldorf Airport"/>
    <s v="Airbus A220-300"/>
    <d v="2026-07-19T00:00:00"/>
    <d v="1899-12-30T12:40:00"/>
    <d v="1899-12-30T00:06:00"/>
    <x v="1"/>
  </r>
  <r>
    <x v="11"/>
    <s v="Landed 12:42"/>
    <d v="2026-07-19T00:00:00"/>
    <d v="1899-12-30T12:42:00"/>
    <s v="Frankfurt"/>
    <s v="Frankfurt Airport"/>
    <s v="Airbus A321-131"/>
    <d v="2026-07-19T00:00:00"/>
    <d v="1899-12-30T12:40:00"/>
    <d v="1899-12-30T00:02:00"/>
    <x v="1"/>
  </r>
  <r>
    <x v="1"/>
    <s v="Landed 13:31"/>
    <d v="2026-07-19T00:00:00"/>
    <d v="1899-12-30T13:31:00"/>
    <s v="London"/>
    <s v="London Luton Airport"/>
    <s v="Airbus A321-271NX"/>
    <d v="2026-07-19T00:00:00"/>
    <d v="1899-12-30T12:50:00"/>
    <d v="1899-12-30T00:41:00"/>
    <x v="0"/>
  </r>
  <r>
    <x v="7"/>
    <s v="Landed 12:55"/>
    <d v="2026-07-19T00:00:00"/>
    <d v="1899-12-30T12:55:00"/>
    <s v="Helsinki"/>
    <s v="Helsinki Vantaa Airport"/>
    <s v="ATR 72-500"/>
    <d v="2026-07-19T00:00:00"/>
    <d v="1899-12-30T13:00:00"/>
    <d v="1899-12-30T00:05:00"/>
    <x v="1"/>
  </r>
  <r>
    <x v="6"/>
    <s v="Landed 12:51"/>
    <d v="2026-07-19T00:00:00"/>
    <d v="1899-12-30T12:51:00"/>
    <s v="Vienna"/>
    <s v="Vienna International Airport"/>
    <s v="Airbus A320-214"/>
    <d v="2026-07-19T00:00:00"/>
    <d v="1899-12-30T13:00:00"/>
    <d v="1899-12-30T00:09:00"/>
    <x v="1"/>
  </r>
  <r>
    <x v="12"/>
    <s v="Landed 13:02"/>
    <d v="2026-07-19T00:00:00"/>
    <d v="1899-12-30T13:02:00"/>
    <s v="Antalya"/>
    <s v="Antalya Airport"/>
    <s v="Airbus A320-232"/>
    <d v="2026-07-19T00:00:00"/>
    <d v="1899-12-30T13:00:00"/>
    <d v="1899-12-30T00:02:00"/>
    <x v="1"/>
  </r>
  <r>
    <x v="0"/>
    <s v="Landed 13:26"/>
    <d v="2026-07-19T00:00:00"/>
    <d v="1899-12-30T13:26:00"/>
    <s v="Amsterdam"/>
    <s v="Amsterdam Schiphol Airport"/>
    <s v="Airbus A220-300"/>
    <d v="2026-07-19T00:00:00"/>
    <d v="1899-12-30T13:25:00"/>
    <d v="1899-12-30T00:01:00"/>
    <x v="1"/>
  </r>
  <r>
    <x v="13"/>
    <s v="Landed 13:05"/>
    <d v="2026-07-19T00:00:00"/>
    <d v="1899-12-30T13:05:00"/>
    <s v="Antalya"/>
    <s v="Antalya Airport"/>
    <s v="Boeing 737-85P"/>
    <d v="2026-07-19T00:00:00"/>
    <d v="1899-12-30T13:27:00"/>
    <d v="1899-12-30T00:22:00"/>
    <x v="0"/>
  </r>
  <r>
    <x v="39"/>
    <s v="Landed 13:55"/>
    <d v="2026-07-19T00:00:00"/>
    <d v="1899-12-30T13:55:00"/>
    <s v="Rome"/>
    <s v="Rome Ciampino Airport"/>
    <s v="Cessna Citation III"/>
    <d v="2026-07-19T00:00:00"/>
    <d v="1899-12-30T13:36:00"/>
    <d v="1899-12-30T00:19:00"/>
    <x v="0"/>
  </r>
  <r>
    <x v="2"/>
    <s v="Landed 13:52"/>
    <d v="2026-07-19T00:00:00"/>
    <d v="1899-12-30T13:52:00"/>
    <s v="Warsaw"/>
    <s v="Warsaw Chopin Airport"/>
    <s v="Embraer E190STD"/>
    <d v="2026-07-19T00:00:00"/>
    <d v="1899-12-30T13:50:00"/>
    <d v="1899-12-30T00:02:00"/>
    <x v="1"/>
  </r>
  <r>
    <x v="1"/>
    <s v="Landed 14:05"/>
    <d v="2026-07-19T00:00:00"/>
    <d v="1899-12-30T14:05:00"/>
    <s v="Budapest"/>
    <s v="Budapest Ferenc Liszt International Airport"/>
    <s v="Airbus A321-271NX"/>
    <d v="2026-07-19T00:00:00"/>
    <d v="1899-12-30T14:10:00"/>
    <d v="1899-12-30T00:05:00"/>
    <x v="1"/>
  </r>
  <r>
    <x v="22"/>
    <s v="Landed 15:15"/>
    <d v="2026-07-19T00:00:00"/>
    <d v="1899-12-30T15:15:00"/>
    <s v="Vienna"/>
    <s v="Vienna International Airport"/>
    <s v="Airbus A320-214"/>
    <d v="2026-07-19T00:00:00"/>
    <d v="1899-12-30T15:10:00"/>
    <d v="1899-12-30T00:05:00"/>
    <x v="1"/>
  </r>
  <r>
    <x v="0"/>
    <s v="Landed 15:03"/>
    <d v="2026-07-19T00:00:00"/>
    <d v="1899-12-30T15:03:00"/>
    <s v="Riga"/>
    <s v="Riga International Airport"/>
    <s v="Airbus A220-300"/>
    <d v="2026-07-19T00:00:00"/>
    <d v="1899-12-30T15:15:00"/>
    <d v="1899-12-30T00:12:00"/>
    <x v="1"/>
  </r>
  <r>
    <x v="23"/>
    <s v="Landed 15:06"/>
    <d v="2026-07-19T00:00:00"/>
    <d v="1899-12-30T15:06:00"/>
    <s v="Copenhagen"/>
    <s v="Copenhagen Airport"/>
    <s v="Mitsubishi CRJ-900LR"/>
    <d v="2026-07-19T00:00:00"/>
    <d v="1899-12-30T15:15:00"/>
    <d v="1899-12-30T00:09:00"/>
    <x v="1"/>
  </r>
  <r>
    <x v="15"/>
    <s v="Landed 15:48"/>
    <d v="2026-07-19T00:00:00"/>
    <d v="1899-12-30T15:48:00"/>
    <s v="Palanga"/>
    <s v="Palanga International Airport"/>
    <s v="Cirrus SR22T"/>
    <d v="2026-07-19T00:00:00"/>
    <d v="1899-12-30T15:45:00"/>
    <d v="1899-12-30T00:03:00"/>
    <x v="1"/>
  </r>
  <r>
    <x v="9"/>
    <s v="Landed 17:37"/>
    <d v="2026-07-19T00:00:00"/>
    <d v="1899-12-30T17:37:00"/>
    <s v="Milan"/>
    <s v="Milan Bergamo Orio al Serio International Airport"/>
    <s v="Boeing 737-8AS"/>
    <d v="2026-07-19T00:00:00"/>
    <d v="1899-12-30T16:00:00"/>
    <d v="1899-12-30T01:37:00"/>
    <x v="0"/>
  </r>
  <r>
    <x v="2"/>
    <s v="Landed 16:28"/>
    <d v="2026-07-19T00:00:00"/>
    <d v="1899-12-30T16:28:00"/>
    <s v="Warsaw"/>
    <s v="Warsaw Chopin Airport"/>
    <s v="Embraer E195AR"/>
    <d v="2026-07-19T00:00:00"/>
    <d v="1899-12-30T16:20:00"/>
    <d v="1899-12-30T00:08:00"/>
    <x v="1"/>
  </r>
  <r>
    <x v="9"/>
    <s v="Landed 16:24"/>
    <d v="2026-07-19T00:00:00"/>
    <d v="1899-12-30T16:24:00"/>
    <s v="Berlin"/>
    <s v="Berlin Brandenburg Airport"/>
    <s v="Boeing 737-8AS"/>
    <d v="2026-07-19T00:00:00"/>
    <d v="1899-12-30T16:40:00"/>
    <d v="1899-12-30T00:16:00"/>
    <x v="0"/>
  </r>
  <r>
    <x v="9"/>
    <s v="Landed 16:19"/>
    <d v="2026-07-19T00:00:00"/>
    <d v="1899-12-30T16:19:00"/>
    <s v="Frankfurt"/>
    <s v="Frankfurt Hahn Airport"/>
    <s v="Boeing 737-8AS"/>
    <d v="2026-07-19T00:00:00"/>
    <d v="1899-12-30T16:50:00"/>
    <d v="1899-12-30T00:31:00"/>
    <x v="0"/>
  </r>
  <r>
    <x v="0"/>
    <s v="Landed 16:39"/>
    <d v="2026-07-19T00:00:00"/>
    <d v="1899-12-30T16:39:00"/>
    <s v="Hamburg"/>
    <s v="Hamburg Airport"/>
    <s v="Airbus A220-300"/>
    <d v="2026-07-19T00:00:00"/>
    <d v="1899-12-30T16:55:00"/>
    <d v="1899-12-30T00:16:00"/>
    <x v="0"/>
  </r>
  <r>
    <x v="14"/>
    <s v="Landed 17:06"/>
    <d v="2026-07-19T00:00:00"/>
    <d v="1899-12-30T17:06:00"/>
    <s v="Stockholm"/>
    <s v="Stockholm Arlanda Airport"/>
    <s v="Boeing 737-86N"/>
    <d v="2026-07-19T00:00:00"/>
    <d v="1899-12-30T17:05:00"/>
    <d v="1899-12-30T00:01:00"/>
    <x v="1"/>
  </r>
  <r>
    <x v="9"/>
    <s v="Landed 18:59"/>
    <d v="2026-07-19T00:00:00"/>
    <d v="1899-12-30T18:59:00"/>
    <s v="Venice"/>
    <s v="Venice Treviso Airport"/>
    <s v="Boeing 737-8AS"/>
    <d v="2026-07-19T00:00:00"/>
    <d v="1899-12-30T17:35:00"/>
    <d v="1899-12-30T01:24:00"/>
    <x v="0"/>
  </r>
  <r>
    <x v="7"/>
    <s v="Landed 17:50"/>
    <d v="2026-07-19T00:00:00"/>
    <d v="1899-12-30T17:50:00"/>
    <s v="Helsinki"/>
    <s v="Helsinki Vantaa Airport"/>
    <s v="ATR 72-500"/>
    <d v="2026-07-19T00:00:00"/>
    <d v="1899-12-30T17:50:00"/>
    <d v="1899-12-30T00:00:00"/>
    <x v="1"/>
  </r>
  <r>
    <x v="0"/>
    <s v="Landed 17:44"/>
    <d v="2026-07-19T00:00:00"/>
    <d v="1899-12-30T17:44:00"/>
    <s v="Brussels"/>
    <s v="Brussels Airport"/>
    <s v="Airbus A220-300"/>
    <d v="2026-07-19T00:00:00"/>
    <d v="1899-12-30T18:00:00"/>
    <d v="1899-12-30T00:16:00"/>
    <x v="0"/>
  </r>
  <r>
    <x v="2"/>
    <s v="Landed 18:40"/>
    <d v="2026-07-19T00:00:00"/>
    <d v="1899-12-30T18:40:00"/>
    <s v="Warsaw"/>
    <s v="Warsaw Chopin Airport"/>
    <s v="Embraer E190STD"/>
    <d v="2026-07-19T00:00:00"/>
    <d v="1899-12-30T18:35:00"/>
    <d v="1899-12-30T00:05:00"/>
    <x v="1"/>
  </r>
  <r>
    <x v="1"/>
    <s v="Landed 19:08"/>
    <d v="2026-07-19T00:00:00"/>
    <d v="1899-12-30T19:08:00"/>
    <s v="Dortmund"/>
    <s v="Dortmund Airport"/>
    <s v="Airbus A321-271NX"/>
    <d v="2026-07-19T00:00:00"/>
    <d v="1899-12-30T18:35:00"/>
    <d v="1899-12-30T00:33:00"/>
    <x v="0"/>
  </r>
  <r>
    <x v="1"/>
    <s v="Landed 18:30"/>
    <d v="2026-07-19T00:00:00"/>
    <d v="1899-12-30T18:30:00"/>
    <s v="Kutaisi"/>
    <s v="Kutaisi International Airport"/>
    <s v="Airbus A321-271NX"/>
    <d v="2026-07-19T00:00:00"/>
    <d v="1899-12-30T18:50:00"/>
    <d v="1899-12-30T00:20:00"/>
    <x v="0"/>
  </r>
  <r>
    <x v="0"/>
    <s v="Landed 18:44"/>
    <d v="2026-07-19T00:00:00"/>
    <d v="1899-12-30T18:44:00"/>
    <s v="Zurich"/>
    <s v="Zurich Airport"/>
    <s v="Airbus A220-300"/>
    <d v="2026-07-19T00:00:00"/>
    <d v="1899-12-30T19:05:00"/>
    <d v="1899-12-30T00:21:00"/>
    <x v="0"/>
  </r>
  <r>
    <x v="1"/>
    <s v="Landed 18:57"/>
    <d v="2026-07-19T00:00:00"/>
    <d v="1899-12-30T18:57:00"/>
    <s v="Gdansk"/>
    <s v="Gdansk Lech Walesa Airport"/>
    <s v="Airbus A321-231"/>
    <d v="2026-07-19T00:00:00"/>
    <d v="1899-12-30T19:10:00"/>
    <d v="1899-12-30T00:13:00"/>
    <x v="1"/>
  </r>
  <r>
    <x v="10"/>
    <s v="Landed 19:15"/>
    <d v="2026-07-19T00:00:00"/>
    <d v="1899-12-30T19:15:00"/>
    <s v="Istanbul"/>
    <s v="Istanbul Airport"/>
    <s v="Airbus A321-271NX"/>
    <d v="2026-07-19T00:00:00"/>
    <d v="1899-12-30T19:30:00"/>
    <d v="1899-12-30T00:15:00"/>
    <x v="1"/>
  </r>
  <r>
    <x v="0"/>
    <s v="Landed 19:36"/>
    <d v="2026-07-19T00:00:00"/>
    <d v="1899-12-30T19:36:00"/>
    <s v="Amsterdam"/>
    <s v="Amsterdam Schiphol Airport"/>
    <s v="Airbus A220-300"/>
    <d v="2026-07-19T00:00:00"/>
    <d v="1899-12-30T19:50:00"/>
    <d v="1899-12-30T00:14:00"/>
    <x v="1"/>
  </r>
  <r>
    <x v="12"/>
    <s v="Landed 20:05"/>
    <d v="2026-07-19T00:00:00"/>
    <d v="1899-12-30T20:05:00"/>
    <s v="Tivat"/>
    <s v="Tivat Airport"/>
    <s v="Airbus A320-232"/>
    <d v="2026-07-19T00:00:00"/>
    <d v="1899-12-30T20:03:00"/>
    <d v="1899-12-30T00:02:00"/>
    <x v="1"/>
  </r>
  <r>
    <x v="9"/>
    <s v="Landed 20:25"/>
    <d v="2026-07-19T00:00:00"/>
    <d v="1899-12-30T20:25:00"/>
    <s v="London"/>
    <s v="London Luton Airport"/>
    <s v="Boeing 737 MAX 8-200"/>
    <d v="2026-07-19T00:00:00"/>
    <d v="1899-12-30T20:20:00"/>
    <d v="1899-12-30T00:05:00"/>
    <x v="1"/>
  </r>
  <r>
    <x v="17"/>
    <s v="Landed 20:20"/>
    <d v="2026-07-19T00:00:00"/>
    <d v="1899-12-30T20:20:00"/>
    <s v="Burgas"/>
    <s v="Burgas Airport"/>
    <s v="Airbus A320-232"/>
    <d v="2026-07-19T00:00:00"/>
    <d v="1899-12-30T20:35:00"/>
    <d v="1899-12-30T00:15:00"/>
    <x v="1"/>
  </r>
  <r>
    <x v="13"/>
    <s v="Landed 20:44"/>
    <d v="2026-07-19T00:00:00"/>
    <d v="1899-12-30T20:44:00"/>
    <s v="Burgas"/>
    <s v="Burgas Airport"/>
    <s v="Boeing 737-85P"/>
    <d v="2026-07-19T00:00:00"/>
    <d v="1899-12-30T20:58:00"/>
    <d v="1899-12-30T00:14:00"/>
    <x v="1"/>
  </r>
  <r>
    <x v="7"/>
    <s v="Landed 21:27"/>
    <d v="2026-07-19T00:00:00"/>
    <d v="1899-12-30T21:27:00"/>
    <s v="Helsinki"/>
    <s v="Helsinki Vantaa Airport"/>
    <s v="ATR 72-500"/>
    <d v="2026-07-19T00:00:00"/>
    <d v="1899-12-30T21:10:00"/>
    <d v="1899-12-30T00:17:00"/>
    <x v="0"/>
  </r>
  <r>
    <x v="16"/>
    <s v="Landed 21:24"/>
    <d v="2026-07-19T00:00:00"/>
    <d v="1899-12-30T21:24:00"/>
    <s v="Tel Aviv"/>
    <s v="Tel Aviv Ben Gurion International Airport"/>
    <s v="Airbus A320-232"/>
    <d v="2026-07-19T00:00:00"/>
    <d v="1899-12-30T21:15:00"/>
    <d v="1899-12-30T00:09:00"/>
    <x v="1"/>
  </r>
  <r>
    <x v="13"/>
    <s v="Unknown"/>
    <d v="2026-07-19T00:00:00"/>
    <e v="#N/A"/>
    <s v="Stockholm"/>
    <s v="Stockholm Arlanda Airport"/>
    <s v="Boeing 737-8FE"/>
    <d v="2026-07-19T00:00:00"/>
    <d v="1899-12-30T21:22:00"/>
    <e v="#N/A"/>
    <x v="2"/>
  </r>
  <r>
    <x v="10"/>
    <s v="Unknown"/>
    <d v="2026-07-19T00:00:00"/>
    <e v="#N/A"/>
    <s v="Helsinki"/>
    <s v="Helsinki Vantaa Airport"/>
    <s v="N/A"/>
    <d v="2026-07-19T00:00:00"/>
    <d v="1899-12-30T21:25:00"/>
    <e v="#N/A"/>
    <x v="2"/>
  </r>
  <r>
    <x v="1"/>
    <s v="Landed 22:39"/>
    <d v="2026-07-19T00:00:00"/>
    <d v="1899-12-30T22:39:00"/>
    <s v="Nice"/>
    <s v="Nice Cote d'Azur Airport"/>
    <s v="Airbus A321-271NX"/>
    <d v="2026-07-19T00:00:00"/>
    <d v="1899-12-30T21:30:00"/>
    <d v="1899-12-30T01:09:00"/>
    <x v="0"/>
  </r>
  <r>
    <x v="13"/>
    <s v="Landed 22:05"/>
    <d v="2026-07-19T00:00:00"/>
    <d v="1899-12-30T22:05:00"/>
    <s v="Heraklion"/>
    <s v="Heraklion International Airport"/>
    <s v="Boeing 737-83N"/>
    <d v="2026-07-19T00:00:00"/>
    <d v="1899-12-30T22:04:00"/>
    <d v="1899-12-30T00:01:00"/>
    <x v="1"/>
  </r>
  <r>
    <x v="0"/>
    <s v="Landed 22:52"/>
    <d v="2026-07-19T00:00:00"/>
    <d v="1899-12-30T22:52:00"/>
    <s v="Tallinn"/>
    <s v="Tallinn Lennart Meri Airport"/>
    <s v="Airbus A220-300"/>
    <d v="2026-07-19T00:00:00"/>
    <d v="1899-12-30T22:20:00"/>
    <d v="1899-12-30T00:32:00"/>
    <x v="0"/>
  </r>
  <r>
    <x v="2"/>
    <s v="Landed 22:20"/>
    <d v="2026-07-19T00:00:00"/>
    <d v="1899-12-30T22:20:00"/>
    <s v="Warsaw"/>
    <s v="Warsaw Chopin Airport"/>
    <s v="Embraer E175STD"/>
    <d v="2026-07-19T00:00:00"/>
    <d v="1899-12-30T22:20:00"/>
    <d v="1899-12-30T00:00:00"/>
    <x v="1"/>
  </r>
  <r>
    <x v="0"/>
    <s v="Landed 00:42"/>
    <d v="2026-07-20T00:00:00"/>
    <d v="1899-12-30T00:42:00"/>
    <s v="Riga"/>
    <s v="Riga International Airport"/>
    <s v="Airbus A220-300"/>
    <d v="2026-07-19T00:00:00"/>
    <d v="1899-12-30T22:50:00"/>
    <d v="1899-12-30T01:52:00"/>
    <x v="0"/>
  </r>
  <r>
    <x v="9"/>
    <s v="Landed 22:49"/>
    <d v="2026-07-19T00:00:00"/>
    <d v="1899-12-30T22:49:00"/>
    <s v="London"/>
    <s v="London Stansted Airport"/>
    <s v="Boeing 737-8AS"/>
    <d v="2026-07-19T00:00:00"/>
    <d v="1899-12-30T23:00:00"/>
    <d v="1899-12-30T00:11:00"/>
    <x v="1"/>
  </r>
  <r>
    <x v="20"/>
    <s v="Landed 23:06"/>
    <d v="2026-07-19T00:00:00"/>
    <d v="1899-12-30T23:06:00"/>
    <s v="Antalya"/>
    <s v="Antalya Airport"/>
    <s v="Boeing 777-31H(ER)"/>
    <d v="2026-07-19T00:00:00"/>
    <d v="1899-12-30T23:06:00"/>
    <d v="1899-12-30T00:00:00"/>
    <x v="1"/>
  </r>
  <r>
    <x v="11"/>
    <s v="Landed 23:23"/>
    <d v="2026-07-19T00:00:00"/>
    <d v="1899-12-30T23:23:00"/>
    <s v="Frankfurt"/>
    <s v="Frankfurt Airport"/>
    <s v="Airbus A321-231"/>
    <d v="2026-07-19T00:00:00"/>
    <d v="1899-12-30T23:30:00"/>
    <d v="1899-12-30T00:07:00"/>
    <x v="1"/>
  </r>
  <r>
    <x v="0"/>
    <s v="Landed 23:44"/>
    <d v="2026-07-19T00:00:00"/>
    <d v="1899-12-30T23:44:00"/>
    <s v="Paris"/>
    <s v="Paris Charles de Gaulle Airport"/>
    <s v="Airbus A220-300"/>
    <d v="2026-07-19T00:00:00"/>
    <d v="1899-12-30T23:55:00"/>
    <d v="1899-12-30T00:11:00"/>
    <x v="1"/>
  </r>
  <r>
    <x v="0"/>
    <s v="Landed 02:11"/>
    <d v="2026-07-20T00:00:00"/>
    <d v="1899-12-30T02:11:00"/>
    <s v="Riga"/>
    <s v="Riga International Airport"/>
    <s v="Airbus A220-300"/>
    <d v="2026-07-20T00:00:00"/>
    <d v="1899-12-30T00:30:00"/>
    <d v="1899-12-30T01:41:00"/>
    <x v="0"/>
  </r>
  <r>
    <x v="1"/>
    <s v="Landed 00:26"/>
    <d v="2026-07-20T00:00:00"/>
    <d v="1899-12-30T00:26:00"/>
    <s v="Barcelona"/>
    <s v="Barcelona El Prat Airport"/>
    <s v="Airbus A321-271NX"/>
    <d v="2026-07-20T00:00:00"/>
    <d v="1899-12-30T00:30:00"/>
    <d v="1899-12-30T00:04:00"/>
    <x v="1"/>
  </r>
  <r>
    <x v="2"/>
    <s v="Landed 00:50"/>
    <d v="2026-07-20T00:00:00"/>
    <d v="1899-12-30T00:50:00"/>
    <s v="Warsaw"/>
    <s v="Warsaw Chopin Airport"/>
    <s v="Embraer E195LR"/>
    <d v="2026-07-20T00:00:00"/>
    <d v="1899-12-30T00:40:00"/>
    <d v="1899-12-30T00:10:00"/>
    <x v="1"/>
  </r>
  <r>
    <x v="0"/>
    <s v="Landed 00:31"/>
    <d v="2026-07-20T00:00:00"/>
    <d v="1899-12-30T00:31:00"/>
    <s v="Munich"/>
    <s v="Munich Airport"/>
    <s v="Airbus A220-300"/>
    <d v="2026-07-20T00:00:00"/>
    <d v="1899-12-30T00:45:00"/>
    <d v="1899-12-30T00:14:00"/>
    <x v="1"/>
  </r>
  <r>
    <x v="9"/>
    <s v="Landed 02:07"/>
    <d v="2026-07-20T00:00:00"/>
    <d v="1899-12-30T02:07:00"/>
    <s v="Athens"/>
    <s v="Athens Eleftherios Venizelos"/>
    <s v="Boeing 737-8AS"/>
    <d v="2026-07-20T00:00:00"/>
    <d v="1899-12-30T01:00:00"/>
    <d v="1899-12-30T01:07:00"/>
    <x v="0"/>
  </r>
  <r>
    <x v="0"/>
    <s v="Landed 01:30"/>
    <d v="2026-07-20T00:00:00"/>
    <d v="1899-12-30T01:30:00"/>
    <s v="Zurich"/>
    <s v="Zurich Airport"/>
    <s v="Airbus A220-300"/>
    <d v="2026-07-20T00:00:00"/>
    <d v="1899-12-30T01:25:00"/>
    <d v="1899-12-30T00:05:00"/>
    <x v="1"/>
  </r>
  <r>
    <x v="23"/>
    <s v="Landed 01:18"/>
    <d v="2026-07-20T00:00:00"/>
    <d v="1899-12-30T01:18:00"/>
    <s v="Copenhagen"/>
    <s v="Copenhagen Airport"/>
    <s v="Mitsubishi CRJ-1000EL"/>
    <d v="2026-07-20T00:00:00"/>
    <d v="1899-12-30T01:25:00"/>
    <d v="1899-12-30T00:07:00"/>
    <x v="1"/>
  </r>
  <r>
    <x v="1"/>
    <s v="Landed 01:15"/>
    <d v="2026-07-20T00:00:00"/>
    <d v="1899-12-30T01:15:00"/>
    <s v="Podgorica"/>
    <s v="Podgorica Airport"/>
    <s v="Airbus A321-271NX"/>
    <d v="2026-07-20T00:00:00"/>
    <d v="1899-12-30T01:25:00"/>
    <d v="1899-12-30T00:10:00"/>
    <x v="1"/>
  </r>
  <r>
    <x v="12"/>
    <s v="Landed 02:34"/>
    <d v="2026-07-20T00:00:00"/>
    <d v="1899-12-30T02:34:00"/>
    <s v="Tallinn"/>
    <s v="Tallinn Lennart Meri Airport"/>
    <s v="Airbus A320-214"/>
    <d v="2026-07-20T00:00:00"/>
    <d v="1899-12-30T02:03:00"/>
    <d v="1899-12-30T00:31:00"/>
    <x v="0"/>
  </r>
  <r>
    <x v="35"/>
    <s v="Landed 05:35"/>
    <d v="2026-07-20T00:00:00"/>
    <d v="1899-12-30T05:35:00"/>
    <s v="Leipzig"/>
    <s v="Leipzig Halle Airport"/>
    <s v="Boeing 737-86J(SF)"/>
    <d v="2026-07-20T00:00:00"/>
    <d v="1899-12-30T05:29:00"/>
    <d v="1899-12-30T00:06:00"/>
    <x v="1"/>
  </r>
  <r>
    <x v="0"/>
    <s v="Landed 07:59"/>
    <d v="2026-07-20T00:00:00"/>
    <d v="1899-12-30T07:59:00"/>
    <s v="Tallinn"/>
    <s v="Tallinn Lennart Meri Airport"/>
    <s v="Airbus A220-300"/>
    <d v="2026-07-20T00:00:00"/>
    <d v="1899-12-30T08:15:00"/>
    <d v="1899-12-30T00:16:00"/>
    <x v="0"/>
  </r>
  <r>
    <x v="0"/>
    <s v="Landed 08:32"/>
    <d v="2026-07-20T00:00:00"/>
    <d v="1899-12-30T08:32:00"/>
    <s v="Riga"/>
    <s v="Riga International Airport"/>
    <s v="Airbus A220-300"/>
    <d v="2026-07-20T00:00:00"/>
    <d v="1899-12-30T08:40:00"/>
    <d v="1899-12-30T00:08:00"/>
    <x v="1"/>
  </r>
  <r>
    <x v="9"/>
    <s v="Landed 08:18"/>
    <d v="2026-07-20T00:00:00"/>
    <d v="1899-12-30T08:18:00"/>
    <s v="Corfu"/>
    <s v="Corfu International Airport"/>
    <s v="Boeing 737 MAX 8-200"/>
    <d v="2026-07-20T00:00:00"/>
    <d v="1899-12-30T08:45:00"/>
    <d v="1899-12-30T00:27:00"/>
    <x v="0"/>
  </r>
  <r>
    <x v="1"/>
    <s v="Landed 08:44"/>
    <d v="2026-07-20T00:00:00"/>
    <d v="1899-12-30T08:44:00"/>
    <s v="Krakow"/>
    <s v="Krakow John Paul II International Airport"/>
    <s v="Airbus A321-271NX"/>
    <d v="2026-07-20T00:00:00"/>
    <d v="1899-12-30T08:50:00"/>
    <d v="1899-12-30T00:06:00"/>
    <x v="1"/>
  </r>
  <r>
    <x v="7"/>
    <s v="Landed 09:15"/>
    <d v="2026-07-20T00:00:00"/>
    <d v="1899-12-30T09:15:00"/>
    <s v="Helsinki"/>
    <s v="Helsinki Vantaa Airport"/>
    <s v="ATR 72-500"/>
    <d v="2026-07-20T00:00:00"/>
    <d v="1899-12-30T09:20:00"/>
    <d v="1899-12-30T00:05:00"/>
    <x v="1"/>
  </r>
  <r>
    <x v="1"/>
    <s v="Landed 08:53"/>
    <d v="2026-07-20T00:00:00"/>
    <d v="1899-12-30T08:53:00"/>
    <s v="Tallinn"/>
    <s v="Tallinn Lennart Meri Airport"/>
    <s v="Airbus A321-271NX"/>
    <d v="2026-07-20T00:00:00"/>
    <d v="1899-12-30T09:20:00"/>
    <d v="1899-12-30T00:27:00"/>
    <x v="0"/>
  </r>
  <r>
    <x v="9"/>
    <s v="Landed 09:49"/>
    <d v="2026-07-20T00:00:00"/>
    <d v="1899-12-30T09:49:00"/>
    <s v="Oslo"/>
    <s v="Oslo Gardermoen Airport"/>
    <s v="Boeing 737-8AS"/>
    <d v="2026-07-20T00:00:00"/>
    <d v="1899-12-30T09:55:00"/>
    <d v="1899-12-30T00:06:00"/>
    <x v="1"/>
  </r>
  <r>
    <x v="9"/>
    <s v="Landed 10:17"/>
    <d v="2026-07-20T00:00:00"/>
    <d v="1899-12-30T10:17:00"/>
    <s v="Malta"/>
    <s v="Malta Luqa International Airport"/>
    <s v="Boeing 737 MAX 8-200"/>
    <d v="2026-07-20T00:00:00"/>
    <d v="1899-12-30T10:00:00"/>
    <d v="1899-12-30T00:17:00"/>
    <x v="0"/>
  </r>
  <r>
    <x v="10"/>
    <s v="Landed 10:25"/>
    <d v="2026-07-20T00:00:00"/>
    <d v="1899-12-30T10:25:00"/>
    <s v="Istanbul"/>
    <s v="Istanbul Airport"/>
    <s v="Boeing 737-9F2(ER)"/>
    <d v="2026-07-20T00:00:00"/>
    <d v="1899-12-30T10:45:00"/>
    <d v="1899-12-30T00:20:00"/>
    <x v="0"/>
  </r>
  <r>
    <x v="9"/>
    <s v="Landed 10:36"/>
    <d v="2026-07-20T00:00:00"/>
    <d v="1899-12-30T10:36:00"/>
    <s v="Milan"/>
    <s v="Milan Bergamo Orio al Serio International Airport"/>
    <s v="Boeing 737-8AS"/>
    <d v="2026-07-20T00:00:00"/>
    <d v="1899-12-30T10:55:00"/>
    <d v="1899-12-30T00:19:00"/>
    <x v="0"/>
  </r>
  <r>
    <x v="9"/>
    <s v="Landed 11:03"/>
    <d v="2026-07-20T00:00:00"/>
    <d v="1899-12-30T11:03:00"/>
    <s v="London"/>
    <s v="London Luton Airport"/>
    <s v="Boeing 737 MAX 8-200"/>
    <d v="2026-07-20T00:00:00"/>
    <d v="1899-12-30T11:05:00"/>
    <d v="1899-12-30T00:02:00"/>
    <x v="1"/>
  </r>
  <r>
    <x v="9"/>
    <s v="Landed 11:21"/>
    <d v="2026-07-20T00:00:00"/>
    <d v="1899-12-30T11:21:00"/>
    <s v="Berlin"/>
    <s v="Berlin Brandenburg Airport"/>
    <s v="Boeing 737-8AS"/>
    <d v="2026-07-20T00:00:00"/>
    <d v="1899-12-30T11:45:00"/>
    <d v="1899-12-30T00:24:00"/>
    <x v="0"/>
  </r>
  <r>
    <x v="11"/>
    <s v="Landed 12:40"/>
    <d v="2026-07-20T00:00:00"/>
    <d v="1899-12-30T12:40:00"/>
    <s v="Frankfurt"/>
    <s v="Frankfurt Airport"/>
    <s v="Airbus A320-271N"/>
    <d v="2026-07-20T00:00:00"/>
    <d v="1899-12-30T12:40:00"/>
    <d v="1899-12-30T00:00:00"/>
    <x v="1"/>
  </r>
  <r>
    <x v="0"/>
    <s v="Landed 12:32"/>
    <d v="2026-07-20T00:00:00"/>
    <d v="1899-12-30T12:32:00"/>
    <s v="Munich"/>
    <s v="Munich Airport"/>
    <s v="Airbus A220-300"/>
    <d v="2026-07-20T00:00:00"/>
    <d v="1899-12-30T12:45:00"/>
    <d v="1899-12-30T00:13:00"/>
    <x v="1"/>
  </r>
  <r>
    <x v="1"/>
    <s v="Landed 12:58"/>
    <d v="2026-07-20T00:00:00"/>
    <d v="1899-12-30T12:58:00"/>
    <s v="London"/>
    <s v="London Luton Airport"/>
    <s v="Airbus A321-271NX"/>
    <d v="2026-07-20T00:00:00"/>
    <d v="1899-12-30T12:50:00"/>
    <d v="1899-12-30T00:08:00"/>
    <x v="1"/>
  </r>
  <r>
    <x v="12"/>
    <s v="Landed 13:05"/>
    <d v="2026-07-20T00:00:00"/>
    <d v="1899-12-30T13:05:00"/>
    <s v="Antalya"/>
    <s v="Antalya Airport"/>
    <s v="Airbus A320-214"/>
    <d v="2026-07-20T00:00:00"/>
    <d v="1899-12-30T12:58:00"/>
    <d v="1899-12-30T00:07:00"/>
    <x v="1"/>
  </r>
  <r>
    <x v="7"/>
    <s v="Landed 12:53"/>
    <d v="2026-07-20T00:00:00"/>
    <d v="1899-12-30T12:53:00"/>
    <s v="Helsinki"/>
    <s v="Helsinki Vantaa Airport"/>
    <s v="ATR 72-500"/>
    <d v="2026-07-20T00:00:00"/>
    <d v="1899-12-30T13:00:00"/>
    <d v="1899-12-30T00:07:00"/>
    <x v="1"/>
  </r>
  <r>
    <x v="9"/>
    <s v="Landed 12:48"/>
    <d v="2026-07-20T00:00:00"/>
    <d v="1899-12-30T12:48:00"/>
    <s v="London"/>
    <s v="London Stansted Airport"/>
    <s v="Boeing 737-8AS"/>
    <d v="2026-07-20T00:00:00"/>
    <d v="1899-12-30T13:00:00"/>
    <d v="1899-12-30T00:12:00"/>
    <x v="1"/>
  </r>
  <r>
    <x v="13"/>
    <s v="Landed 12:56"/>
    <d v="2026-07-20T00:00:00"/>
    <d v="1899-12-30T12:56:00"/>
    <s v="Antalya"/>
    <s v="Antalya Airport"/>
    <s v="Boeing 737-85P"/>
    <d v="2026-07-20T00:00:00"/>
    <d v="1899-12-30T13:18:00"/>
    <d v="1899-12-30T00:22:00"/>
    <x v="0"/>
  </r>
  <r>
    <x v="0"/>
    <s v="Landed 13:29"/>
    <d v="2026-07-20T00:00:00"/>
    <d v="1899-12-30T13:29:00"/>
    <s v="Amsterdam"/>
    <s v="Amsterdam Schiphol Airport"/>
    <s v="Airbus A220-300"/>
    <d v="2026-07-20T00:00:00"/>
    <d v="1899-12-30T13:25:00"/>
    <d v="1899-12-30T00:04:00"/>
    <x v="1"/>
  </r>
  <r>
    <x v="0"/>
    <s v="Landed 13:35"/>
    <d v="2026-07-20T00:00:00"/>
    <d v="1899-12-30T13:35:00"/>
    <s v="Paris"/>
    <s v="Paris Charles de Gaulle Airport"/>
    <s v="Airbus A220-300"/>
    <d v="2026-07-20T00:00:00"/>
    <d v="1899-12-30T13:40:00"/>
    <d v="1899-12-30T00:05:00"/>
    <x v="1"/>
  </r>
  <r>
    <x v="17"/>
    <s v="Landed 13:41"/>
    <d v="2026-07-20T00:00:00"/>
    <d v="1899-12-30T13:41:00"/>
    <s v="Antalya"/>
    <s v="Antalya Airport"/>
    <s v="Airbus A320-232"/>
    <d v="2026-07-20T00:00:00"/>
    <d v="1899-12-30T13:40:00"/>
    <d v="1899-12-30T00:01:00"/>
    <x v="1"/>
  </r>
  <r>
    <x v="40"/>
    <s v="Landed 13:48"/>
    <d v="2026-07-20T00:00:00"/>
    <d v="1899-12-30T13:48:00"/>
    <s v="Ingolstadt"/>
    <s v="Ingolstadt Manching Airport"/>
    <s v="Embraer Phenom 100EX"/>
    <d v="2026-07-20T00:00:00"/>
    <d v="1899-12-30T13:44:00"/>
    <d v="1899-12-30T00:04:00"/>
    <x v="1"/>
  </r>
  <r>
    <x v="2"/>
    <s v="Landed 13:45"/>
    <d v="2026-07-20T00:00:00"/>
    <d v="1899-12-30T13:45:00"/>
    <s v="Warsaw"/>
    <s v="Warsaw Chopin Airport"/>
    <s v="Embraer E195LR"/>
    <d v="2026-07-20T00:00:00"/>
    <d v="1899-12-30T13:50:00"/>
    <d v="1899-12-30T00:05:00"/>
    <x v="1"/>
  </r>
  <r>
    <x v="1"/>
    <s v="Landed 13:51"/>
    <d v="2026-07-20T00:00:00"/>
    <d v="1899-12-30T13:51:00"/>
    <s v="Budapest"/>
    <s v="Budapest Ferenc Liszt International Airport"/>
    <s v="Airbus A321-271NX"/>
    <d v="2026-07-20T00:00:00"/>
    <d v="1899-12-30T14:10:00"/>
    <d v="1899-12-30T00:19:00"/>
    <x v="0"/>
  </r>
  <r>
    <x v="9"/>
    <s v="Landed 14:34"/>
    <d v="2026-07-20T00:00:00"/>
    <d v="1899-12-30T14:34:00"/>
    <s v="Oslo"/>
    <s v="Oslo Gardermoen Airport"/>
    <s v="Boeing 737-8AS"/>
    <d v="2026-07-20T00:00:00"/>
    <d v="1899-12-30T14:45:00"/>
    <d v="1899-12-30T00:11:00"/>
    <x v="1"/>
  </r>
  <r>
    <x v="22"/>
    <s v="Landed 15:06"/>
    <d v="2026-07-20T00:00:00"/>
    <d v="1899-12-30T15:06:00"/>
    <s v="Vienna"/>
    <s v="Vienna International Airport"/>
    <s v="Airbus A320-214"/>
    <d v="2026-07-20T00:00:00"/>
    <d v="1899-12-30T15:10:00"/>
    <d v="1899-12-30T00:04:00"/>
    <x v="1"/>
  </r>
  <r>
    <x v="23"/>
    <s v="Landed 15:13"/>
    <d v="2026-07-20T00:00:00"/>
    <d v="1899-12-30T15:13:00"/>
    <s v="Copenhagen"/>
    <s v="Copenhagen Airport"/>
    <s v="Mitsubishi CRJ-900LR"/>
    <d v="2026-07-20T00:00:00"/>
    <d v="1899-12-30T15:15:00"/>
    <d v="1899-12-30T00:02:00"/>
    <x v="1"/>
  </r>
  <r>
    <x v="9"/>
    <s v="Landed 15:03"/>
    <d v="2026-07-20T00:00:00"/>
    <d v="1899-12-30T15:03:00"/>
    <s v="Rome"/>
    <s v="Rome Ciampino Airport"/>
    <s v="Boeing 737 MAX 8-200"/>
    <d v="2026-07-20T00:00:00"/>
    <d v="1899-12-30T15:25:00"/>
    <d v="1899-12-30T00:22:00"/>
    <x v="0"/>
  </r>
  <r>
    <x v="0"/>
    <s v="Landed 15:25"/>
    <d v="2026-07-20T00:00:00"/>
    <d v="1899-12-30T15:25:00"/>
    <s v="Brussels"/>
    <s v="Brussels Airport"/>
    <s v="Airbus A220-300"/>
    <d v="2026-07-20T00:00:00"/>
    <d v="1899-12-30T15:25:00"/>
    <d v="1899-12-30T00:00:00"/>
    <x v="1"/>
  </r>
  <r>
    <x v="1"/>
    <s v="Landed 15:29"/>
    <d v="2026-07-20T00:00:00"/>
    <d v="1899-12-30T15:29:00"/>
    <s v="Malaga"/>
    <s v="Malaga Costa Del Sol Airport"/>
    <s v="Airbus A321-271NX"/>
    <d v="2026-07-20T00:00:00"/>
    <d v="1899-12-30T15:35:00"/>
    <d v="1899-12-30T00:06:00"/>
    <x v="1"/>
  </r>
  <r>
    <x v="0"/>
    <s v="Landed 18:01"/>
    <d v="2026-07-20T00:00:00"/>
    <d v="1899-12-30T18:01:00"/>
    <s v="Riga"/>
    <s v="Riga International Airport"/>
    <s v="Airbus A220-300"/>
    <d v="2026-07-20T00:00:00"/>
    <d v="1899-12-30T16:05:00"/>
    <d v="1899-12-30T01:56:00"/>
    <x v="0"/>
  </r>
  <r>
    <x v="2"/>
    <s v="Landed 16:11"/>
    <d v="2026-07-20T00:00:00"/>
    <d v="1899-12-30T16:11:00"/>
    <s v="Warsaw"/>
    <s v="Warsaw Chopin Airport"/>
    <s v="Embraer E190STD"/>
    <d v="2026-07-20T00:00:00"/>
    <d v="1899-12-30T16:20:00"/>
    <d v="1899-12-30T00:09:00"/>
    <x v="1"/>
  </r>
  <r>
    <x v="29"/>
    <s v="Landed 16:58"/>
    <d v="2026-07-20T00:00:00"/>
    <d v="1899-12-30T16:58:00"/>
    <s v="Alicante"/>
    <s v="Alicante Airport"/>
    <s v="Hawker 800XP"/>
    <d v="2026-07-20T00:00:00"/>
    <d v="1899-12-30T16:31:00"/>
    <d v="1899-12-30T00:27:00"/>
    <x v="0"/>
  </r>
  <r>
    <x v="9"/>
    <s v="Landed 18:21"/>
    <d v="2026-07-20T00:00:00"/>
    <d v="1899-12-30T18:21:00"/>
    <s v="Eindhoven"/>
    <s v="Eindhoven Airport"/>
    <s v="Boeing 737-8AS"/>
    <d v="2026-07-20T00:00:00"/>
    <d v="1899-12-30T17:05:00"/>
    <d v="1899-12-30T01:16:00"/>
    <x v="0"/>
  </r>
  <r>
    <x v="7"/>
    <s v="Landed 17:48"/>
    <d v="2026-07-20T00:00:00"/>
    <d v="1899-12-30T17:48:00"/>
    <s v="Helsinki"/>
    <s v="Helsinki Vantaa Airport"/>
    <s v="ATR 72-500"/>
    <d v="2026-07-20T00:00:00"/>
    <d v="1899-12-30T17:50:00"/>
    <d v="1899-12-30T00:02:00"/>
    <x v="1"/>
  </r>
  <r>
    <x v="2"/>
    <s v="Landed 19:16"/>
    <d v="2026-07-20T00:00:00"/>
    <d v="1899-12-30T19:16:00"/>
    <s v="Warsaw"/>
    <s v="Warsaw Chopin Airport"/>
    <s v="Embraer E195LR"/>
    <d v="2026-07-20T00:00:00"/>
    <d v="1899-12-30T18:35:00"/>
    <d v="1899-12-30T00:41:00"/>
    <x v="0"/>
  </r>
  <r>
    <x v="1"/>
    <s v="Landed 18:37"/>
    <d v="2026-07-20T00:00:00"/>
    <d v="1899-12-30T18:37:00"/>
    <s v="Eindhoven"/>
    <s v="Eindhoven Airport"/>
    <s v="Airbus A321-271NX"/>
    <d v="2026-07-20T00:00:00"/>
    <d v="1899-12-30T18:45:00"/>
    <d v="1899-12-30T00:08:00"/>
    <x v="1"/>
  </r>
  <r>
    <x v="11"/>
    <s v="Landed 19:01"/>
    <d v="2026-07-20T00:00:00"/>
    <d v="1899-12-30T19:01:00"/>
    <s v="Frankfurt"/>
    <s v="Frankfurt Airport"/>
    <s v="Airbus A321-231"/>
    <d v="2026-07-20T00:00:00"/>
    <d v="1899-12-30T18:55:00"/>
    <d v="1899-12-30T00:06:00"/>
    <x v="1"/>
  </r>
  <r>
    <x v="10"/>
    <s v="Landed 19:12"/>
    <d v="2026-07-20T00:00:00"/>
    <d v="1899-12-30T19:12:00"/>
    <s v="Istanbul"/>
    <s v="Istanbul Airport"/>
    <s v="Boeing 737 MAX 9"/>
    <d v="2026-07-20T00:00:00"/>
    <d v="1899-12-30T19:30:00"/>
    <d v="1899-12-30T00:18:00"/>
    <x v="0"/>
  </r>
  <r>
    <x v="0"/>
    <s v="Unknown"/>
    <d v="2026-07-20T00:00:00"/>
    <e v="#N/A"/>
    <s v="Amsterdam"/>
    <s v="Amsterdam Schiphol Airport"/>
    <s v="Airbus A220-300"/>
    <d v="2026-07-20T00:00:00"/>
    <d v="1899-12-30T19:50:00"/>
    <e v="#N/A"/>
    <x v="2"/>
  </r>
  <r>
    <x v="19"/>
    <s v="Landed 20:50"/>
    <d v="2026-07-20T00:00:00"/>
    <d v="1899-12-30T20:50:00"/>
    <s v="Tel Aviv"/>
    <s v="Tel Aviv Ben Gurion International Airport"/>
    <s v="Airbus A320-232"/>
    <d v="2026-07-20T00:00:00"/>
    <d v="1899-12-30T20:00:00"/>
    <d v="1899-12-30T00:50:00"/>
    <x v="0"/>
  </r>
  <r>
    <x v="13"/>
    <s v="Landed 20:18"/>
    <d v="2026-07-20T00:00:00"/>
    <d v="1899-12-30T20:18:00"/>
    <s v="Stockholm"/>
    <s v="Stockholm Arlanda Airport"/>
    <s v="Airbus A320-214"/>
    <d v="2026-07-20T00:00:00"/>
    <d v="1899-12-30T20:17:00"/>
    <d v="1899-12-30T00:01:00"/>
    <x v="1"/>
  </r>
  <r>
    <x v="9"/>
    <s v="Landed 20:00"/>
    <d v="2026-07-20T00:00:00"/>
    <d v="1899-12-30T20:00:00"/>
    <s v="Frankfurt"/>
    <s v="Frankfurt Hahn Airport"/>
    <s v="Boeing 737-8AS"/>
    <d v="2026-07-20T00:00:00"/>
    <d v="1899-12-30T20:30:00"/>
    <d v="1899-12-30T00:30:00"/>
    <x v="0"/>
  </r>
  <r>
    <x v="9"/>
    <s v="Landed 21:27"/>
    <d v="2026-07-20T00:00:00"/>
    <d v="1899-12-30T21:27:00"/>
    <s v="Milan"/>
    <s v="Milan Bergamo Orio al Serio International Airport"/>
    <s v="Boeing 737 MAX 8-200"/>
    <d v="2026-07-20T00:00:00"/>
    <d v="1899-12-30T21:20:00"/>
    <d v="1899-12-30T00:07:00"/>
    <x v="1"/>
  </r>
  <r>
    <x v="13"/>
    <s v="Landed 22:59"/>
    <d v="2026-07-20T00:00:00"/>
    <d v="1899-12-30T22:59:00"/>
    <s v="Corfu"/>
    <s v="Corfu International Airport"/>
    <s v="Boeing 737-83N"/>
    <d v="2026-07-20T00:00:00"/>
    <d v="1899-12-30T21:25:00"/>
    <d v="1899-12-30T01:34:00"/>
    <x v="0"/>
  </r>
  <r>
    <x v="0"/>
    <s v="Landed 21:58"/>
    <d v="2026-07-20T00:00:00"/>
    <d v="1899-12-30T21:58:00"/>
    <s v="Heraklion"/>
    <s v="Heraklion International Airport"/>
    <s v="Airbus A220-300"/>
    <d v="2026-07-20T00:00:00"/>
    <d v="1899-12-30T21:50:00"/>
    <d v="1899-12-30T00:08:00"/>
    <x v="1"/>
  </r>
  <r>
    <x v="9"/>
    <s v="Landed 22:29"/>
    <d v="2026-07-20T00:00:00"/>
    <d v="1899-12-30T22:29:00"/>
    <s v="Barcelona"/>
    <s v="Barcelona El Prat Airport"/>
    <s v="Boeing 737-8AS"/>
    <d v="2026-07-20T00:00:00"/>
    <d v="1899-12-30T22:00:00"/>
    <d v="1899-12-30T00:29:00"/>
    <x v="0"/>
  </r>
  <r>
    <x v="0"/>
    <s v="Delayed 00:39"/>
    <d v="2026-07-20T00:00:00"/>
    <e v="#N/A"/>
    <s v="Riga"/>
    <s v="Riga International Airport"/>
    <s v="Airbus A220-300"/>
    <d v="2026-07-20T00:00:00"/>
    <d v="1899-12-30T22:20:00"/>
    <e v="#N/A"/>
    <x v="2"/>
  </r>
  <r>
    <x v="2"/>
    <s v="Landed 22:03"/>
    <d v="2026-07-20T00:00:00"/>
    <d v="1899-12-30T22:03:00"/>
    <s v="Warsaw"/>
    <s v="Warsaw Chopin Airport"/>
    <s v="Embraer E190STD"/>
    <d v="2026-07-20T00:00:00"/>
    <d v="1899-12-30T22:20:00"/>
    <d v="1899-12-30T00:17:00"/>
    <x v="0"/>
  </r>
  <r>
    <x v="17"/>
    <s v="Landed 22:24"/>
    <d v="2026-07-20T00:00:00"/>
    <d v="1899-12-30T22:24:00"/>
    <s v="Enfidha"/>
    <s v="Enfidha Hammamet International Airport"/>
    <s v="Airbus A320-232"/>
    <d v="2026-07-20T00:00:00"/>
    <d v="1899-12-30T22:30:00"/>
    <d v="1899-12-30T00:06:00"/>
    <x v="1"/>
  </r>
  <r>
    <x v="25"/>
    <s v="Landed 22:20"/>
    <d v="2026-07-20T00:00:00"/>
    <d v="1899-12-30T22:20:00"/>
    <s v="Dublin"/>
    <s v="Dublin Airport"/>
    <s v="Boeing 737 MAX 8-200"/>
    <d v="2026-07-20T00:00:00"/>
    <d v="1899-12-30T22:35:00"/>
    <d v="1899-12-30T00:15:00"/>
    <x v="1"/>
  </r>
  <r>
    <x v="9"/>
    <s v="Delayed 00:13"/>
    <d v="2026-07-20T00:00:00"/>
    <e v="#N/A"/>
    <s v="Turin"/>
    <s v="Turin Caselle Airport"/>
    <s v="Boeing 737-8AS"/>
    <d v="2026-07-20T00:00:00"/>
    <d v="1899-12-30T23:55:00"/>
    <e v="#N/A"/>
    <x v="2"/>
  </r>
  <r>
    <x v="11"/>
    <s v="Landed 23:58"/>
    <d v="2026-07-20T00:00:00"/>
    <d v="1899-12-30T23:58:00"/>
    <s v="Frankfurt"/>
    <s v="Frankfurt Airport"/>
    <s v="Airbus A320-214"/>
    <d v="2026-07-20T00:00:00"/>
    <d v="1899-12-30T23:55:00"/>
    <d v="1899-12-30T00:03:00"/>
    <x v="1"/>
  </r>
  <r>
    <x v="0"/>
    <s v="Landed 00:01"/>
    <d v="2026-07-21T00:00:00"/>
    <d v="1899-12-30T00:01:00"/>
    <s v="Berlin"/>
    <s v="Berlin Brandenburg Airport"/>
    <s v="Airbus A220-300"/>
    <d v="2026-07-21T00:00:00"/>
    <d v="1899-12-30T00:15:00"/>
    <d v="1899-12-30T00:14:00"/>
    <x v="1"/>
  </r>
  <r>
    <x v="1"/>
    <s v="Landed 00:20"/>
    <d v="2026-07-21T00:00:00"/>
    <d v="1899-12-30T00:20:00"/>
    <s v="Reykjavik"/>
    <s v="Keflavik International Airport"/>
    <s v="Airbus A321-271NX"/>
    <d v="2026-07-21T00:00:00"/>
    <d v="1899-12-30T00:20:00"/>
    <d v="1899-12-30T00:00:00"/>
    <x v="1"/>
  </r>
  <r>
    <x v="0"/>
    <s v="Landed 01:02"/>
    <d v="2026-07-21T00:00:00"/>
    <d v="1899-12-30T01:02:00"/>
    <s v="Riga"/>
    <s v="Riga International Airport"/>
    <s v="Airbus A220-300"/>
    <d v="2026-07-21T00:00:00"/>
    <d v="1899-12-30T00:30:00"/>
    <d v="1899-12-30T00:32:00"/>
    <x v="0"/>
  </r>
  <r>
    <x v="2"/>
    <s v="Landed 00:33"/>
    <d v="2026-07-21T00:00:00"/>
    <d v="1899-12-30T00:33:00"/>
    <s v="Warsaw"/>
    <s v="Warsaw Chopin Airport"/>
    <s v="Embraer E195LR"/>
    <d v="2026-07-21T00:00:00"/>
    <d v="1899-12-30T00:40:00"/>
    <d v="1899-12-30T00:07:00"/>
    <x v="1"/>
  </r>
  <r>
    <x v="1"/>
    <s v="Landed 00:49"/>
    <d v="2026-07-21T00:00:00"/>
    <d v="1899-12-30T00:49:00"/>
    <s v="Larnaca"/>
    <s v="Larnaca International Airport"/>
    <s v="Airbus A321-271NX"/>
    <d v="2026-07-21T00:00:00"/>
    <d v="1899-12-30T01:05:00"/>
    <d v="1899-12-30T00:16:00"/>
    <x v="0"/>
  </r>
  <r>
    <x v="9"/>
    <s v="Landed 00:45"/>
    <d v="2026-07-21T00:00:00"/>
    <d v="1899-12-30T00:45:00"/>
    <s v="Nuremberg"/>
    <s v="Nuremberg Airport"/>
    <s v="Boeing 737-8AS"/>
    <d v="2026-07-21T00:00:00"/>
    <d v="1899-12-30T01:15:00"/>
    <d v="1899-12-30T00:30:00"/>
    <x v="0"/>
  </r>
  <r>
    <x v="1"/>
    <s v="Landed 01:09"/>
    <d v="2026-07-21T00:00:00"/>
    <d v="1899-12-30T01:09:00"/>
    <s v="Milan"/>
    <s v="Milan Malpensa Airport"/>
    <s v="Airbus A321-271NX"/>
    <d v="2026-07-21T00:00:00"/>
    <d v="1899-12-30T01:20:00"/>
    <d v="1899-12-30T00:11:00"/>
    <x v="1"/>
  </r>
  <r>
    <x v="0"/>
    <s v="Landed 01:23"/>
    <d v="2026-07-21T00:00:00"/>
    <d v="1899-12-30T01:23:00"/>
    <s v="Zurich"/>
    <s v="Zurich Airport"/>
    <s v="Airbus A220-300"/>
    <d v="2026-07-21T00:00:00"/>
    <d v="1899-12-30T01:25:00"/>
    <d v="1899-12-30T00:02:00"/>
    <x v="1"/>
  </r>
  <r>
    <x v="23"/>
    <s v="Landed 01:20"/>
    <d v="2026-07-21T00:00:00"/>
    <d v="1899-12-30T01:20:00"/>
    <s v="Copenhagen"/>
    <s v="Copenhagen Airport"/>
    <s v="Mitsubishi CRJ-900LR"/>
    <d v="2026-07-21T00:00:00"/>
    <d v="1899-12-30T01:25:00"/>
    <d v="1899-12-30T00:05:00"/>
    <x v="1"/>
  </r>
  <r>
    <x v="13"/>
    <s v="Landed 02:15"/>
    <d v="2026-07-21T00:00:00"/>
    <d v="1899-12-30T02:15:00"/>
    <s v="Belfast"/>
    <s v="Belfast International Airport"/>
    <s v="Boeing 737-8FE"/>
    <d v="2026-07-21T00:00:00"/>
    <d v="1899-12-30T01:52:00"/>
    <d v="1899-12-30T00:23:00"/>
    <x v="0"/>
  </r>
  <r>
    <x v="13"/>
    <s v="Landed 02:17"/>
    <d v="2026-07-21T00:00:00"/>
    <d v="1899-12-30T02:17:00"/>
    <s v="Funchal"/>
    <s v="Funchal Cristiano Ronaldo Airport"/>
    <s v="Boeing 737-85P"/>
    <d v="2026-07-21T00:00:00"/>
    <d v="1899-12-30T02:18:00"/>
    <d v="1899-12-30T00:01:00"/>
    <x v="1"/>
  </r>
  <r>
    <x v="0"/>
    <s v="Landed 07:38"/>
    <d v="2026-07-21T00:00:00"/>
    <d v="1899-12-30T07:38:00"/>
    <s v="Riga"/>
    <s v="Riga International Airport"/>
    <s v="Airbus A220-300"/>
    <d v="2026-07-21T00:00:00"/>
    <d v="1899-12-30T07:35:00"/>
    <d v="1899-12-30T00:03:00"/>
    <x v="1"/>
  </r>
  <r>
    <x v="5"/>
    <s v="Landed 07:38"/>
    <d v="2026-07-21T00:00:00"/>
    <d v="1899-12-30T07:38:00"/>
    <s v="Leipzig"/>
    <s v="Leipzig Halle Airport"/>
    <s v="Boeing 737-86N(SF)"/>
    <d v="2026-07-21T00:00:00"/>
    <d v="1899-12-30T07:37:00"/>
    <d v="1899-12-30T00:01:00"/>
    <x v="1"/>
  </r>
  <r>
    <x v="0"/>
    <s v="Landed 08:58"/>
    <d v="2026-07-21T00:00:00"/>
    <d v="1899-12-30T08:58:00"/>
    <s v="Riga"/>
    <s v="Riga International Airport"/>
    <s v="Airbus A220-300"/>
    <d v="2026-07-21T00:00:00"/>
    <d v="1899-12-30T08:40:00"/>
    <d v="1899-12-30T00:18:00"/>
    <x v="0"/>
  </r>
  <r>
    <x v="7"/>
    <s v="Landed 09:11"/>
    <d v="2026-07-21T00:00:00"/>
    <d v="1899-12-30T09:11:00"/>
    <s v="Helsinki"/>
    <s v="Helsinki Vantaa Airport"/>
    <s v="ATR 72-500"/>
    <d v="2026-07-21T00:00:00"/>
    <d v="1899-12-30T09:20:00"/>
    <d v="1899-12-30T00:09:00"/>
    <x v="1"/>
  </r>
  <r>
    <x v="31"/>
    <s v="Diverted to TLV"/>
    <d v="2026-07-21T00:00:00"/>
    <e v="#N/A"/>
    <s v="Tel Aviv"/>
    <s v="Tel Aviv Ben Gurion International Airport"/>
    <s v="Airbus A320-232"/>
    <d v="2026-07-21T00:00:00"/>
    <d v="1899-12-30T09:50:00"/>
    <e v="#N/A"/>
    <x v="2"/>
  </r>
  <r>
    <x v="2"/>
    <s v="Landed 10:11"/>
    <d v="2026-07-21T00:00:00"/>
    <d v="1899-12-30T10:11:00"/>
    <s v="Warsaw"/>
    <s v="Warsaw Chopin Airport"/>
    <s v="Embraer E195AR"/>
    <d v="2026-07-21T00:00:00"/>
    <d v="1899-12-30T10:15:00"/>
    <d v="1899-12-30T00:04:00"/>
    <x v="1"/>
  </r>
  <r>
    <x v="9"/>
    <s v="Landed 10:02"/>
    <d v="2026-07-21T00:00:00"/>
    <d v="1899-12-30T10:02:00"/>
    <s v="Venice"/>
    <s v="Venice Treviso Airport"/>
    <s v="Boeing 737-8AS"/>
    <d v="2026-07-21T00:00:00"/>
    <d v="1899-12-30T10:20:00"/>
    <d v="1899-12-30T00:18:00"/>
    <x v="0"/>
  </r>
  <r>
    <x v="10"/>
    <s v="Landed 10:30"/>
    <d v="2026-07-21T00:00:00"/>
    <d v="1899-12-30T10:30:00"/>
    <s v="Istanbul"/>
    <s v="Istanbul Airport"/>
    <s v="Airbus A321-271NX"/>
    <d v="2026-07-21T00:00:00"/>
    <d v="1899-12-30T10:45:00"/>
    <d v="1899-12-30T00:15:00"/>
    <x v="1"/>
  </r>
  <r>
    <x v="17"/>
    <s v="Landed 11:34"/>
    <d v="2026-07-21T00:00:00"/>
    <d v="1899-12-30T11:34:00"/>
    <s v="Heraklion"/>
    <s v="Heraklion International Airport"/>
    <s v="Airbus A320-232"/>
    <d v="2026-07-21T00:00:00"/>
    <d v="1899-12-30T11:55:00"/>
    <d v="1899-12-30T00:21:00"/>
    <x v="0"/>
  </r>
  <r>
    <x v="41"/>
    <s v="Landed 11:38"/>
    <d v="2026-07-21T00:00:00"/>
    <d v="1899-12-30T11:38:00"/>
    <s v="Helsinki"/>
    <s v="Helsinki Vantaa Airport"/>
    <s v="Embraer Phenom 300E"/>
    <d v="2026-07-21T00:00:00"/>
    <d v="1899-12-30T11:58:00"/>
    <d v="1899-12-30T00:20:00"/>
    <x v="0"/>
  </r>
  <r>
    <x v="9"/>
    <s v="Landed 11:57"/>
    <d v="2026-07-21T00:00:00"/>
    <d v="1899-12-30T11:57:00"/>
    <s v="Milan"/>
    <s v="Milan Bergamo Orio al Serio International Airport"/>
    <s v="Boeing 737-8AS"/>
    <d v="2026-07-21T00:00:00"/>
    <d v="1899-12-30T12:15:00"/>
    <d v="1899-12-30T00:18:00"/>
    <x v="0"/>
  </r>
  <r>
    <x v="1"/>
    <s v="Landed 12:09"/>
    <d v="2026-07-21T00:00:00"/>
    <d v="1899-12-30T12:09:00"/>
    <s v="Nice"/>
    <s v="Nice Cote d'Azur Airport"/>
    <s v="Airbus A321-271NX"/>
    <d v="2026-07-21T00:00:00"/>
    <d v="1899-12-30T12:20:00"/>
    <d v="1899-12-30T00:11:00"/>
    <x v="1"/>
  </r>
  <r>
    <x v="1"/>
    <s v="Landed 13:22"/>
    <d v="2026-07-21T00:00:00"/>
    <d v="1899-12-30T13:22:00"/>
    <s v="Catania"/>
    <s v="Catania Fontanarossa Airport"/>
    <s v="Airbus A321-271NX"/>
    <d v="2026-07-21T00:00:00"/>
    <d v="1899-12-30T12:25:00"/>
    <d v="1899-12-30T00:57:00"/>
    <x v="0"/>
  </r>
  <r>
    <x v="12"/>
    <s v="Diverted to KUN"/>
    <d v="2026-07-21T00:00:00"/>
    <e v="#N/A"/>
    <s v="Heraklion"/>
    <s v="Heraklion International Airport"/>
    <s v="Airbus A320-214"/>
    <d v="2026-07-21T00:00:00"/>
    <d v="1899-12-30T12:38:00"/>
    <e v="#N/A"/>
    <x v="2"/>
  </r>
  <r>
    <x v="9"/>
    <s v="Landed 13:06"/>
    <d v="2026-07-21T00:00:00"/>
    <d v="1899-12-30T13:06:00"/>
    <s v="London"/>
    <s v="London Stansted Airport"/>
    <s v="Boeing 737-8AS"/>
    <d v="2026-07-21T00:00:00"/>
    <d v="1899-12-30T12:40:00"/>
    <d v="1899-12-30T00:26:00"/>
    <x v="0"/>
  </r>
  <r>
    <x v="11"/>
    <s v="Diverted to RIX"/>
    <d v="2026-07-21T00:00:00"/>
    <e v="#N/A"/>
    <s v="Frankfurt"/>
    <s v="Frankfurt Airport"/>
    <s v="Airbus A320-271N"/>
    <d v="2026-07-21T00:00:00"/>
    <d v="1899-12-30T12:40:00"/>
    <e v="#N/A"/>
    <x v="2"/>
  </r>
  <r>
    <x v="7"/>
    <s v="Landed 13:34"/>
    <d v="2026-07-21T00:00:00"/>
    <d v="1899-12-30T13:34:00"/>
    <s v="Helsinki"/>
    <s v="Helsinki Vantaa Airport"/>
    <s v="ATR 72-500"/>
    <d v="2026-07-21T00:00:00"/>
    <d v="1899-12-30T13:00:00"/>
    <d v="1899-12-30T00:34:00"/>
    <x v="0"/>
  </r>
  <r>
    <x v="42"/>
    <s v="Unknown"/>
    <d v="2026-07-21T00:00:00"/>
    <e v="#N/A"/>
    <s v="Tel Aviv"/>
    <s v="Tel Aviv Ben Gurion International Airport"/>
    <s v="Airbus A320-214"/>
    <d v="2026-07-21T00:00:00"/>
    <d v="1899-12-30T13:00:00"/>
    <e v="#N/A"/>
    <x v="2"/>
  </r>
  <r>
    <x v="13"/>
    <s v="Diverted to KUN"/>
    <d v="2026-07-21T00:00:00"/>
    <e v="#N/A"/>
    <s v="Heraklion"/>
    <s v="Heraklion International Airport"/>
    <s v="Boeing 737-83N"/>
    <d v="2026-07-21T00:00:00"/>
    <d v="1899-12-30T13:10:00"/>
    <e v="#N/A"/>
    <x v="2"/>
  </r>
  <r>
    <x v="0"/>
    <s v="Landed 13:39"/>
    <d v="2026-07-21T00:00:00"/>
    <d v="1899-12-30T13:39:00"/>
    <s v="Amsterdam"/>
    <s v="Amsterdam Schiphol Airport"/>
    <s v="Airbus A220-300"/>
    <d v="2026-07-21T00:00:00"/>
    <d v="1899-12-30T13:25:00"/>
    <d v="1899-12-30T00:14:00"/>
    <x v="1"/>
  </r>
  <r>
    <x v="13"/>
    <s v="Landed 13:31"/>
    <d v="2026-07-21T00:00:00"/>
    <d v="1899-12-30T13:31:00"/>
    <s v="Antalya"/>
    <s v="Antalya Airport"/>
    <s v="Boeing 737-85P"/>
    <d v="2026-07-21T00:00:00"/>
    <d v="1899-12-30T13:25:00"/>
    <d v="1899-12-30T00:06:00"/>
    <x v="1"/>
  </r>
  <r>
    <x v="2"/>
    <s v="Landed 14:47"/>
    <d v="2026-07-21T00:00:00"/>
    <d v="1899-12-30T14:47:00"/>
    <s v="Warsaw"/>
    <s v="Warsaw Chopin Airport"/>
    <s v="Embraer E195AR"/>
    <d v="2026-07-21T00:00:00"/>
    <d v="1899-12-30T13:50:00"/>
    <d v="1899-12-30T00:57:00"/>
    <x v="0"/>
  </r>
  <r>
    <x v="20"/>
    <s v="Unknown"/>
    <d v="2026-07-21T00:00:00"/>
    <e v="#N/A"/>
    <s v="Hurghada"/>
    <s v="Hurghada International Airport"/>
    <s v="N/A"/>
    <d v="2026-07-21T00:00:00"/>
    <d v="1899-12-30T13:55:00"/>
    <e v="#N/A"/>
    <x v="2"/>
  </r>
  <r>
    <x v="12"/>
    <s v="Landed 14:17"/>
    <d v="2026-07-21T00:00:00"/>
    <d v="1899-12-30T14:17:00"/>
    <s v="Kaunas"/>
    <s v="Kaunas Airport"/>
    <s v="Airbus A320-214"/>
    <d v="2026-07-21T00:00:00"/>
    <d v="1899-12-30T14:08:00"/>
    <d v="1899-12-30T00:09:00"/>
    <x v="1"/>
  </r>
  <r>
    <x v="0"/>
    <s v="Landed 14:50"/>
    <d v="2026-07-21T00:00:00"/>
    <d v="1899-12-30T14:50:00"/>
    <s v="Riga"/>
    <s v="Riga International Airport"/>
    <s v="Airbus A220-300"/>
    <d v="2026-07-21T00:00:00"/>
    <d v="1899-12-30T14:35:00"/>
    <d v="1899-12-30T00:15:00"/>
    <x v="1"/>
  </r>
  <r>
    <x v="11"/>
    <s v="Landed 15:05"/>
    <d v="2026-07-21T00:00:00"/>
    <d v="1899-12-30T15:05:00"/>
    <s v="Riga"/>
    <s v="Riga International Airport"/>
    <s v="Airbus A320-271N"/>
    <d v="2026-07-21T00:00:00"/>
    <d v="1899-12-30T14:45:00"/>
    <d v="1899-12-30T00:20:00"/>
    <x v="0"/>
  </r>
  <r>
    <x v="13"/>
    <s v="Landed 15:13"/>
    <d v="2026-07-21T00:00:00"/>
    <d v="1899-12-30T15:13:00"/>
    <s v="Kaunas"/>
    <s v="Kaunas Airport"/>
    <s v="Boeing 737-83N"/>
    <d v="2026-07-21T00:00:00"/>
    <d v="1899-12-30T14:46:00"/>
    <d v="1899-12-30T00:27:00"/>
    <x v="0"/>
  </r>
  <r>
    <x v="1"/>
    <s v="Landed 14:31"/>
    <d v="2026-07-21T00:00:00"/>
    <d v="1899-12-30T14:31:00"/>
    <s v="Kutaisi"/>
    <s v="Kutaisi International Airport"/>
    <s v="Airbus A321-271NX"/>
    <d v="2026-07-21T00:00:00"/>
    <d v="1899-12-30T14:50:00"/>
    <d v="1899-12-30T00:19:00"/>
    <x v="0"/>
  </r>
  <r>
    <x v="3"/>
    <s v="Landed 15:07"/>
    <d v="2026-07-21T00:00:00"/>
    <d v="1899-12-30T15:07:00"/>
    <s v="Copenhagen"/>
    <s v="Copenhagen Airport"/>
    <s v="Mitsubishi CRJ-900LR"/>
    <d v="2026-07-21T00:00:00"/>
    <d v="1899-12-30T15:15:00"/>
    <d v="1899-12-30T00:08:00"/>
    <x v="1"/>
  </r>
  <r>
    <x v="9"/>
    <s v="Landed 15:43"/>
    <d v="2026-07-21T00:00:00"/>
    <d v="1899-12-30T15:43:00"/>
    <s v="London"/>
    <s v="London Luton Airport"/>
    <s v="Boeing 737 MAX 8-200"/>
    <d v="2026-07-21T00:00:00"/>
    <d v="1899-12-30T15:30:00"/>
    <d v="1899-12-30T00:13:00"/>
    <x v="1"/>
  </r>
  <r>
    <x v="0"/>
    <s v="Landed 15:59"/>
    <d v="2026-07-21T00:00:00"/>
    <d v="1899-12-30T15:59:00"/>
    <s v="Nice"/>
    <s v="Nice Cote d'Azur Airport"/>
    <s v="Airbus A220-300"/>
    <d v="2026-07-21T00:00:00"/>
    <d v="1899-12-30T16:00:00"/>
    <d v="1899-12-30T00:01:00"/>
    <x v="1"/>
  </r>
  <r>
    <x v="2"/>
    <s v="Landed 16:20"/>
    <d v="2026-07-21T00:00:00"/>
    <d v="1899-12-30T16:20:00"/>
    <s v="Warsaw"/>
    <s v="Warsaw Chopin Airport"/>
    <s v="Boeing 737 MAX 8"/>
    <d v="2026-07-21T00:00:00"/>
    <d v="1899-12-30T16:20:00"/>
    <d v="1899-12-30T00:00:00"/>
    <x v="1"/>
  </r>
  <r>
    <x v="14"/>
    <s v="Landed 16:45"/>
    <d v="2026-07-21T00:00:00"/>
    <d v="1899-12-30T16:45:00"/>
    <s v="Stockholm"/>
    <s v="Stockholm Arlanda Airport"/>
    <s v="Boeing 737 MAX 8"/>
    <d v="2026-07-21T00:00:00"/>
    <d v="1899-12-30T16:35:00"/>
    <d v="1899-12-30T00:10:00"/>
    <x v="1"/>
  </r>
  <r>
    <x v="9"/>
    <s v="Landed 16:37"/>
    <d v="2026-07-21T00:00:00"/>
    <d v="1899-12-30T16:37:00"/>
    <s v="Oslo"/>
    <s v="Oslo Gardermoen Airport"/>
    <s v="Boeing 737-8AS"/>
    <d v="2026-07-21T00:00:00"/>
    <d v="1899-12-30T16:50:00"/>
    <d v="1899-12-30T00:13:00"/>
    <x v="1"/>
  </r>
  <r>
    <x v="7"/>
    <s v="Landed 17:55"/>
    <d v="2026-07-21T00:00:00"/>
    <d v="1899-12-30T17:55:00"/>
    <s v="Helsinki"/>
    <s v="Helsinki Vantaa Airport"/>
    <s v="ATR 72-500"/>
    <d v="2026-07-21T00:00:00"/>
    <d v="1899-12-30T17:50:00"/>
    <d v="1899-12-30T00:05:00"/>
    <x v="1"/>
  </r>
  <r>
    <x v="1"/>
    <s v="Landed 18:18"/>
    <d v="2026-07-21T00:00:00"/>
    <d v="1899-12-30T18:18:00"/>
    <s v="Gdansk"/>
    <s v="Gdansk Lech Walesa Airport"/>
    <s v="Airbus A321-271NX"/>
    <d v="2026-07-21T00:00:00"/>
    <d v="1899-12-30T18:30:00"/>
    <d v="1899-12-30T00:12:00"/>
    <x v="1"/>
  </r>
  <r>
    <x v="2"/>
    <s v="Landed 18:29"/>
    <d v="2026-07-21T00:00:00"/>
    <d v="1899-12-30T18:29:00"/>
    <s v="Warsaw"/>
    <s v="Warsaw Chopin Airport"/>
    <s v="Embraer E195LR"/>
    <d v="2026-07-21T00:00:00"/>
    <d v="1899-12-30T18:35:00"/>
    <d v="1899-12-30T00:06:00"/>
    <x v="1"/>
  </r>
  <r>
    <x v="1"/>
    <s v="Landed 18:51"/>
    <d v="2026-07-21T00:00:00"/>
    <d v="1899-12-30T18:51:00"/>
    <s v="Tirana"/>
    <s v="Tirana International Airport"/>
    <s v="Airbus A321-271NX"/>
    <d v="2026-07-21T00:00:00"/>
    <d v="1899-12-30T18:50:00"/>
    <d v="1899-12-30T00:01:00"/>
    <x v="1"/>
  </r>
  <r>
    <x v="11"/>
    <s v="Landed 18:45"/>
    <d v="2026-07-21T00:00:00"/>
    <d v="1899-12-30T18:45:00"/>
    <s v="Frankfurt"/>
    <s v="Frankfurt Airport"/>
    <s v="Airbus A320-214"/>
    <d v="2026-07-21T00:00:00"/>
    <d v="1899-12-30T18:55:00"/>
    <d v="1899-12-30T00:10:00"/>
    <x v="1"/>
  </r>
  <r>
    <x v="9"/>
    <s v="Landed 19:33"/>
    <d v="2026-07-21T00:00:00"/>
    <d v="1899-12-30T19:33:00"/>
    <s v="Paris"/>
    <s v="Paris Beauvais-Tille Airport"/>
    <s v="Boeing 737-8AS"/>
    <d v="2026-07-21T00:00:00"/>
    <d v="1899-12-30T19:10:00"/>
    <d v="1899-12-30T00:23:00"/>
    <x v="0"/>
  </r>
  <r>
    <x v="43"/>
    <s v="Landed 19:45"/>
    <d v="2026-07-21T00:00:00"/>
    <d v="1899-12-30T19:45:00"/>
    <s v="Asturias"/>
    <s v="Asturias Airport"/>
    <s v="Hawker 800XP"/>
    <d v="2026-07-21T00:00:00"/>
    <d v="1899-12-30T19:38:00"/>
    <d v="1899-12-30T00:07:00"/>
    <x v="1"/>
  </r>
  <r>
    <x v="0"/>
    <s v="Landed 19:48"/>
    <d v="2026-07-21T00:00:00"/>
    <d v="1899-12-30T19:48:00"/>
    <s v="Amsterdam"/>
    <s v="Amsterdam Schiphol Airport"/>
    <s v="Airbus A220-300"/>
    <d v="2026-07-21T00:00:00"/>
    <d v="1899-12-30T19:50:00"/>
    <d v="1899-12-30T00:02:00"/>
    <x v="1"/>
  </r>
  <r>
    <x v="1"/>
    <s v="Landed 20:02"/>
    <d v="2026-07-21T00:00:00"/>
    <d v="1899-12-30T20:02:00"/>
    <s v="Billund"/>
    <s v="Billund Airport"/>
    <s v="Airbus A321-271NX"/>
    <d v="2026-07-21T00:00:00"/>
    <d v="1899-12-30T20:10:00"/>
    <d v="1899-12-30T00:08:00"/>
    <x v="1"/>
  </r>
  <r>
    <x v="13"/>
    <s v="Landed 21:32"/>
    <d v="2026-07-21T00:00:00"/>
    <d v="1899-12-30T21:32:00"/>
    <s v="Bucharest"/>
    <s v="Bucharest Henri Coanda International Airport"/>
    <s v="Airbus A321-211"/>
    <d v="2026-07-21T00:00:00"/>
    <d v="1899-12-30T20:40:00"/>
    <d v="1899-12-30T00:52:00"/>
    <x v="0"/>
  </r>
  <r>
    <x v="0"/>
    <s v="Landed 20:34"/>
    <d v="2026-07-21T00:00:00"/>
    <d v="1899-12-30T20:34:00"/>
    <s v="Riga"/>
    <s v="Riga International Airport"/>
    <s v="Airbus A220-300"/>
    <d v="2026-07-21T00:00:00"/>
    <d v="1899-12-30T20:50:00"/>
    <d v="1899-12-30T00:16:00"/>
    <x v="0"/>
  </r>
  <r>
    <x v="13"/>
    <s v="Landed 22:00"/>
    <d v="2026-07-21T00:00:00"/>
    <d v="1899-12-30T22:00:00"/>
    <s v="Burgas"/>
    <s v="Burgas Airport"/>
    <s v="Boeing 737-85P"/>
    <d v="2026-07-21T00:00:00"/>
    <d v="1899-12-30T20:56:00"/>
    <d v="1899-12-30T01:04:00"/>
    <x v="0"/>
  </r>
  <r>
    <x v="15"/>
    <s v="Landed 21:08"/>
    <d v="2026-07-21T00:00:00"/>
    <d v="1899-12-30T21:08:00"/>
    <s v="Trebbin"/>
    <s v="Trebbin Schonhagen Airport"/>
    <s v="Cirrus SR22T"/>
    <d v="2026-07-21T00:00:00"/>
    <d v="1899-12-30T21:05:00"/>
    <d v="1899-12-30T00:03:00"/>
    <x v="1"/>
  </r>
  <r>
    <x v="0"/>
    <s v="Landed 21:37"/>
    <d v="2026-07-21T00:00:00"/>
    <d v="1899-12-30T21:37:00"/>
    <s v="Tallinn"/>
    <s v="Tallinn Lennart Meri Airport"/>
    <s v="Airbus A220-300"/>
    <d v="2026-07-21T00:00:00"/>
    <d v="1899-12-30T21:45:00"/>
    <d v="1899-12-30T00:08:00"/>
    <x v="1"/>
  </r>
  <r>
    <x v="12"/>
    <s v="Landed 22:42"/>
    <d v="2026-07-21T00:00:00"/>
    <d v="1899-12-30T22:42:00"/>
    <s v="Antalya"/>
    <s v="Antalya Airport"/>
    <s v="Airbus A320-214"/>
    <d v="2026-07-21T00:00:00"/>
    <d v="1899-12-30T22:04:00"/>
    <d v="1899-12-30T00:38:00"/>
    <x v="0"/>
  </r>
  <r>
    <x v="2"/>
    <s v="Landed 22:18"/>
    <d v="2026-07-21T00:00:00"/>
    <d v="1899-12-30T22:18:00"/>
    <s v="Warsaw"/>
    <s v="Warsaw Chopin Airport"/>
    <s v="Embraer E190STD"/>
    <d v="2026-07-21T00:00:00"/>
    <d v="1899-12-30T22:20:00"/>
    <d v="1899-12-30T00:02:00"/>
    <x v="1"/>
  </r>
  <r>
    <x v="14"/>
    <s v="Landed 21:57"/>
    <d v="2026-07-21T00:00:00"/>
    <d v="1899-12-30T21:57:00"/>
    <s v="Oslo"/>
    <s v="Oslo Gardermoen Airport"/>
    <s v="Boeing 737-8JP"/>
    <d v="2026-07-21T00:00:00"/>
    <d v="1899-12-30T22:25:00"/>
    <d v="1899-12-30T00:28:00"/>
    <x v="0"/>
  </r>
  <r>
    <x v="0"/>
    <s v="Landed 22:39"/>
    <d v="2026-07-21T00:00:00"/>
    <d v="1899-12-30T22:39:00"/>
    <s v="Lisbon"/>
    <s v="Lisbon Humberto Delgado Airport"/>
    <s v="Airbus A220-300"/>
    <d v="2026-07-21T00:00:00"/>
    <d v="1899-12-30T22:45:00"/>
    <d v="1899-12-30T00:06:00"/>
    <x v="1"/>
  </r>
  <r>
    <x v="0"/>
    <s v="Landed 23:01"/>
    <d v="2026-07-21T00:00:00"/>
    <d v="1899-12-30T23:01:00"/>
    <s v="Paris"/>
    <s v="Paris Charles de Gaulle Airport"/>
    <s v="Airbus A220-300"/>
    <d v="2026-07-21T00:00:00"/>
    <d v="1899-12-30T23:05:00"/>
    <d v="1899-12-30T00:04:00"/>
    <x v="1"/>
  </r>
  <r>
    <x v="16"/>
    <s v="Landed 23:47"/>
    <d v="2026-07-21T00:00:00"/>
    <d v="1899-12-30T23:47:00"/>
    <s v="Tel Aviv"/>
    <s v="Tel Aviv Ben Gurion International Airport"/>
    <s v="Airbus A320-232"/>
    <d v="2026-07-21T00:00:00"/>
    <d v="1899-12-30T23:15:00"/>
    <d v="1899-12-30T00:32:00"/>
    <x v="0"/>
  </r>
  <r>
    <x v="20"/>
    <s v="Landed 23:30"/>
    <d v="2026-07-21T00:00:00"/>
    <d v="1899-12-30T23:30:00"/>
    <s v="Antalya"/>
    <s v="Antalya Airport"/>
    <s v="Boeing 777-31H(ER)"/>
    <d v="2026-07-21T00:00:00"/>
    <d v="1899-12-30T23:20:00"/>
    <d v="1899-12-30T00:10:00"/>
    <x v="1"/>
  </r>
  <r>
    <x v="9"/>
    <s v="Landed 23:42"/>
    <d v="2026-07-21T00:00:00"/>
    <d v="1899-12-30T23:42:00"/>
    <s v="Vienna"/>
    <s v="Vienna International Airport"/>
    <s v="Boeing 737-8AS"/>
    <d v="2026-07-21T00:00:00"/>
    <d v="1899-12-30T23:40:00"/>
    <d v="1899-12-30T00:02:00"/>
    <x v="1"/>
  </r>
  <r>
    <x v="11"/>
    <s v="Landed 23:42"/>
    <d v="2026-07-21T00:00:00"/>
    <d v="1899-12-30T23:42:00"/>
    <s v="Frankfurt"/>
    <s v="Frankfurt Airport"/>
    <s v="Airbus A321-131"/>
    <d v="2026-07-21T00:00:00"/>
    <d v="1899-12-30T23:50:00"/>
    <d v="1899-12-30T00:08:00"/>
    <x v="1"/>
  </r>
  <r>
    <x v="1"/>
    <s v="Landed 23:50"/>
    <d v="2026-07-21T00:00:00"/>
    <d v="1899-12-30T23:50:00"/>
    <s v="Turku"/>
    <s v="Turku Airport"/>
    <s v="Airbus A321-271NX"/>
    <d v="2026-07-22T00:00:00"/>
    <d v="1899-12-30T00:15:00"/>
    <d v="1899-12-30T00:25:00"/>
    <x v="1"/>
  </r>
  <r>
    <x v="0"/>
    <s v="Landed 01:05"/>
    <d v="2026-07-22T00:00:00"/>
    <d v="1899-12-30T01:05:00"/>
    <s v="Riga"/>
    <s v="Riga International Airport"/>
    <s v="Airbus A220-300"/>
    <d v="2026-07-22T00:00:00"/>
    <d v="1899-12-30T00:30:00"/>
    <d v="1899-12-30T00:35:00"/>
    <x v="0"/>
  </r>
  <r>
    <x v="1"/>
    <s v="Landed 00:47"/>
    <d v="2026-07-22T00:00:00"/>
    <d v="1899-12-30T00:47:00"/>
    <s v="Barcelona"/>
    <s v="Barcelona El Prat Airport"/>
    <s v="Airbus A321-271NX"/>
    <d v="2026-07-22T00:00:00"/>
    <d v="1899-12-30T00:30:00"/>
    <d v="1899-12-30T00:17:00"/>
    <x v="0"/>
  </r>
  <r>
    <x v="2"/>
    <s v="Landed 00:32"/>
    <d v="2026-07-22T00:00:00"/>
    <d v="1899-12-30T00:32:00"/>
    <s v="Warsaw"/>
    <s v="Warsaw Chopin Airport"/>
    <s v="Boeing 737 MAX 8"/>
    <d v="2026-07-22T00:00:00"/>
    <d v="1899-12-30T00:40:00"/>
    <d v="1899-12-30T00:08:00"/>
    <x v="1"/>
  </r>
  <r>
    <x v="1"/>
    <s v="Landed 00:36"/>
    <d v="2026-07-22T00:00:00"/>
    <d v="1899-12-30T00:36:00"/>
    <s v="Bergen"/>
    <s v="Bergen Flesland Airport"/>
    <s v="Airbus A321-271NX"/>
    <d v="2026-07-22T00:00:00"/>
    <d v="1899-12-30T00:40:00"/>
    <d v="1899-12-30T00:04:00"/>
    <x v="1"/>
  </r>
  <r>
    <x v="9"/>
    <s v="Landed 00:58"/>
    <d v="2026-07-22T00:00:00"/>
    <d v="1899-12-30T00:58:00"/>
    <s v="Barcelona"/>
    <s v="Barcelona El Prat Airport"/>
    <s v="Boeing 737-8AS"/>
    <d v="2026-07-22T00:00:00"/>
    <d v="1899-12-30T01:15:00"/>
    <d v="1899-12-30T00:17:00"/>
    <x v="0"/>
  </r>
  <r>
    <x v="0"/>
    <s v="Landed 01:09"/>
    <d v="2026-07-22T00:00:00"/>
    <d v="1899-12-30T01:09:00"/>
    <s v="Zurich"/>
    <s v="Zurich Airport"/>
    <s v="Airbus A220-300"/>
    <d v="2026-07-22T00:00:00"/>
    <d v="1899-12-30T01:25:00"/>
    <d v="1899-12-30T00:16:00"/>
    <x v="0"/>
  </r>
  <r>
    <x v="3"/>
    <s v="Landed 01:32"/>
    <d v="2026-07-22T00:00:00"/>
    <d v="1899-12-30T01:32:00"/>
    <s v="Copenhagen"/>
    <s v="Copenhagen Airport"/>
    <s v="Mitsubishi CRJ-900LR"/>
    <d v="2026-07-22T00:00:00"/>
    <d v="1899-12-30T01:25:00"/>
    <d v="1899-12-30T00:07:00"/>
    <x v="1"/>
  </r>
  <r>
    <x v="21"/>
    <s v="Landed 02:06"/>
    <d v="2026-07-22T00:00:00"/>
    <d v="1899-12-30T02:06:00"/>
    <s v="Athens"/>
    <s v="Athens Eleftherios Venizelos"/>
    <s v="Airbus A320-232"/>
    <d v="2026-07-22T00:00:00"/>
    <d v="1899-12-30T02:10:00"/>
    <d v="1899-12-30T00:04:00"/>
    <x v="1"/>
  </r>
  <r>
    <x v="5"/>
    <s v="Landed 07:40"/>
    <d v="2026-07-22T00:00:00"/>
    <d v="1899-12-30T07:40:00"/>
    <s v="Leipzig"/>
    <s v="Leipzig Halle Airport"/>
    <s v="Boeing 737-86N(SF)"/>
    <d v="2026-07-22T00:00:00"/>
    <d v="1899-12-30T07:38:00"/>
    <d v="1899-12-30T00:02:00"/>
    <x v="1"/>
  </r>
  <r>
    <x v="12"/>
    <s v="Landed 07:46"/>
    <d v="2026-07-22T00:00:00"/>
    <d v="1899-12-30T07:46:00"/>
    <s v="Tallinn"/>
    <s v="Tallinn Lennart Meri Airport"/>
    <s v="Airbus A320-232"/>
    <d v="2026-07-22T00:00:00"/>
    <d v="1899-12-30T07:57:00"/>
    <d v="1899-12-30T00:11:00"/>
    <x v="1"/>
  </r>
  <r>
    <x v="0"/>
    <s v="Landed 18:13"/>
    <d v="2026-07-22T00:00:00"/>
    <d v="1899-12-30T18:13:00"/>
    <s v="Riga"/>
    <s v="Riga International Airport"/>
    <s v="Airbus A220-300"/>
    <d v="2026-07-22T00:00:00"/>
    <d v="1899-12-30T08:40:00"/>
    <d v="1899-12-30T09:33:00"/>
    <x v="0"/>
  </r>
  <r>
    <x v="1"/>
    <s v="Canceled"/>
    <d v="2026-07-22T00:00:00"/>
    <e v="#N/A"/>
    <s v="Krakow"/>
    <s v="Krakow John Paul II International Airport"/>
    <s v="N/A"/>
    <d v="2026-07-22T00:00:00"/>
    <d v="1899-12-30T08:50:00"/>
    <e v="#N/A"/>
    <x v="2"/>
  </r>
  <r>
    <x v="7"/>
    <s v="Landed 08:57"/>
    <d v="2026-07-22T00:00:00"/>
    <d v="1899-12-30T08:57:00"/>
    <s v="Helsinki"/>
    <s v="Helsinki Vantaa Airport"/>
    <s v="ATR 72-500"/>
    <d v="2026-07-22T00:00:00"/>
    <d v="1899-12-30T09:15:00"/>
    <d v="1899-12-30T00:18:00"/>
    <x v="0"/>
  </r>
  <r>
    <x v="1"/>
    <s v="Landed 08:49"/>
    <d v="2026-07-22T00:00:00"/>
    <d v="1899-12-30T08:49:00"/>
    <s v="Tallinn"/>
    <s v="Tallinn Lennart Meri Airport"/>
    <s v="Airbus A321-271NX"/>
    <d v="2026-07-22T00:00:00"/>
    <d v="1899-12-30T09:20:00"/>
    <d v="1899-12-30T00:31:00"/>
    <x v="0"/>
  </r>
  <r>
    <x v="0"/>
    <s v="Landed 09:47"/>
    <d v="2026-07-22T00:00:00"/>
    <d v="1899-12-30T09:47:00"/>
    <s v="Tallinn"/>
    <s v="Tallinn Lennart Meri Airport"/>
    <s v="Airbus A220-300"/>
    <d v="2026-07-22T00:00:00"/>
    <d v="1899-12-30T10:00:00"/>
    <d v="1899-12-30T00:13:00"/>
    <x v="1"/>
  </r>
  <r>
    <x v="2"/>
    <s v="Landed 10:02"/>
    <d v="2026-07-22T00:00:00"/>
    <d v="1899-12-30T10:02:00"/>
    <s v="Warsaw"/>
    <s v="Warsaw Chopin Airport"/>
    <s v="Embraer E175STD"/>
    <d v="2026-07-22T00:00:00"/>
    <d v="1899-12-30T10:05:00"/>
    <d v="1899-12-30T00:03:00"/>
    <x v="1"/>
  </r>
  <r>
    <x v="10"/>
    <s v="Landed 10:37"/>
    <d v="2026-07-22T00:00:00"/>
    <d v="1899-12-30T10:37:00"/>
    <s v="Istanbul"/>
    <s v="Istanbul Airport"/>
    <s v="Boeing 737 MAX 8"/>
    <d v="2026-07-22T00:00:00"/>
    <d v="1899-12-30T10:45:00"/>
    <d v="1899-12-30T00:08:00"/>
    <x v="1"/>
  </r>
  <r>
    <x v="17"/>
    <s v="Landed 11:05"/>
    <d v="2026-07-22T00:00:00"/>
    <d v="1899-12-30T11:05:00"/>
    <s v="Tivat"/>
    <s v="Tivat Airport"/>
    <s v="Airbus A320-232"/>
    <d v="2026-07-22T00:00:00"/>
    <d v="1899-12-30T11:00:00"/>
    <d v="1899-12-30T00:05:00"/>
    <x v="1"/>
  </r>
  <r>
    <x v="9"/>
    <s v="Landed 11:04"/>
    <d v="2026-07-22T00:00:00"/>
    <d v="1899-12-30T11:04:00"/>
    <s v="London"/>
    <s v="London Stansted Airport"/>
    <s v="Boeing 737 MAX 8-200"/>
    <d v="2026-07-22T00:00:00"/>
    <d v="1899-12-30T11:10:00"/>
    <d v="1899-12-30T00:06:00"/>
    <x v="1"/>
  </r>
  <r>
    <x v="9"/>
    <s v="Landed 11:19"/>
    <d v="2026-07-22T00:00:00"/>
    <d v="1899-12-30T11:19:00"/>
    <s v="Nuremberg"/>
    <s v="Nuremberg Airport"/>
    <s v="Boeing 737-8AS"/>
    <d v="2026-07-22T00:00:00"/>
    <d v="1899-12-30T11:35:00"/>
    <d v="1899-12-30T00:16:00"/>
    <x v="0"/>
  </r>
  <r>
    <x v="9"/>
    <s v="Landed 11:47"/>
    <d v="2026-07-22T00:00:00"/>
    <d v="1899-12-30T11:47:00"/>
    <s v="London"/>
    <s v="London Luton Airport"/>
    <s v="Boeing 737 MAX 8-200"/>
    <d v="2026-07-22T00:00:00"/>
    <d v="1899-12-30T11:55:00"/>
    <d v="1899-12-30T00:08:00"/>
    <x v="1"/>
  </r>
  <r>
    <x v="9"/>
    <s v="Landed 11:51"/>
    <d v="2026-07-22T00:00:00"/>
    <d v="1899-12-30T11:51:00"/>
    <s v="Barcelona"/>
    <s v="Barcelona El Prat Airport"/>
    <s v="Boeing 737-8AS"/>
    <d v="2026-07-22T00:00:00"/>
    <d v="1899-12-30T12:00:00"/>
    <d v="1899-12-30T00:09:00"/>
    <x v="1"/>
  </r>
  <r>
    <x v="11"/>
    <s v="Landed 12:41"/>
    <d v="2026-07-22T00:00:00"/>
    <d v="1899-12-30T12:41:00"/>
    <s v="Frankfurt"/>
    <s v="Frankfurt Airport"/>
    <s v="Airbus A320-214"/>
    <d v="2026-07-22T00:00:00"/>
    <d v="1899-12-30T12:40:00"/>
    <d v="1899-12-30T00:01:00"/>
    <x v="1"/>
  </r>
  <r>
    <x v="1"/>
    <s v="Canceled"/>
    <d v="2026-07-22T00:00:00"/>
    <e v="#N/A"/>
    <s v="London"/>
    <s v="London Luton Airport"/>
    <s v="N/A"/>
    <d v="2026-07-22T00:00:00"/>
    <d v="1899-12-30T12:50:00"/>
    <e v="#N/A"/>
    <x v="2"/>
  </r>
  <r>
    <x v="7"/>
    <s v="Landed 12:52"/>
    <d v="2026-07-22T00:00:00"/>
    <d v="1899-12-30T12:52:00"/>
    <s v="Helsinki"/>
    <s v="Helsinki Vantaa Airport"/>
    <s v="ATR 72-500"/>
    <d v="2026-07-22T00:00:00"/>
    <d v="1899-12-30T13:00:00"/>
    <d v="1899-12-30T00:08:00"/>
    <x v="1"/>
  </r>
  <r>
    <x v="12"/>
    <s v="Landed 12:54"/>
    <d v="2026-07-22T00:00:00"/>
    <d v="1899-12-30T12:54:00"/>
    <s v="Antalya"/>
    <s v="Antalya Airport"/>
    <s v="Airbus A320-214"/>
    <d v="2026-07-22T00:00:00"/>
    <d v="1899-12-30T13:08:00"/>
    <d v="1899-12-30T00:14:00"/>
    <x v="1"/>
  </r>
  <r>
    <x v="9"/>
    <s v="Landed 12:56"/>
    <d v="2026-07-22T00:00:00"/>
    <d v="1899-12-30T12:56:00"/>
    <s v="Eindhoven"/>
    <s v="Eindhoven Airport"/>
    <s v="Boeing 737-8AS"/>
    <d v="2026-07-22T00:00:00"/>
    <d v="1899-12-30T13:10:00"/>
    <d v="1899-12-30T00:14:00"/>
    <x v="1"/>
  </r>
  <r>
    <x v="0"/>
    <s v="Landed 13:31"/>
    <d v="2026-07-22T00:00:00"/>
    <d v="1899-12-30T13:31:00"/>
    <s v="Amsterdam"/>
    <s v="Amsterdam Schiphol Airport"/>
    <s v="Airbus A220-300"/>
    <d v="2026-07-22T00:00:00"/>
    <d v="1899-12-30T13:25:00"/>
    <d v="1899-12-30T00:06:00"/>
    <x v="1"/>
  </r>
  <r>
    <x v="13"/>
    <s v="Landed 13:03"/>
    <d v="2026-07-22T00:00:00"/>
    <d v="1899-12-30T13:03:00"/>
    <s v="Antalya"/>
    <s v="Antalya Airport"/>
    <s v="Boeing 737-85P"/>
    <d v="2026-07-22T00:00:00"/>
    <d v="1899-12-30T13:26:00"/>
    <d v="1899-12-30T00:23:00"/>
    <x v="0"/>
  </r>
  <r>
    <x v="13"/>
    <s v="Landed 13:24"/>
    <d v="2026-07-22T00:00:00"/>
    <d v="1899-12-30T13:24:00"/>
    <s v="Heraklion"/>
    <s v="Heraklion International Airport"/>
    <s v="Boeing 737-8FE"/>
    <d v="2026-07-22T00:00:00"/>
    <d v="1899-12-30T13:32:00"/>
    <d v="1899-12-30T00:08:00"/>
    <x v="1"/>
  </r>
  <r>
    <x v="9"/>
    <s v="Landed 13:41"/>
    <d v="2026-07-22T00:00:00"/>
    <d v="1899-12-30T13:41:00"/>
    <s v="Rome"/>
    <s v="Rome Ciampino Airport"/>
    <s v="Boeing 737-8AS"/>
    <d v="2026-07-22T00:00:00"/>
    <d v="1899-12-30T13:50:00"/>
    <d v="1899-12-30T00:09:00"/>
    <x v="1"/>
  </r>
  <r>
    <x v="2"/>
    <s v="Landed 13:47"/>
    <d v="2026-07-22T00:00:00"/>
    <d v="1899-12-30T13:47:00"/>
    <s v="Warsaw"/>
    <s v="Warsaw Chopin Airport"/>
    <s v="Embraer E190AR"/>
    <d v="2026-07-22T00:00:00"/>
    <d v="1899-12-30T13:50:00"/>
    <d v="1899-12-30T00:03:00"/>
    <x v="1"/>
  </r>
  <r>
    <x v="9"/>
    <s v="Landed 15:46"/>
    <d v="2026-07-22T00:00:00"/>
    <d v="1899-12-30T15:46:00"/>
    <s v="Berlin"/>
    <s v="Berlin Brandenburg Airport"/>
    <s v="Boeing 737-8AS"/>
    <d v="2026-07-22T00:00:00"/>
    <d v="1899-12-30T14:05:00"/>
    <d v="1899-12-30T01:41:00"/>
    <x v="0"/>
  </r>
  <r>
    <x v="1"/>
    <s v="Landed 13:55"/>
    <d v="2026-07-22T00:00:00"/>
    <d v="1899-12-30T13:55:00"/>
    <s v="Budapest"/>
    <s v="Budapest Ferenc Liszt International Airport"/>
    <s v="Airbus A321-271NX"/>
    <d v="2026-07-22T00:00:00"/>
    <d v="1899-12-30T14:10:00"/>
    <d v="1899-12-30T00:15:00"/>
    <x v="1"/>
  </r>
  <r>
    <x v="0"/>
    <s v="Landed 14:48"/>
    <d v="2026-07-22T00:00:00"/>
    <d v="1899-12-30T14:48:00"/>
    <s v="Riga"/>
    <s v="Riga International Airport"/>
    <s v="Airbus A220-300"/>
    <d v="2026-07-22T00:00:00"/>
    <d v="1899-12-30T14:35:00"/>
    <d v="1899-12-30T00:13:00"/>
    <x v="1"/>
  </r>
  <r>
    <x v="15"/>
    <s v="Landed 14:53"/>
    <d v="2026-07-22T00:00:00"/>
    <d v="1899-12-30T14:53:00"/>
    <s v="Palanga"/>
    <s v="Palanga International Airport"/>
    <s v="Cirrus SR22T"/>
    <d v="2026-07-22T00:00:00"/>
    <d v="1899-12-30T14:51:00"/>
    <d v="1899-12-30T00:02:00"/>
    <x v="1"/>
  </r>
  <r>
    <x v="0"/>
    <s v="Landed 15:15"/>
    <d v="2026-07-22T00:00:00"/>
    <d v="1899-12-30T15:15:00"/>
    <s v="Vienna"/>
    <s v="Vienna International Airport"/>
    <s v="Airbus A220-300"/>
    <d v="2026-07-22T00:00:00"/>
    <d v="1899-12-30T15:10:00"/>
    <d v="1899-12-30T00:05:00"/>
    <x v="1"/>
  </r>
  <r>
    <x v="3"/>
    <s v="Landed 15:01"/>
    <d v="2026-07-22T00:00:00"/>
    <d v="1899-12-30T15:01:00"/>
    <s v="Copenhagen"/>
    <s v="Copenhagen Airport"/>
    <s v="Mitsubishi CRJ-900LR"/>
    <d v="2026-07-22T00:00:00"/>
    <d v="1899-12-30T15:15:00"/>
    <d v="1899-12-30T00:14:00"/>
    <x v="1"/>
  </r>
  <r>
    <x v="29"/>
    <s v="Landed 15:28"/>
    <d v="2026-07-22T00:00:00"/>
    <d v="1899-12-30T15:28:00"/>
    <s v="Stockholm"/>
    <s v="Stockholm Arlanda Airport"/>
    <s v="Hawker 800XP"/>
    <d v="2026-07-22T00:00:00"/>
    <d v="1899-12-30T15:21:00"/>
    <d v="1899-12-30T00:07:00"/>
    <x v="1"/>
  </r>
  <r>
    <x v="1"/>
    <s v="Landed 15:22"/>
    <d v="2026-07-22T00:00:00"/>
    <d v="1899-12-30T15:22:00"/>
    <s v="Malaga"/>
    <s v="Malaga Costa Del Sol Airport"/>
    <s v="Airbus A321-271NX"/>
    <d v="2026-07-22T00:00:00"/>
    <d v="1899-12-30T15:35:00"/>
    <d v="1899-12-30T00:13:00"/>
    <x v="1"/>
  </r>
  <r>
    <x v="15"/>
    <s v="Landed 17:13"/>
    <d v="2026-07-22T00:00:00"/>
    <d v="1899-12-30T17:13:00"/>
    <s v="Kaunas"/>
    <s v="Kaunas Aleksotas Airport"/>
    <s v="Cirrus SR22T"/>
    <d v="2026-07-22T00:00:00"/>
    <d v="1899-12-30T15:38:00"/>
    <d v="1899-12-30T01:35:00"/>
    <x v="0"/>
  </r>
  <r>
    <x v="2"/>
    <s v="Landed 16:32"/>
    <d v="2026-07-22T00:00:00"/>
    <d v="1899-12-30T16:32:00"/>
    <s v="Warsaw"/>
    <s v="Warsaw Chopin Airport"/>
    <s v="Boeing 737 MAX 8"/>
    <d v="2026-07-22T00:00:00"/>
    <d v="1899-12-30T16:25:00"/>
    <d v="1899-12-30T00:07:00"/>
    <x v="1"/>
  </r>
  <r>
    <x v="7"/>
    <s v="Landed 17:07"/>
    <d v="2026-07-22T00:00:00"/>
    <d v="1899-12-30T17:07:00"/>
    <s v="Helsinki"/>
    <s v="Helsinki Vantaa Airport"/>
    <s v="Embraer E190LR"/>
    <d v="2026-07-22T00:00:00"/>
    <d v="1899-12-30T17:10:00"/>
    <d v="1899-12-30T00:03:00"/>
    <x v="1"/>
  </r>
  <r>
    <x v="13"/>
    <s v="Landed 16:55"/>
    <d v="2026-07-22T00:00:00"/>
    <d v="1899-12-30T16:55:00"/>
    <s v="Fes"/>
    <s v="Fes Saiss Airport"/>
    <s v="Airbus A320-214"/>
    <d v="2026-07-22T00:00:00"/>
    <d v="1899-12-30T17:22:00"/>
    <d v="1899-12-30T00:27:00"/>
    <x v="0"/>
  </r>
  <r>
    <x v="9"/>
    <s v="Landed 17:35"/>
    <d v="2026-07-22T00:00:00"/>
    <d v="1899-12-30T17:35:00"/>
    <s v="Oslo"/>
    <s v="Oslo Gardermoen Airport"/>
    <s v="Boeing 737-8AS"/>
    <d v="2026-07-22T00:00:00"/>
    <d v="1899-12-30T17:45:00"/>
    <d v="1899-12-30T00:10:00"/>
    <x v="1"/>
  </r>
  <r>
    <x v="2"/>
    <s v="Landed 18:33"/>
    <d v="2026-07-22T00:00:00"/>
    <d v="1899-12-30T18:33:00"/>
    <s v="Warsaw"/>
    <s v="Warsaw Chopin Airport"/>
    <s v="Embraer E195LR"/>
    <d v="2026-07-22T00:00:00"/>
    <d v="1899-12-30T18:35:00"/>
    <d v="1899-12-30T00:02:00"/>
    <x v="1"/>
  </r>
  <r>
    <x v="1"/>
    <s v="Landed 19:17"/>
    <d v="2026-07-22T00:00:00"/>
    <d v="1899-12-30T19:17:00"/>
    <s v="Dortmund"/>
    <s v="Dortmund Airport"/>
    <s v="Airbus A321-271NX"/>
    <d v="2026-07-22T00:00:00"/>
    <d v="1899-12-30T18:35:00"/>
    <d v="1899-12-30T00:42:00"/>
    <x v="0"/>
  </r>
  <r>
    <x v="11"/>
    <s v="Landed 18:39"/>
    <d v="2026-07-22T00:00:00"/>
    <d v="1899-12-30T18:39:00"/>
    <s v="Frankfurt"/>
    <s v="Frankfurt Airport"/>
    <s v="Airbus A320-214"/>
    <d v="2026-07-22T00:00:00"/>
    <d v="1899-12-30T18:50:00"/>
    <d v="1899-12-30T00:11:00"/>
    <x v="1"/>
  </r>
  <r>
    <x v="0"/>
    <s v="Landed 19:14"/>
    <d v="2026-07-22T00:00:00"/>
    <d v="1899-12-30T19:14:00"/>
    <s v="Palma de Mallorca"/>
    <s v="Palma de Mallorca Airport"/>
    <s v="Airbus A220-300"/>
    <d v="2026-07-22T00:00:00"/>
    <d v="1899-12-30T19:15:00"/>
    <d v="1899-12-30T00:01:00"/>
    <x v="1"/>
  </r>
  <r>
    <x v="10"/>
    <s v="Landed 19:33"/>
    <d v="2026-07-22T00:00:00"/>
    <d v="1899-12-30T19:33:00"/>
    <s v="Istanbul"/>
    <s v="Istanbul Airport"/>
    <s v="Boeing 737-8F2"/>
    <d v="2026-07-22T00:00:00"/>
    <d v="1899-12-30T19:30:00"/>
    <d v="1899-12-30T00:03:00"/>
    <x v="1"/>
  </r>
  <r>
    <x v="0"/>
    <s v="Landed 20:02"/>
    <d v="2026-07-22T00:00:00"/>
    <d v="1899-12-30T20:02:00"/>
    <s v="Amsterdam"/>
    <s v="Amsterdam Schiphol Airport"/>
    <s v="Airbus A220-300"/>
    <d v="2026-07-22T00:00:00"/>
    <d v="1899-12-30T19:50:00"/>
    <d v="1899-12-30T00:12:00"/>
    <x v="1"/>
  </r>
  <r>
    <x v="12"/>
    <s v="Landed 19:59"/>
    <d v="2026-07-22T00:00:00"/>
    <d v="1899-12-30T19:59:00"/>
    <s v="Tivat"/>
    <s v="Tivat Airport"/>
    <s v="Airbus A320-214"/>
    <d v="2026-07-22T00:00:00"/>
    <d v="1899-12-30T19:56:00"/>
    <d v="1899-12-30T00:03:00"/>
    <x v="1"/>
  </r>
  <r>
    <x v="44"/>
    <s v="Landed 21:10"/>
    <d v="2026-07-22T00:00:00"/>
    <d v="1899-12-30T21:10:00"/>
    <s v="Nottingham"/>
    <s v="Nottingham East Midlands Airport"/>
    <s v="Hawker Beechcraft 400XP"/>
    <d v="2026-07-22T00:00:00"/>
    <d v="1899-12-30T20:12:00"/>
    <d v="1899-12-30T00:58:00"/>
    <x v="0"/>
  </r>
  <r>
    <x v="17"/>
    <s v="Landed 20:11"/>
    <d v="2026-07-22T00:00:00"/>
    <d v="1899-12-30T20:11:00"/>
    <s v="Burgas"/>
    <s v="Burgas Airport"/>
    <s v="Airbus A320-232"/>
    <d v="2026-07-22T00:00:00"/>
    <d v="1899-12-30T20:35:00"/>
    <d v="1899-12-30T00:24:00"/>
    <x v="0"/>
  </r>
  <r>
    <x v="7"/>
    <s v="Landed 20:55"/>
    <d v="2026-07-22T00:00:00"/>
    <d v="1899-12-30T20:55:00"/>
    <s v="Helsinki"/>
    <s v="Helsinki Vantaa Airport"/>
    <s v="ATR 72-500"/>
    <d v="2026-07-22T00:00:00"/>
    <d v="1899-12-30T21:10:00"/>
    <d v="1899-12-30T00:15:00"/>
    <x v="1"/>
  </r>
  <r>
    <x v="9"/>
    <s v="Landed 21:16"/>
    <d v="2026-07-22T00:00:00"/>
    <d v="1899-12-30T21:16:00"/>
    <s v="Athens"/>
    <s v="Athens Eleftherios Venizelos"/>
    <s v="Boeing 737-8AS"/>
    <d v="2026-07-22T00:00:00"/>
    <d v="1899-12-30T21:15:00"/>
    <d v="1899-12-30T00:01:00"/>
    <x v="1"/>
  </r>
  <r>
    <x v="1"/>
    <s v="Landed 23:12"/>
    <d v="2026-07-22T00:00:00"/>
    <d v="1899-12-30T23:12:00"/>
    <s v="Nice"/>
    <s v="Nice Cote d'Azur Airport"/>
    <s v="Airbus A321-271NX"/>
    <d v="2026-07-22T00:00:00"/>
    <d v="1899-12-30T21:30:00"/>
    <d v="1899-12-30T01:42:00"/>
    <x v="0"/>
  </r>
  <r>
    <x v="0"/>
    <s v="Landed 21:39"/>
    <d v="2026-07-22T00:00:00"/>
    <d v="1899-12-30T21:39:00"/>
    <s v="Tallinn"/>
    <s v="Tallinn Lennart Meri Airport"/>
    <s v="Airbus A220-300"/>
    <d v="2026-07-22T00:00:00"/>
    <d v="1899-12-30T21:45:00"/>
    <d v="1899-12-30T00:06:00"/>
    <x v="1"/>
  </r>
  <r>
    <x v="9"/>
    <s v="Landed 22:06"/>
    <d v="2026-07-22T00:00:00"/>
    <d v="1899-12-30T22:06:00"/>
    <s v="Frankfurt"/>
    <s v="Frankfurt Hahn Airport"/>
    <s v="Boeing 737-8AS"/>
    <d v="2026-07-22T00:00:00"/>
    <d v="1899-12-30T22:10:00"/>
    <d v="1899-12-30T00:04:00"/>
    <x v="1"/>
  </r>
  <r>
    <x v="10"/>
    <s v="Unknown"/>
    <d v="2026-07-22T00:00:00"/>
    <e v="#N/A"/>
    <s v="Helsinki"/>
    <s v="Helsinki Vantaa Airport"/>
    <s v="N/A"/>
    <d v="2026-07-22T00:00:00"/>
    <d v="1899-12-30T22:45:00"/>
    <e v="#N/A"/>
    <x v="2"/>
  </r>
  <r>
    <x v="0"/>
    <s v="Unknown"/>
    <d v="2026-07-22T00:00:00"/>
    <e v="#N/A"/>
    <s v="Riga"/>
    <s v="Riga International Airport"/>
    <s v="Airbus A220-300"/>
    <d v="2026-07-22T00:00:00"/>
    <d v="1899-12-30T22:50:00"/>
    <e v="#N/A"/>
    <x v="2"/>
  </r>
  <r>
    <x v="11"/>
    <s v="Landed 23:28"/>
    <d v="2026-07-22T00:00:00"/>
    <d v="1899-12-30T23:28:00"/>
    <s v="Frankfurt"/>
    <s v="Frankfurt Airport"/>
    <s v="Airbus A321-251NX"/>
    <d v="2026-07-22T00:00:00"/>
    <d v="1899-12-30T23:35:00"/>
    <d v="1899-12-30T00:07:00"/>
    <x v="1"/>
  </r>
  <r>
    <x v="0"/>
    <s v="Delayed 00:45"/>
    <d v="2026-07-22T00:00:00"/>
    <e v="#N/A"/>
    <s v="Paris"/>
    <s v="Paris Charles de Gaulle Airport"/>
    <s v="Airbus A220-300"/>
    <d v="2026-07-22T00:00:00"/>
    <d v="1899-12-30T23:59:00"/>
    <e v="#N/A"/>
    <x v="2"/>
  </r>
  <r>
    <x v="9"/>
    <s v="Landed 23:33"/>
    <d v="2026-07-22T00:00:00"/>
    <d v="1899-12-30T23:33:00"/>
    <s v="Milan"/>
    <s v="Milan Bergamo Orio al Serio International Airport"/>
    <s v="Boeing 737-8AS"/>
    <d v="2026-07-22T00:00:00"/>
    <d v="1899-12-30T23:59:00"/>
    <d v="1899-12-30T00:26:00"/>
    <x v="0"/>
  </r>
  <r>
    <x v="0"/>
    <s v="Landed 01:43"/>
    <d v="2026-07-23T00:00:00"/>
    <d v="1899-12-30T01:43:00"/>
    <s v="Riga"/>
    <s v="Riga International Airport"/>
    <s v="Airbus A220-300"/>
    <d v="2026-07-23T00:00:00"/>
    <d v="1899-12-30T00:30:00"/>
    <d v="1899-12-30T01:13:00"/>
    <x v="0"/>
  </r>
  <r>
    <x v="1"/>
    <s v="Landed 00:15"/>
    <d v="2026-07-23T00:00:00"/>
    <d v="1899-12-30T00:15:00"/>
    <s v="Barcelona"/>
    <s v="Barcelona El Prat Airport"/>
    <s v="Airbus A321-271NX"/>
    <d v="2026-07-23T00:00:00"/>
    <d v="1899-12-30T00:30:00"/>
    <d v="1899-12-30T00:15:00"/>
    <x v="1"/>
  </r>
  <r>
    <x v="2"/>
    <s v="Landed 00:33"/>
    <d v="2026-07-23T00:00:00"/>
    <d v="1899-12-30T00:33:00"/>
    <s v="Warsaw"/>
    <s v="Warsaw Chopin Airport"/>
    <s v="Embraer E195AR"/>
    <d v="2026-07-23T00:00:00"/>
    <d v="1899-12-30T00:40:00"/>
    <d v="1899-12-30T00:07:00"/>
    <x v="1"/>
  </r>
  <r>
    <x v="0"/>
    <s v="Canceled"/>
    <d v="2026-07-23T00:00:00"/>
    <e v="#N/A"/>
    <s v="Munich"/>
    <s v="Munich Airport"/>
    <s v="Airbus A220-300"/>
    <d v="2026-07-23T00:00:00"/>
    <d v="1899-12-30T00:45:00"/>
    <e v="#N/A"/>
    <x v="2"/>
  </r>
  <r>
    <x v="1"/>
    <s v="Landed 01:45"/>
    <d v="2026-07-23T00:00:00"/>
    <d v="1899-12-30T01:45:00"/>
    <s v="Milan"/>
    <s v="Milan Malpensa Airport"/>
    <s v="Airbus A321-271NX"/>
    <d v="2026-07-23T00:00:00"/>
    <d v="1899-12-30T01:20:00"/>
    <d v="1899-12-30T00:25:00"/>
    <x v="0"/>
  </r>
  <r>
    <x v="0"/>
    <s v="Landed 01:51"/>
    <d v="2026-07-23T00:00:00"/>
    <d v="1899-12-30T01:51:00"/>
    <s v="Zurich"/>
    <s v="Zurich Airport"/>
    <s v="Airbus A220-300"/>
    <d v="2026-07-23T00:00:00"/>
    <d v="1899-12-30T01:25:00"/>
    <d v="1899-12-30T00:26:00"/>
    <x v="0"/>
  </r>
  <r>
    <x v="3"/>
    <s v="Landed 01:32"/>
    <d v="2026-07-23T00:00:00"/>
    <d v="1899-12-30T01:32:00"/>
    <s v="Copenhagen"/>
    <s v="Copenhagen Airport"/>
    <s v="Mitsubishi CRJ-900LR"/>
    <d v="2026-07-23T00:00:00"/>
    <d v="1899-12-30T01:25:00"/>
    <d v="1899-12-30T00:07:00"/>
    <x v="1"/>
  </r>
  <r>
    <x v="5"/>
    <s v="Landed 07:38"/>
    <d v="2026-07-23T00:00:00"/>
    <d v="1899-12-30T07:38:00"/>
    <s v="Leipzig"/>
    <s v="Leipzig Halle Airport"/>
    <s v="Boeing 737-86N(SF)"/>
    <d v="2026-07-23T00:00:00"/>
    <d v="1899-12-30T07:37:00"/>
    <d v="1899-12-30T00:01:00"/>
    <x v="1"/>
  </r>
  <r>
    <x v="0"/>
    <s v="Landed 08:34"/>
    <d v="2026-07-23T00:00:00"/>
    <d v="1899-12-30T08:34:00"/>
    <s v="Riga"/>
    <s v="Riga International Airport"/>
    <s v="Airbus A220-300"/>
    <d v="2026-07-23T00:00:00"/>
    <d v="1899-12-30T08:40:00"/>
    <d v="1899-12-30T00:06:00"/>
    <x v="1"/>
  </r>
  <r>
    <x v="6"/>
    <s v="Landed 09:00"/>
    <d v="2026-07-23T00:00:00"/>
    <d v="1899-12-30T09:00:00"/>
    <s v="Vienna"/>
    <s v="Vienna International Airport"/>
    <s v="Airbus A320-232"/>
    <d v="2026-07-23T00:00:00"/>
    <d v="1899-12-30T09:05:00"/>
    <d v="1899-12-30T00:05:00"/>
    <x v="1"/>
  </r>
  <r>
    <x v="7"/>
    <s v="Landed 09:13"/>
    <d v="2026-07-23T00:00:00"/>
    <d v="1899-12-30T09:13:00"/>
    <s v="Helsinki"/>
    <s v="Helsinki Vantaa Airport"/>
    <s v="ATR 72-500"/>
    <d v="2026-07-23T00:00:00"/>
    <d v="1899-12-30T09:20:00"/>
    <d v="1899-12-30T00:07:00"/>
    <x v="1"/>
  </r>
  <r>
    <x v="1"/>
    <s v="Landed 08:57"/>
    <d v="2026-07-23T00:00:00"/>
    <d v="1899-12-30T08:57:00"/>
    <s v="Tallinn"/>
    <s v="Tallinn Lennart Meri Airport"/>
    <s v="Airbus A321-271NX"/>
    <d v="2026-07-23T00:00:00"/>
    <d v="1899-12-30T09:20:00"/>
    <d v="1899-12-30T00:23:00"/>
    <x v="0"/>
  </r>
  <r>
    <x v="42"/>
    <s v="Landed 09:38"/>
    <d v="2026-07-23T00:00:00"/>
    <d v="1899-12-30T09:38:00"/>
    <s v="Tel Aviv"/>
    <s v="Tel Aviv Ben Gurion International Airport"/>
    <s v="Airbus A320-214"/>
    <d v="2026-07-23T00:00:00"/>
    <d v="1899-12-30T09:50:00"/>
    <d v="1899-12-30T00:12:00"/>
    <x v="1"/>
  </r>
  <r>
    <x v="9"/>
    <s v="Landed 09:25"/>
    <d v="2026-07-23T00:00:00"/>
    <d v="1899-12-30T09:25:00"/>
    <s v="Corfu"/>
    <s v="Corfu International Airport"/>
    <s v="Boeing 737 MAX 8-200"/>
    <d v="2026-07-23T00:00:00"/>
    <d v="1899-12-30T09:55:00"/>
    <d v="1899-12-30T00:30:00"/>
    <x v="0"/>
  </r>
  <r>
    <x v="2"/>
    <s v="Landed 09:52"/>
    <d v="2026-07-23T00:00:00"/>
    <d v="1899-12-30T09:52:00"/>
    <s v="Warsaw"/>
    <s v="Warsaw Chopin Airport"/>
    <s v="Embraer E195LR"/>
    <d v="2026-07-23T00:00:00"/>
    <d v="1899-12-30T10:05:00"/>
    <d v="1899-12-30T00:13:00"/>
    <x v="1"/>
  </r>
  <r>
    <x v="0"/>
    <s v="Landed 10:15"/>
    <d v="2026-07-23T00:00:00"/>
    <d v="1899-12-30T10:15:00"/>
    <s v="Tallinn"/>
    <s v="Tallinn Lennart Meri Airport"/>
    <s v="Airbus A220-300"/>
    <d v="2026-07-23T00:00:00"/>
    <d v="1899-12-30T10:45:00"/>
    <d v="1899-12-30T00:30:00"/>
    <x v="0"/>
  </r>
  <r>
    <x v="9"/>
    <s v="Landed 11:56"/>
    <d v="2026-07-23T00:00:00"/>
    <d v="1899-12-30T11:56:00"/>
    <s v="London"/>
    <s v="London Stansted Airport"/>
    <s v="Boeing 737-8AS"/>
    <d v="2026-07-23T00:00:00"/>
    <d v="1899-12-30T12:00:00"/>
    <d v="1899-12-30T00:04:00"/>
    <x v="1"/>
  </r>
  <r>
    <x v="9"/>
    <s v="Landed 12:14"/>
    <d v="2026-07-23T00:00:00"/>
    <d v="1899-12-30T12:14:00"/>
    <s v="Athens"/>
    <s v="Athens Eleftherios Venizelos"/>
    <s v="Boeing 737-8AS"/>
    <d v="2026-07-23T00:00:00"/>
    <d v="1899-12-30T12:35:00"/>
    <d v="1899-12-30T00:21:00"/>
    <x v="0"/>
  </r>
  <r>
    <x v="11"/>
    <s v="Landed 12:54"/>
    <d v="2026-07-23T00:00:00"/>
    <d v="1899-12-30T12:54:00"/>
    <s v="Frankfurt"/>
    <s v="Frankfurt Airport"/>
    <s v="Airbus A320-271N"/>
    <d v="2026-07-23T00:00:00"/>
    <d v="1899-12-30T12:40:00"/>
    <d v="1899-12-30T00:14:00"/>
    <x v="1"/>
  </r>
  <r>
    <x v="1"/>
    <s v="Landed 13:00"/>
    <d v="2026-07-23T00:00:00"/>
    <d v="1899-12-30T13:00:00"/>
    <s v="London"/>
    <s v="London Luton Airport"/>
    <s v="Airbus A321-271NX"/>
    <d v="2026-07-23T00:00:00"/>
    <d v="1899-12-30T12:50:00"/>
    <d v="1899-12-30T00:10:00"/>
    <x v="1"/>
  </r>
  <r>
    <x v="7"/>
    <s v="Landed 12:58"/>
    <d v="2026-07-23T00:00:00"/>
    <d v="1899-12-30T12:58:00"/>
    <s v="Helsinki"/>
    <s v="Helsinki Vantaa Airport"/>
    <s v="ATR 72-500"/>
    <d v="2026-07-23T00:00:00"/>
    <d v="1899-12-30T13:00:00"/>
    <d v="1899-12-30T00:02:00"/>
    <x v="1"/>
  </r>
  <r>
    <x v="12"/>
    <s v="Landed 13:13"/>
    <d v="2026-07-23T00:00:00"/>
    <d v="1899-12-30T13:13:00"/>
    <s v="Antalya"/>
    <s v="Antalya Airport"/>
    <s v="Airbus A320-214"/>
    <d v="2026-07-23T00:00:00"/>
    <d v="1899-12-30T13:03:00"/>
    <d v="1899-12-30T00:10:00"/>
    <x v="1"/>
  </r>
  <r>
    <x v="9"/>
    <s v="Landed 13:02"/>
    <d v="2026-07-23T00:00:00"/>
    <d v="1899-12-30T13:02:00"/>
    <s v="Malta"/>
    <s v="Malta Luqa International Airport"/>
    <s v="Boeing 737-8AS"/>
    <d v="2026-07-23T00:00:00"/>
    <d v="1899-12-30T13:20:00"/>
    <d v="1899-12-30T00:18:00"/>
    <x v="0"/>
  </r>
  <r>
    <x v="0"/>
    <s v="Canceled"/>
    <d v="2026-07-23T00:00:00"/>
    <e v="#N/A"/>
    <s v="Zurich"/>
    <s v="Zurich Airport"/>
    <s v="Airbus A220-300"/>
    <d v="2026-07-23T00:00:00"/>
    <d v="1899-12-30T13:25:00"/>
    <e v="#N/A"/>
    <x v="2"/>
  </r>
  <r>
    <x v="0"/>
    <s v="Landed 14:08"/>
    <d v="2026-07-23T00:00:00"/>
    <d v="1899-12-30T14:08:00"/>
    <s v="Amsterdam"/>
    <s v="Amsterdam Schiphol Airport"/>
    <s v="Airbus A220-300"/>
    <d v="2026-07-23T00:00:00"/>
    <d v="1899-12-30T13:25:00"/>
    <d v="1899-12-30T00:43:00"/>
    <x v="0"/>
  </r>
  <r>
    <x v="13"/>
    <s v="Landed 12:51"/>
    <d v="2026-07-23T00:00:00"/>
    <d v="1899-12-30T12:51:00"/>
    <s v="Antalya"/>
    <s v="Antalya Airport"/>
    <s v="Boeing 737-85P"/>
    <d v="2026-07-23T00:00:00"/>
    <d v="1899-12-30T13:25:00"/>
    <d v="1899-12-30T00:34:00"/>
    <x v="0"/>
  </r>
  <r>
    <x v="2"/>
    <s v="Landed 13:58"/>
    <d v="2026-07-23T00:00:00"/>
    <d v="1899-12-30T13:58:00"/>
    <s v="Warsaw"/>
    <s v="Warsaw Chopin Airport"/>
    <s v="Embraer E195LR"/>
    <d v="2026-07-23T00:00:00"/>
    <d v="1899-12-30T13:50:00"/>
    <d v="1899-12-30T00:08:00"/>
    <x v="1"/>
  </r>
  <r>
    <x v="1"/>
    <s v="Landed 14:02"/>
    <d v="2026-07-23T00:00:00"/>
    <d v="1899-12-30T14:02:00"/>
    <s v="Billund"/>
    <s v="Billund Airport"/>
    <s v="Airbus A321-271NX"/>
    <d v="2026-07-23T00:00:00"/>
    <d v="1899-12-30T14:10:00"/>
    <d v="1899-12-30T00:08:00"/>
    <x v="1"/>
  </r>
  <r>
    <x v="0"/>
    <s v="Landed 14:38"/>
    <d v="2026-07-23T00:00:00"/>
    <d v="1899-12-30T14:38:00"/>
    <s v="Riga"/>
    <s v="Riga International Airport"/>
    <s v="Airbus A220-300"/>
    <d v="2026-07-23T00:00:00"/>
    <d v="1899-12-30T14:35:00"/>
    <d v="1899-12-30T00:03:00"/>
    <x v="1"/>
  </r>
  <r>
    <x v="0"/>
    <s v="Landed 15:27"/>
    <d v="2026-07-23T00:00:00"/>
    <d v="1899-12-30T15:27:00"/>
    <s v="Munich"/>
    <s v="Munich Airport"/>
    <s v="Airbus A220-300"/>
    <d v="2026-07-23T00:00:00"/>
    <d v="1899-12-30T14:50:00"/>
    <d v="1899-12-30T00:37:00"/>
    <x v="0"/>
  </r>
  <r>
    <x v="45"/>
    <s v="Landed 15:42"/>
    <d v="2026-07-23T00:00:00"/>
    <d v="1899-12-30T15:42:00"/>
    <s v="Cannes"/>
    <s v="Cannes Mandelieu Airport"/>
    <s v="Pilatus PC-12 NGX"/>
    <d v="2026-07-23T00:00:00"/>
    <d v="1899-12-30T15:03:00"/>
    <d v="1899-12-30T00:39:00"/>
    <x v="0"/>
  </r>
  <r>
    <x v="14"/>
    <s v="Landed 14:44"/>
    <d v="2026-07-23T00:00:00"/>
    <d v="1899-12-30T14:44:00"/>
    <s v="Oslo"/>
    <s v="Oslo Gardermoen Airport"/>
    <s v="Boeing 737-8KN"/>
    <d v="2026-07-23T00:00:00"/>
    <d v="1899-12-30T15:05:00"/>
    <d v="1899-12-30T00:21:00"/>
    <x v="0"/>
  </r>
  <r>
    <x v="3"/>
    <s v="Landed 15:08"/>
    <d v="2026-07-23T00:00:00"/>
    <d v="1899-12-30T15:08:00"/>
    <s v="Copenhagen"/>
    <s v="Copenhagen Airport"/>
    <s v="Mitsubishi CRJ-900LR"/>
    <d v="2026-07-23T00:00:00"/>
    <d v="1899-12-30T15:15:00"/>
    <d v="1899-12-30T00:07:00"/>
    <x v="1"/>
  </r>
  <r>
    <x v="9"/>
    <s v="Landed 15:29"/>
    <d v="2026-07-23T00:00:00"/>
    <d v="1899-12-30T15:29:00"/>
    <s v="Milan"/>
    <s v="Milan Bergamo Orio al Serio International Airport"/>
    <s v="Boeing 737-8AS"/>
    <d v="2026-07-23T00:00:00"/>
    <d v="1899-12-30T15:30:00"/>
    <d v="1899-12-30T00:01:00"/>
    <x v="1"/>
  </r>
  <r>
    <x v="1"/>
    <s v="Landed 15:19"/>
    <d v="2026-07-23T00:00:00"/>
    <d v="1899-12-30T15:19:00"/>
    <s v="Reykjavik"/>
    <s v="Keflavik International Airport"/>
    <s v="Airbus A321-271NX"/>
    <d v="2026-07-23T00:00:00"/>
    <d v="1899-12-30T15:30:00"/>
    <d v="1899-12-30T00:11:00"/>
    <x v="1"/>
  </r>
  <r>
    <x v="0"/>
    <s v="Landed 15:50"/>
    <d v="2026-07-23T00:00:00"/>
    <d v="1899-12-30T15:50:00"/>
    <s v="Hamburg"/>
    <s v="Hamburg Airport"/>
    <s v="Airbus A220-300"/>
    <d v="2026-07-23T00:00:00"/>
    <d v="1899-12-30T16:00:00"/>
    <d v="1899-12-30T00:10:00"/>
    <x v="1"/>
  </r>
  <r>
    <x v="2"/>
    <s v="Landed 16:38"/>
    <d v="2026-07-23T00:00:00"/>
    <d v="1899-12-30T16:38:00"/>
    <s v="Warsaw"/>
    <s v="Warsaw Chopin Airport"/>
    <s v="Embraer E190AR"/>
    <d v="2026-07-23T00:00:00"/>
    <d v="1899-12-30T16:20:00"/>
    <d v="1899-12-30T00:18:00"/>
    <x v="0"/>
  </r>
  <r>
    <x v="9"/>
    <s v="Landed 17:27"/>
    <d v="2026-07-23T00:00:00"/>
    <d v="1899-12-30T17:27:00"/>
    <s v="Berlin"/>
    <s v="Berlin Brandenburg Airport"/>
    <s v="Boeing 737-8AS"/>
    <d v="2026-07-23T00:00:00"/>
    <d v="1899-12-30T17:05:00"/>
    <d v="1899-12-30T00:22:00"/>
    <x v="0"/>
  </r>
  <r>
    <x v="7"/>
    <s v="Landed 18:00"/>
    <d v="2026-07-23T00:00:00"/>
    <d v="1899-12-30T18:00:00"/>
    <s v="Helsinki"/>
    <s v="Helsinki Vantaa Airport"/>
    <s v="ATR 72-500"/>
    <d v="2026-07-23T00:00:00"/>
    <d v="1899-12-30T17:55:00"/>
    <d v="1899-12-30T00:05:00"/>
    <x v="1"/>
  </r>
  <r>
    <x v="9"/>
    <s v="Landed 18:05"/>
    <d v="2026-07-23T00:00:00"/>
    <d v="1899-12-30T18:05:00"/>
    <s v="Oslo"/>
    <s v="Oslo Gardermoen Airport"/>
    <s v="Boeing 737-8AS"/>
    <d v="2026-07-23T00:00:00"/>
    <d v="1899-12-30T18:30:00"/>
    <d v="1899-12-30T00:25:00"/>
    <x v="0"/>
  </r>
  <r>
    <x v="2"/>
    <s v="Landed 19:13"/>
    <d v="2026-07-23T00:00:00"/>
    <d v="1899-12-30T19:13:00"/>
    <s v="Warsaw"/>
    <s v="Warsaw Chopin Airport"/>
    <s v="Embraer E195LR"/>
    <d v="2026-07-23T00:00:00"/>
    <d v="1899-12-30T18:35:00"/>
    <d v="1899-12-30T00:38:00"/>
    <x v="0"/>
  </r>
  <r>
    <x v="11"/>
    <s v="Landed 18:58"/>
    <d v="2026-07-23T00:00:00"/>
    <d v="1899-12-30T18:58:00"/>
    <s v="Frankfurt"/>
    <s v="Frankfurt Airport"/>
    <s v="Airbus A320-214"/>
    <d v="2026-07-23T00:00:00"/>
    <d v="1899-12-30T18:50:00"/>
    <d v="1899-12-30T00:08:00"/>
    <x v="1"/>
  </r>
  <r>
    <x v="1"/>
    <s v="Landed 18:51"/>
    <d v="2026-07-23T00:00:00"/>
    <d v="1899-12-30T18:51:00"/>
    <s v="Kutaisi"/>
    <s v="Kutaisi International Airport"/>
    <s v="Airbus A321-271NX"/>
    <d v="2026-07-23T00:00:00"/>
    <d v="1899-12-30T18:50:00"/>
    <d v="1899-12-30T00:01:00"/>
    <x v="1"/>
  </r>
  <r>
    <x v="1"/>
    <s v="Landed 21:44"/>
    <d v="2026-07-23T00:00:00"/>
    <d v="1899-12-30T21:44:00"/>
    <s v="Gdansk"/>
    <s v="Gdansk Lech Walesa Airport"/>
    <s v="Airbus A321-271NX"/>
    <d v="2026-07-23T00:00:00"/>
    <d v="1899-12-30T19:10:00"/>
    <d v="1899-12-30T02:34:00"/>
    <x v="0"/>
  </r>
  <r>
    <x v="1"/>
    <s v="Landed 19:08"/>
    <d v="2026-07-23T00:00:00"/>
    <d v="1899-12-30T19:08:00"/>
    <s v="Tirana"/>
    <s v="Tirana International Airport"/>
    <s v="Airbus A321-271NX"/>
    <d v="2026-07-23T00:00:00"/>
    <d v="1899-12-30T19:10:00"/>
    <d v="1899-12-30T00:02:00"/>
    <x v="1"/>
  </r>
  <r>
    <x v="0"/>
    <s v="Landed 21:25"/>
    <d v="2026-07-23T00:00:00"/>
    <d v="1899-12-30T21:25:00"/>
    <s v="Dusseldorf"/>
    <s v="Dusseldorf Airport"/>
    <s v="Airbus A220-300"/>
    <d v="2026-07-23T00:00:00"/>
    <d v="1899-12-30T19:20:00"/>
    <d v="1899-12-30T02:05:00"/>
    <x v="0"/>
  </r>
  <r>
    <x v="10"/>
    <s v="Landed 19:03"/>
    <d v="2026-07-23T00:00:00"/>
    <d v="1899-12-30T19:03:00"/>
    <s v="Istanbul"/>
    <s v="Istanbul Airport"/>
    <s v="Boeing 737-8F2"/>
    <d v="2026-07-23T00:00:00"/>
    <d v="1899-12-30T19:30:00"/>
    <d v="1899-12-30T00:27:00"/>
    <x v="0"/>
  </r>
  <r>
    <x v="0"/>
    <s v="Canceled"/>
    <d v="2026-07-23T00:00:00"/>
    <e v="#N/A"/>
    <s v="Amsterdam"/>
    <s v="Amsterdam Schiphol Airport"/>
    <s v="Airbus A220-300"/>
    <d v="2026-07-23T00:00:00"/>
    <d v="1899-12-30T19:50:00"/>
    <e v="#N/A"/>
    <x v="2"/>
  </r>
  <r>
    <x v="9"/>
    <s v="Landed 20:26"/>
    <d v="2026-07-23T00:00:00"/>
    <d v="1899-12-30T20:26:00"/>
    <s v="London"/>
    <s v="London Luton Airport"/>
    <s v="Boeing 737-8AS"/>
    <d v="2026-07-23T00:00:00"/>
    <d v="1899-12-30T20:10:00"/>
    <d v="1899-12-30T00:16:00"/>
    <x v="0"/>
  </r>
  <r>
    <x v="1"/>
    <s v="Landed 20:04"/>
    <d v="2026-07-23T00:00:00"/>
    <d v="1899-12-30T20:04:00"/>
    <s v="Dortmund"/>
    <s v="Dortmund Airport"/>
    <s v="Airbus A321-271NX"/>
    <d v="2026-07-23T00:00:00"/>
    <d v="1899-12-30T20:15:00"/>
    <d v="1899-12-30T00:11:00"/>
    <x v="1"/>
  </r>
  <r>
    <x v="0"/>
    <s v="Delayed 00:22"/>
    <d v="2026-07-23T00:00:00"/>
    <e v="#N/A"/>
    <s v="Riga"/>
    <s v="Riga International Airport"/>
    <s v="Airbus A220-300"/>
    <d v="2026-07-23T00:00:00"/>
    <d v="1899-12-30T20:50:00"/>
    <e v="#N/A"/>
    <x v="2"/>
  </r>
  <r>
    <x v="13"/>
    <s v="Landed 20:36"/>
    <d v="2026-07-23T00:00:00"/>
    <d v="1899-12-30T20:36:00"/>
    <s v="Burgas"/>
    <s v="Burgas Airport"/>
    <s v="Boeing 737-85P"/>
    <d v="2026-07-23T00:00:00"/>
    <d v="1899-12-30T20:52:00"/>
    <d v="1899-12-30T00:16:00"/>
    <x v="0"/>
  </r>
  <r>
    <x v="14"/>
    <s v="Landed 21:22"/>
    <d v="2026-07-23T00:00:00"/>
    <d v="1899-12-30T21:22:00"/>
    <s v="Stockholm"/>
    <s v="Stockholm Arlanda Airport"/>
    <s v="Boeing 737 MAX 8"/>
    <d v="2026-07-23T00:00:00"/>
    <d v="1899-12-30T21:00:00"/>
    <d v="1899-12-30T00:22:00"/>
    <x v="0"/>
  </r>
  <r>
    <x v="7"/>
    <s v="Landed 21:31"/>
    <d v="2026-07-23T00:00:00"/>
    <d v="1899-12-30T21:31:00"/>
    <s v="Helsinki"/>
    <s v="Helsinki Vantaa Airport"/>
    <s v="ATR 72-500"/>
    <d v="2026-07-23T00:00:00"/>
    <d v="1899-12-30T21:10:00"/>
    <d v="1899-12-30T00:21:00"/>
    <x v="0"/>
  </r>
  <r>
    <x v="16"/>
    <s v="Landed 21:33"/>
    <d v="2026-07-23T00:00:00"/>
    <d v="1899-12-30T21:33:00"/>
    <s v="Tel Aviv"/>
    <s v="Tel Aviv Ben Gurion International Airport"/>
    <s v="Airbus A320-232"/>
    <d v="2026-07-23T00:00:00"/>
    <d v="1899-12-30T21:15:00"/>
    <d v="1899-12-30T00:18:00"/>
    <x v="0"/>
  </r>
  <r>
    <x v="0"/>
    <s v="Canceled"/>
    <d v="2026-07-23T00:00:00"/>
    <e v="#N/A"/>
    <s v="Tallinn"/>
    <s v="Tallinn Lennart Meri Airport"/>
    <s v="N/A"/>
    <d v="2026-07-23T00:00:00"/>
    <d v="1899-12-30T21:45:00"/>
    <e v="#N/A"/>
    <x v="2"/>
  </r>
  <r>
    <x v="2"/>
    <s v="Landed 22:19"/>
    <d v="2026-07-23T00:00:00"/>
    <d v="1899-12-30T22:19:00"/>
    <s v="Warsaw"/>
    <s v="Warsaw Chopin Airport"/>
    <s v="Embraer E190AR"/>
    <d v="2026-07-23T00:00:00"/>
    <d v="1899-12-30T22:20:00"/>
    <d v="1899-12-30T00:01:00"/>
    <x v="1"/>
  </r>
  <r>
    <x v="17"/>
    <s v="Landed 22:16"/>
    <d v="2026-07-23T00:00:00"/>
    <d v="1899-12-30T22:16:00"/>
    <s v="Antalya"/>
    <s v="Antalya Airport"/>
    <s v="Airbus A320-232"/>
    <d v="2026-07-23T00:00:00"/>
    <d v="1899-12-30T22:35:00"/>
    <d v="1899-12-30T00:19:00"/>
    <x v="0"/>
  </r>
  <r>
    <x v="10"/>
    <s v="Unknown"/>
    <d v="2026-07-23T00:00:00"/>
    <e v="#N/A"/>
    <s v="Bucharest"/>
    <s v="Bucharest Henri Coanda International Airport"/>
    <s v="N/A"/>
    <d v="2026-07-23T00:00:00"/>
    <d v="1899-12-30T22:40:00"/>
    <e v="#N/A"/>
    <x v="2"/>
  </r>
  <r>
    <x v="0"/>
    <s v="Landed 23:21"/>
    <d v="2026-07-23T00:00:00"/>
    <d v="1899-12-30T23:21:00"/>
    <s v="Paris"/>
    <s v="Paris Charles de Gaulle Airport"/>
    <s v="Airbus A220-300"/>
    <d v="2026-07-23T00:00:00"/>
    <d v="1899-12-30T23:05:00"/>
    <d v="1899-12-30T00:16:00"/>
    <x v="0"/>
  </r>
  <r>
    <x v="20"/>
    <s v="Landed 23:18"/>
    <d v="2026-07-23T00:00:00"/>
    <d v="1899-12-30T23:18:00"/>
    <s v="Antalya"/>
    <s v="Antalya Airport"/>
    <s v="Boeing 777-31H(ER)"/>
    <d v="2026-07-23T00:00:00"/>
    <d v="1899-12-30T23:18:00"/>
    <d v="1899-12-30T00:00:00"/>
    <x v="1"/>
  </r>
  <r>
    <x v="9"/>
    <s v="Landed 23:51"/>
    <d v="2026-07-23T00:00:00"/>
    <d v="1899-12-30T23:51:00"/>
    <s v="Rome"/>
    <s v="Rome Ciampino Airport"/>
    <s v="Boeing 737-8AS"/>
    <d v="2026-07-23T00:00:00"/>
    <d v="1899-12-30T23:25:00"/>
    <d v="1899-12-30T00:26:00"/>
    <x v="0"/>
  </r>
  <r>
    <x v="11"/>
    <s v="Landed 23:54"/>
    <d v="2026-07-23T00:00:00"/>
    <d v="1899-12-30T23:54:00"/>
    <s v="Frankfurt"/>
    <s v="Frankfurt Airport"/>
    <s v="Airbus A321-231"/>
    <d v="2026-07-23T00:00:00"/>
    <d v="1899-12-30T23:35:00"/>
    <d v="1899-12-30T00:19:00"/>
    <x v="0"/>
  </r>
  <r>
    <x v="9"/>
    <s v="Landed 23:26"/>
    <d v="2026-07-23T00:00:00"/>
    <d v="1899-12-30T23:26:00"/>
    <s v="Venice"/>
    <s v="Venice Treviso Airport"/>
    <s v="Boeing 737-8AS"/>
    <d v="2026-07-23T00:00:00"/>
    <d v="1899-12-30T23:55:00"/>
    <d v="1899-12-30T00:29:00"/>
    <x v="0"/>
  </r>
  <r>
    <x v="0"/>
    <s v="Landed 01:46"/>
    <d v="2026-07-24T00:00:00"/>
    <d v="1899-12-30T01:46:00"/>
    <s v="Berlin"/>
    <s v="Berlin Brandenburg Airport"/>
    <s v="Airbus A220-300"/>
    <d v="2026-07-24T00:00:00"/>
    <d v="1899-12-30T00:15:00"/>
    <d v="1899-12-30T01:31:00"/>
    <x v="0"/>
  </r>
  <r>
    <x v="1"/>
    <s v="Landed 23:56"/>
    <d v="2026-07-23T00:00:00"/>
    <d v="1899-12-30T23:56:00"/>
    <s v="Turku"/>
    <s v="Turku Airport"/>
    <s v="Airbus A321-271NX"/>
    <d v="2026-07-24T00:00:00"/>
    <d v="1899-12-30T00:15:00"/>
    <d v="1899-12-30T00:19:00"/>
    <x v="1"/>
  </r>
  <r>
    <x v="0"/>
    <s v="Landed 01:43"/>
    <d v="2026-07-24T00:00:00"/>
    <d v="1899-12-30T01:43:00"/>
    <s v="Riga"/>
    <s v="Riga International Airport"/>
    <s v="Airbus A220-300"/>
    <d v="2026-07-24T00:00:00"/>
    <d v="1899-12-30T00:30:00"/>
    <d v="1899-12-30T01:13:00"/>
    <x v="0"/>
  </r>
  <r>
    <x v="1"/>
    <s v="Landed 00:16"/>
    <d v="2026-07-24T00:00:00"/>
    <d v="1899-12-30T00:16:00"/>
    <s v="Barcelona"/>
    <s v="Barcelona El Prat Airport"/>
    <s v="Airbus A321-271NX"/>
    <d v="2026-07-24T00:00:00"/>
    <d v="1899-12-30T00:30:00"/>
    <d v="1899-12-30T00:14:00"/>
    <x v="1"/>
  </r>
  <r>
    <x v="2"/>
    <s v="Landed 01:06"/>
    <d v="2026-07-24T00:00:00"/>
    <d v="1899-12-30T01:06:00"/>
    <s v="Warsaw"/>
    <s v="Warsaw Chopin Airport"/>
    <s v="Embraer E195-E2"/>
    <d v="2026-07-24T00:00:00"/>
    <d v="1899-12-30T00:40:00"/>
    <d v="1899-12-30T00:26:00"/>
    <x v="0"/>
  </r>
  <r>
    <x v="0"/>
    <s v="Canceled"/>
    <d v="2026-07-24T00:00:00"/>
    <e v="#N/A"/>
    <s v="Munich"/>
    <s v="Munich Airport"/>
    <s v="N/A"/>
    <d v="2026-07-24T00:00:00"/>
    <d v="1899-12-30T00:45:00"/>
    <e v="#N/A"/>
    <x v="2"/>
  </r>
  <r>
    <x v="0"/>
    <s v="Landed 01:14"/>
    <d v="2026-07-24T00:00:00"/>
    <d v="1899-12-30T01:14:00"/>
    <s v="Zurich"/>
    <s v="Zurich Airport"/>
    <s v="Airbus A220-300"/>
    <d v="2026-07-24T00:00:00"/>
    <d v="1899-12-30T01:25:00"/>
    <d v="1899-12-30T00:11:00"/>
    <x v="1"/>
  </r>
  <r>
    <x v="3"/>
    <s v="Landed 01:26"/>
    <d v="2026-07-24T00:00:00"/>
    <d v="1899-12-30T01:26:00"/>
    <s v="Copenhagen"/>
    <s v="Copenhagen Airport"/>
    <s v="Mitsubishi CRJ-900LR"/>
    <d v="2026-07-24T00:00:00"/>
    <d v="1899-12-30T01:25:00"/>
    <d v="1899-12-30T00:01:00"/>
    <x v="1"/>
  </r>
  <r>
    <x v="1"/>
    <s v="Landed 01:05"/>
    <d v="2026-07-24T00:00:00"/>
    <d v="1899-12-30T01:05:00"/>
    <s v="Podgorica"/>
    <s v="Podgorica Airport"/>
    <s v="Airbus A321-271NX"/>
    <d v="2026-07-24T00:00:00"/>
    <d v="1899-12-30T01:25:00"/>
    <d v="1899-12-30T00:20:00"/>
    <x v="0"/>
  </r>
  <r>
    <x v="46"/>
    <s v="Landed 02:17"/>
    <d v="2026-07-24T00:00:00"/>
    <d v="1899-12-30T02:17:00"/>
    <s v="London"/>
    <s v="London Biggin Hill Airport"/>
    <s v="Gulfstream G450"/>
    <d v="2026-07-24T00:00:00"/>
    <d v="1899-12-30T02:19:00"/>
    <d v="1899-12-30T00:02:00"/>
    <x v="1"/>
  </r>
  <r>
    <x v="47"/>
    <s v="Landed 07:45"/>
    <d v="2026-07-24T00:00:00"/>
    <d v="1899-12-30T07:45:00"/>
    <s v="Leipzig"/>
    <s v="Leipzig Halle Airport"/>
    <s v="Boeing 737-86N(BCF)"/>
    <d v="2026-07-24T00:00:00"/>
    <d v="1899-12-30T07:45:00"/>
    <d v="1899-12-30T00:00:00"/>
    <x v="1"/>
  </r>
  <r>
    <x v="0"/>
    <s v="Landed 11:08"/>
    <d v="2026-07-24T00:00:00"/>
    <d v="1899-12-30T11:08:00"/>
    <s v="Riga"/>
    <s v="Riga International Airport"/>
    <s v="Airbus A220-300"/>
    <d v="2026-07-24T00:00:00"/>
    <d v="1899-12-30T08:40:00"/>
    <d v="1899-12-30T02:28:00"/>
    <x v="0"/>
  </r>
  <r>
    <x v="1"/>
    <s v="Landed 08:43"/>
    <d v="2026-07-24T00:00:00"/>
    <d v="1899-12-30T08:43:00"/>
    <s v="Krakow"/>
    <s v="Krakow John Paul II International Airport"/>
    <s v="Airbus A321-271NX"/>
    <d v="2026-07-24T00:00:00"/>
    <d v="1899-12-30T08:50:00"/>
    <d v="1899-12-30T00:07:00"/>
    <x v="1"/>
  </r>
  <r>
    <x v="7"/>
    <s v="Landed 09:09"/>
    <d v="2026-07-24T00:00:00"/>
    <d v="1899-12-30T09:09:00"/>
    <s v="Helsinki"/>
    <s v="Helsinki Vantaa Airport"/>
    <s v="Embraer E190LR"/>
    <d v="2026-07-24T00:00:00"/>
    <d v="1899-12-30T08:55:00"/>
    <d v="1899-12-30T00:14:00"/>
    <x v="1"/>
  </r>
  <r>
    <x v="48"/>
    <s v="Landed 09:52"/>
    <d v="2026-07-24T00:00:00"/>
    <d v="1899-12-30T09:52:00"/>
    <s v="Astana"/>
    <s v="Astana Nursultan Nazarbayev International Airport"/>
    <s v="Boeing 737-86J"/>
    <d v="2026-07-24T00:00:00"/>
    <d v="1899-12-30T09:00:00"/>
    <d v="1899-12-30T00:52:00"/>
    <x v="0"/>
  </r>
  <r>
    <x v="1"/>
    <s v="Landed 08:49"/>
    <d v="2026-07-24T00:00:00"/>
    <d v="1899-12-30T08:49:00"/>
    <s v="Tallinn"/>
    <s v="Tallinn Lennart Meri Airport"/>
    <s v="Airbus A321-271NX"/>
    <d v="2026-07-24T00:00:00"/>
    <d v="1899-12-30T09:20:00"/>
    <d v="1899-12-30T00:31:00"/>
    <x v="0"/>
  </r>
  <r>
    <x v="9"/>
    <s v="Landed 09:34"/>
    <d v="2026-07-24T00:00:00"/>
    <d v="1899-12-30T09:34:00"/>
    <s v="Milan"/>
    <s v="Milan Bergamo Orio al Serio International Airport"/>
    <s v="Boeing 737-8AS"/>
    <d v="2026-07-24T00:00:00"/>
    <d v="1899-12-30T09:35:00"/>
    <d v="1899-12-30T00:01:00"/>
    <x v="1"/>
  </r>
  <r>
    <x v="2"/>
    <s v="Landed 10:06"/>
    <d v="2026-07-24T00:00:00"/>
    <d v="1899-12-30T10:06:00"/>
    <s v="Warsaw"/>
    <s v="Warsaw Chopin Airport"/>
    <s v="Embraer E175STD"/>
    <d v="2026-07-24T00:00:00"/>
    <d v="1899-12-30T10:05:00"/>
    <d v="1899-12-30T00:01:00"/>
    <x v="1"/>
  </r>
  <r>
    <x v="10"/>
    <s v="Landed 10:38"/>
    <d v="2026-07-24T00:00:00"/>
    <d v="1899-12-30T10:38:00"/>
    <s v="Istanbul"/>
    <s v="Istanbul Airport"/>
    <s v="Boeing 737 MAX 8"/>
    <d v="2026-07-24T00:00:00"/>
    <d v="1899-12-30T10:45:00"/>
    <d v="1899-12-30T00:07:00"/>
    <x v="1"/>
  </r>
  <r>
    <x v="17"/>
    <s v="Landed 14:39"/>
    <d v="2026-07-24T00:00:00"/>
    <d v="1899-12-30T14:39:00"/>
    <s v="Tivat"/>
    <s v="Tivat Airport"/>
    <s v="Airbus A320-232"/>
    <d v="2026-07-24T00:00:00"/>
    <d v="1899-12-30T11:00:00"/>
    <d v="1899-12-30T03:39:00"/>
    <x v="0"/>
  </r>
  <r>
    <x v="9"/>
    <s v="Landed 10:50"/>
    <d v="2026-07-24T00:00:00"/>
    <d v="1899-12-30T10:50:00"/>
    <s v="London"/>
    <s v="London Luton Airport"/>
    <s v="Boeing 737 MAX 8-200"/>
    <d v="2026-07-24T00:00:00"/>
    <d v="1899-12-30T11:10:00"/>
    <d v="1899-12-30T00:20:00"/>
    <x v="0"/>
  </r>
  <r>
    <x v="13"/>
    <s v="Landed 12:09"/>
    <d v="2026-07-24T00:00:00"/>
    <d v="1899-12-30T12:09:00"/>
    <s v="Varna"/>
    <s v="Varna Airport"/>
    <s v="Boeing 737-85P"/>
    <d v="2026-07-24T00:00:00"/>
    <d v="1899-12-30T12:18:00"/>
    <d v="1899-12-30T00:09:00"/>
    <x v="1"/>
  </r>
  <r>
    <x v="0"/>
    <s v="Canceled"/>
    <d v="2026-07-24T00:00:00"/>
    <e v="#N/A"/>
    <s v="Prague"/>
    <s v="Prague Vaclav Havel Airport"/>
    <s v="N/A"/>
    <d v="2026-07-24T00:00:00"/>
    <d v="1899-12-30T12:25:00"/>
    <e v="#N/A"/>
    <x v="2"/>
  </r>
  <r>
    <x v="11"/>
    <s v="Landed 12:34"/>
    <d v="2026-07-24T00:00:00"/>
    <d v="1899-12-30T12:34:00"/>
    <s v="Frankfurt"/>
    <s v="Frankfurt Airport"/>
    <s v="Airbus A321-231"/>
    <d v="2026-07-24T00:00:00"/>
    <d v="1899-12-30T12:40:00"/>
    <d v="1899-12-30T00:06:00"/>
    <x v="1"/>
  </r>
  <r>
    <x v="1"/>
    <s v="Landed 12:43"/>
    <d v="2026-07-24T00:00:00"/>
    <d v="1899-12-30T12:43:00"/>
    <s v="London"/>
    <s v="London Luton Airport"/>
    <s v="Airbus A321-271NX"/>
    <d v="2026-07-24T00:00:00"/>
    <d v="1899-12-30T12:50:00"/>
    <d v="1899-12-30T00:07:00"/>
    <x v="1"/>
  </r>
  <r>
    <x v="7"/>
    <s v="Landed 12:51"/>
    <d v="2026-07-24T00:00:00"/>
    <d v="1899-12-30T12:51:00"/>
    <s v="Helsinki"/>
    <s v="Helsinki Vantaa Airport"/>
    <s v="ATR 72-500"/>
    <d v="2026-07-24T00:00:00"/>
    <d v="1899-12-30T13:00:00"/>
    <d v="1899-12-30T00:09:00"/>
    <x v="1"/>
  </r>
  <r>
    <x v="12"/>
    <s v="Landed 13:04"/>
    <d v="2026-07-24T00:00:00"/>
    <d v="1899-12-30T13:04:00"/>
    <s v="Antalya"/>
    <s v="Antalya Airport"/>
    <s v="Airbus A320-214"/>
    <d v="2026-07-24T00:00:00"/>
    <d v="1899-12-30T13:05:00"/>
    <d v="1899-12-30T00:01:00"/>
    <x v="1"/>
  </r>
  <r>
    <x v="9"/>
    <s v="Landed 13:14"/>
    <d v="2026-07-24T00:00:00"/>
    <d v="1899-12-30T13:14:00"/>
    <s v="Barcelona"/>
    <s v="Barcelona El Prat Airport"/>
    <s v="Boeing 737-8AS"/>
    <d v="2026-07-24T00:00:00"/>
    <d v="1899-12-30T13:20:00"/>
    <d v="1899-12-30T00:06:00"/>
    <x v="1"/>
  </r>
  <r>
    <x v="9"/>
    <s v="Landed 13:09"/>
    <d v="2026-07-24T00:00:00"/>
    <d v="1899-12-30T13:09:00"/>
    <s v="Dublin"/>
    <s v="Dublin Airport"/>
    <s v="Boeing 737-8AS"/>
    <d v="2026-07-24T00:00:00"/>
    <d v="1899-12-30T13:20:00"/>
    <d v="1899-12-30T00:11:00"/>
    <x v="1"/>
  </r>
  <r>
    <x v="0"/>
    <s v="Landed 13:43"/>
    <d v="2026-07-24T00:00:00"/>
    <d v="1899-12-30T13:43:00"/>
    <s v="Amsterdam"/>
    <s v="Amsterdam Schiphol Airport"/>
    <s v="Airbus A220-300"/>
    <d v="2026-07-24T00:00:00"/>
    <d v="1899-12-30T13:25:00"/>
    <d v="1899-12-30T00:18:00"/>
    <x v="0"/>
  </r>
  <r>
    <x v="2"/>
    <s v="Landed 13:45"/>
    <d v="2026-07-24T00:00:00"/>
    <d v="1899-12-30T13:45:00"/>
    <s v="Warsaw"/>
    <s v="Warsaw Chopin Airport"/>
    <s v="Embraer E195LR"/>
    <d v="2026-07-24T00:00:00"/>
    <d v="1899-12-30T13:50:00"/>
    <d v="1899-12-30T00:05:00"/>
    <x v="1"/>
  </r>
  <r>
    <x v="1"/>
    <s v="Landed 13:56"/>
    <d v="2026-07-24T00:00:00"/>
    <d v="1899-12-30T13:56:00"/>
    <s v="Budapest"/>
    <s v="Budapest Ferenc Liszt International Airport"/>
    <s v="Airbus A321-271NX"/>
    <d v="2026-07-24T00:00:00"/>
    <d v="1899-12-30T14:10:00"/>
    <d v="1899-12-30T00:14:00"/>
    <x v="1"/>
  </r>
  <r>
    <x v="0"/>
    <s v="Landed 15:33"/>
    <d v="2026-07-24T00:00:00"/>
    <d v="1899-12-30T15:33:00"/>
    <s v="Heraklion"/>
    <s v="Heraklion International Airport"/>
    <s v="Airbus A220-300"/>
    <d v="2026-07-24T00:00:00"/>
    <d v="1899-12-30T14:30:00"/>
    <d v="1899-12-30T01:03:00"/>
    <x v="0"/>
  </r>
  <r>
    <x v="0"/>
    <s v="Landed 15:07"/>
    <d v="2026-07-24T00:00:00"/>
    <d v="1899-12-30T15:07:00"/>
    <s v="Riga"/>
    <s v="Riga International Airport"/>
    <s v="Airbus A220-300"/>
    <d v="2026-07-24T00:00:00"/>
    <d v="1899-12-30T14:35:00"/>
    <d v="1899-12-30T00:32:00"/>
    <x v="0"/>
  </r>
  <r>
    <x v="12"/>
    <s v="Landed 15:01"/>
    <d v="2026-07-24T00:00:00"/>
    <d v="1899-12-30T15:01:00"/>
    <s v="Tbilisi"/>
    <s v="Tbilisi International Airport"/>
    <s v="Airbus A320-232"/>
    <d v="2026-07-24T00:00:00"/>
    <d v="1899-12-30T15:13:00"/>
    <d v="1899-12-30T00:12:00"/>
    <x v="1"/>
  </r>
  <r>
    <x v="23"/>
    <s v="Landed 15:15"/>
    <d v="2026-07-24T00:00:00"/>
    <d v="1899-12-30T15:15:00"/>
    <s v="Copenhagen"/>
    <s v="Copenhagen Airport"/>
    <s v="Mitsubishi CRJ-1000EL"/>
    <d v="2026-07-24T00:00:00"/>
    <d v="1899-12-30T15:15:00"/>
    <d v="1899-12-30T00:00:00"/>
    <x v="1"/>
  </r>
  <r>
    <x v="0"/>
    <s v="Landed 15:24"/>
    <d v="2026-07-24T00:00:00"/>
    <d v="1899-12-30T15:24:00"/>
    <s v="Brussels"/>
    <s v="Brussels Airport"/>
    <s v="Airbus A220-300"/>
    <d v="2026-07-24T00:00:00"/>
    <d v="1899-12-30T15:25:00"/>
    <d v="1899-12-30T00:01:00"/>
    <x v="1"/>
  </r>
  <r>
    <x v="9"/>
    <s v="Landed 15:10"/>
    <d v="2026-07-24T00:00:00"/>
    <d v="1899-12-30T15:10:00"/>
    <s v="Turin"/>
    <s v="Turin Caselle Airport"/>
    <s v="Boeing 737-8AS"/>
    <d v="2026-07-24T00:00:00"/>
    <d v="1899-12-30T15:30:00"/>
    <d v="1899-12-30T00:20:00"/>
    <x v="0"/>
  </r>
  <r>
    <x v="1"/>
    <s v="Landed 15:57"/>
    <d v="2026-07-24T00:00:00"/>
    <d v="1899-12-30T15:57:00"/>
    <s v="Malaga"/>
    <s v="Malaga Costa Del Sol Airport"/>
    <s v="Airbus A321-271NX"/>
    <d v="2026-07-24T00:00:00"/>
    <d v="1899-12-30T15:35:00"/>
    <d v="1899-12-30T00:22:00"/>
    <x v="0"/>
  </r>
  <r>
    <x v="9"/>
    <s v="Landed 15:23"/>
    <d v="2026-07-24T00:00:00"/>
    <d v="1899-12-30T15:23:00"/>
    <s v="Paris"/>
    <s v="Paris Beauvais-Tille Airport"/>
    <s v="Boeing 737-8AS"/>
    <d v="2026-07-24T00:00:00"/>
    <d v="1899-12-30T15:40:00"/>
    <d v="1899-12-30T00:17:00"/>
    <x v="0"/>
  </r>
  <r>
    <x v="2"/>
    <s v="Landed 16:16"/>
    <d v="2026-07-24T00:00:00"/>
    <d v="1899-12-30T16:16:00"/>
    <s v="Warsaw"/>
    <s v="Warsaw Chopin Airport"/>
    <s v="Embraer E170STD"/>
    <d v="2026-07-24T00:00:00"/>
    <d v="1899-12-30T16:20:00"/>
    <d v="1899-12-30T00:04:00"/>
    <x v="1"/>
  </r>
  <r>
    <x v="9"/>
    <s v="Landed 18:49"/>
    <d v="2026-07-24T00:00:00"/>
    <d v="1899-12-30T18:49:00"/>
    <s v="Corfu"/>
    <s v="Corfu International Airport"/>
    <s v="Boeing 737 MAX 8-200"/>
    <d v="2026-07-24T00:00:00"/>
    <d v="1899-12-30T17:15:00"/>
    <d v="1899-12-30T01:34:00"/>
    <x v="0"/>
  </r>
  <r>
    <x v="0"/>
    <s v="Landed 17:22"/>
    <d v="2026-07-24T00:00:00"/>
    <d v="1899-12-30T17:22:00"/>
    <s v="Tallinn"/>
    <s v="Tallinn Lennart Meri Airport"/>
    <s v="Airbus A220-300"/>
    <d v="2026-07-24T00:00:00"/>
    <d v="1899-12-30T17:20:00"/>
    <d v="1899-12-30T00:02:00"/>
    <x v="1"/>
  </r>
  <r>
    <x v="7"/>
    <s v="Landed 18:09"/>
    <d v="2026-07-24T00:00:00"/>
    <d v="1899-12-30T18:09:00"/>
    <s v="Helsinki"/>
    <s v="Helsinki Vantaa Airport"/>
    <s v="ATR 72-500"/>
    <d v="2026-07-24T00:00:00"/>
    <d v="1899-12-30T17:35:00"/>
    <d v="1899-12-30T00:34:00"/>
    <x v="0"/>
  </r>
  <r>
    <x v="9"/>
    <s v="Diverted to KUN"/>
    <d v="2026-07-24T00:00:00"/>
    <e v="#N/A"/>
    <s v="Oslo"/>
    <s v="Oslo Gardermoen Airport"/>
    <s v="Boeing 737-8AS"/>
    <d v="2026-07-24T00:00:00"/>
    <d v="1899-12-30T18:20:00"/>
    <e v="#N/A"/>
    <x v="2"/>
  </r>
  <r>
    <x v="19"/>
    <s v="Landed 21:45"/>
    <d v="2026-07-24T00:00:00"/>
    <d v="1899-12-30T21:45:00"/>
    <s v="Tel Aviv"/>
    <s v="Tel Aviv Ben Gurion International Airport"/>
    <s v="Airbus A320-232"/>
    <d v="2026-07-24T00:00:00"/>
    <d v="1899-12-30T18:30:00"/>
    <d v="1899-12-30T03:15:00"/>
    <x v="0"/>
  </r>
  <r>
    <x v="2"/>
    <s v="Landed 18:58"/>
    <d v="2026-07-24T00:00:00"/>
    <d v="1899-12-30T18:58:00"/>
    <s v="Warsaw"/>
    <s v="Warsaw Chopin Airport"/>
    <s v="Embraer E195LR"/>
    <d v="2026-07-24T00:00:00"/>
    <d v="1899-12-30T18:35:00"/>
    <d v="1899-12-30T00:23:00"/>
    <x v="0"/>
  </r>
  <r>
    <x v="1"/>
    <s v="Landed 18:53"/>
    <d v="2026-07-24T00:00:00"/>
    <d v="1899-12-30T18:53:00"/>
    <s v="Eindhoven"/>
    <s v="Eindhoven Airport"/>
    <s v="Airbus A321-271NX"/>
    <d v="2026-07-24T00:00:00"/>
    <d v="1899-12-30T18:45:00"/>
    <d v="1899-12-30T00:08:00"/>
    <x v="1"/>
  </r>
  <r>
    <x v="13"/>
    <s v="Landed 19:09"/>
    <d v="2026-07-24T00:00:00"/>
    <d v="1899-12-30T19:09:00"/>
    <s v="Suceava"/>
    <s v="Suceava International Airport"/>
    <s v="Airbus A321-211"/>
    <d v="2026-07-24T00:00:00"/>
    <d v="1899-12-30T18:54:00"/>
    <d v="1899-12-30T00:15:00"/>
    <x v="1"/>
  </r>
  <r>
    <x v="11"/>
    <s v="Landed 18:55"/>
    <d v="2026-07-24T00:00:00"/>
    <d v="1899-12-30T18:55:00"/>
    <s v="Frankfurt"/>
    <s v="Frankfurt Airport"/>
    <s v="Airbus A320-271N"/>
    <d v="2026-07-24T00:00:00"/>
    <d v="1899-12-30T18:55:00"/>
    <d v="1899-12-30T00:00:00"/>
    <x v="1"/>
  </r>
  <r>
    <x v="9"/>
    <s v="Landed 19:11"/>
    <d v="2026-07-24T00:00:00"/>
    <d v="1899-12-30T19:11:00"/>
    <s v="Rome"/>
    <s v="Rome Ciampino Airport"/>
    <s v="Boeing 737 MAX 8-200"/>
    <d v="2026-07-24T00:00:00"/>
    <d v="1899-12-30T19:05:00"/>
    <d v="1899-12-30T00:06:00"/>
    <x v="1"/>
  </r>
  <r>
    <x v="9"/>
    <s v="Landed 19:21"/>
    <d v="2026-07-24T00:00:00"/>
    <d v="1899-12-30T19:21:00"/>
    <s v="Eindhoven"/>
    <s v="Eindhoven Airport"/>
    <s v="Boeing 737-8AS"/>
    <d v="2026-07-24T00:00:00"/>
    <d v="1899-12-30T19:05:00"/>
    <d v="1899-12-30T00:16:00"/>
    <x v="0"/>
  </r>
  <r>
    <x v="10"/>
    <s v="Landed 19:34"/>
    <d v="2026-07-24T00:00:00"/>
    <d v="1899-12-30T19:34:00"/>
    <s v="Istanbul"/>
    <s v="Istanbul Airport"/>
    <s v="Airbus A321-271NX"/>
    <d v="2026-07-24T00:00:00"/>
    <d v="1899-12-30T19:30:00"/>
    <d v="1899-12-30T00:04:00"/>
    <x v="1"/>
  </r>
  <r>
    <x v="0"/>
    <s v="Landed 21:04"/>
    <d v="2026-07-24T00:00:00"/>
    <d v="1899-12-30T21:04:00"/>
    <s v="Amsterdam"/>
    <s v="Amsterdam Schiphol Airport"/>
    <s v="Airbus A220-300"/>
    <d v="2026-07-24T00:00:00"/>
    <d v="1899-12-30T19:50:00"/>
    <d v="1899-12-30T01:14:00"/>
    <x v="0"/>
  </r>
  <r>
    <x v="9"/>
    <s v="Landed 19:54"/>
    <d v="2026-07-24T00:00:00"/>
    <d v="1899-12-30T19:54:00"/>
    <s v="Kaunas"/>
    <s v="Kaunas Airport"/>
    <s v="Boeing 737-8AS"/>
    <d v="2026-07-24T00:00:00"/>
    <d v="1899-12-30T19:57:00"/>
    <d v="1899-12-30T00:03:00"/>
    <x v="1"/>
  </r>
  <r>
    <x v="19"/>
    <s v="Unknown"/>
    <d v="2026-07-24T00:00:00"/>
    <e v="#N/A"/>
    <s v="Tel Aviv"/>
    <s v="Tel Aviv Ben Gurion International Airport"/>
    <s v="Airbus A320-232"/>
    <d v="2026-07-24T00:00:00"/>
    <d v="1899-12-30T21:09:00"/>
    <e v="#N/A"/>
    <x v="2"/>
  </r>
  <r>
    <x v="7"/>
    <s v="Landed 20:55"/>
    <d v="2026-07-24T00:00:00"/>
    <d v="1899-12-30T20:55:00"/>
    <s v="Helsinki"/>
    <s v="Helsinki Vantaa Airport"/>
    <s v="ATR 72-500"/>
    <d v="2026-07-24T00:00:00"/>
    <d v="1899-12-30T21:10:00"/>
    <d v="1899-12-30T00:15:00"/>
    <x v="1"/>
  </r>
  <r>
    <x v="0"/>
    <s v="Landed 00:39"/>
    <d v="2026-07-25T00:00:00"/>
    <d v="1899-12-30T00:39:00"/>
    <s v="Paris"/>
    <s v="Paris Charles de Gaulle Airport"/>
    <s v="Airbus A220-300"/>
    <d v="2026-07-24T00:00:00"/>
    <d v="1899-12-30T21:55:00"/>
    <d v="1899-12-30T02:44:00"/>
    <x v="0"/>
  </r>
  <r>
    <x v="2"/>
    <s v="Landed 22:34"/>
    <d v="2026-07-24T00:00:00"/>
    <d v="1899-12-30T22:34:00"/>
    <s v="Warsaw"/>
    <s v="Warsaw Chopin Airport"/>
    <s v="Embraer E175LR"/>
    <d v="2026-07-24T00:00:00"/>
    <d v="1899-12-30T22:20:00"/>
    <d v="1899-12-30T00:14:00"/>
    <x v="1"/>
  </r>
  <r>
    <x v="0"/>
    <s v="Delayed 02:36"/>
    <d v="2026-07-24T00:00:00"/>
    <e v="#N/A"/>
    <s v="Munich"/>
    <s v="Munich Airport"/>
    <s v="Airbus A220-300"/>
    <d v="2026-07-24T00:00:00"/>
    <d v="1899-12-30T22:45:00"/>
    <e v="#N/A"/>
    <x v="2"/>
  </r>
  <r>
    <x v="17"/>
    <s v="Landed 00:32"/>
    <d v="2026-07-25T00:00:00"/>
    <d v="1899-12-30T00:32:00"/>
    <s v="Barcelona"/>
    <s v="Barcelona El Prat Airport"/>
    <s v="Airbus A320-232"/>
    <d v="2026-07-24T00:00:00"/>
    <d v="1899-12-30T23:05:00"/>
    <d v="1899-12-30T01:27:00"/>
    <x v="0"/>
  </r>
  <r>
    <x v="9"/>
    <s v="Landed 23:23"/>
    <d v="2026-07-24T00:00:00"/>
    <d v="1899-12-30T23:23:00"/>
    <s v="London"/>
    <s v="London Stansted Airport"/>
    <s v="Boeing 737-8AS"/>
    <d v="2026-07-24T00:00:00"/>
    <d v="1899-12-30T23:35:00"/>
    <d v="1899-12-30T00:12:00"/>
    <x v="1"/>
  </r>
  <r>
    <x v="11"/>
    <s v="Landed 23:26"/>
    <d v="2026-07-24T00:00:00"/>
    <d v="1899-12-30T23:26:00"/>
    <s v="Frankfurt"/>
    <s v="Frankfurt Airport"/>
    <s v="Airbus A320-271N"/>
    <d v="2026-07-24T00:00:00"/>
    <d v="1899-12-30T23:35:00"/>
    <d v="1899-12-30T00:09:00"/>
    <x v="1"/>
  </r>
  <r>
    <x v="9"/>
    <s v="Landed 01:04"/>
    <d v="2026-07-25T00:00:00"/>
    <d v="1899-12-30T01:04:00"/>
    <s v="Oslo"/>
    <s v="Oslo Gardermoen Airport"/>
    <s v="Boeing 737-8AS"/>
    <d v="2026-07-24T00:00:00"/>
    <d v="1899-12-30T23:50:00"/>
    <d v="1899-12-30T01:14:00"/>
    <x v="0"/>
  </r>
  <r>
    <x v="9"/>
    <s v="Landed 01:30"/>
    <d v="2026-07-25T00:00:00"/>
    <d v="1899-12-30T01:30:00"/>
    <s v="Milan"/>
    <s v="Milan Bergamo Orio al Serio International Airport"/>
    <s v="Boeing 737-8AS"/>
    <d v="2026-07-25T00:00:00"/>
    <d v="1899-12-30T00:10:00"/>
    <d v="1899-12-30T01:20:00"/>
    <x v="0"/>
  </r>
  <r>
    <x v="0"/>
    <s v="Landed 02:01"/>
    <d v="2026-07-25T00:00:00"/>
    <d v="1899-12-30T02:01:00"/>
    <s v="Riga"/>
    <s v="Riga International Airport"/>
    <s v="Airbus A220-300"/>
    <d v="2026-07-25T00:00:00"/>
    <d v="1899-12-30T00:30:00"/>
    <d v="1899-12-30T01:31:00"/>
    <x v="0"/>
  </r>
  <r>
    <x v="2"/>
    <s v="Landed 01:34"/>
    <d v="2026-07-25T00:00:00"/>
    <d v="1899-12-30T01:34:00"/>
    <s v="Warsaw"/>
    <s v="Warsaw Chopin Airport"/>
    <s v="Embraer E170STD"/>
    <d v="2026-07-25T00:00:00"/>
    <d v="1899-12-30T00:40:00"/>
    <d v="1899-12-30T00:54:00"/>
    <x v="0"/>
  </r>
  <r>
    <x v="1"/>
    <s v="Landed 00:52"/>
    <d v="2026-07-25T00:00:00"/>
    <d v="1899-12-30T00:52:00"/>
    <s v="Reykjavik"/>
    <s v="Keflavik International Airport"/>
    <s v="Airbus A321-271NX"/>
    <d v="2026-07-25T00:00:00"/>
    <d v="1899-12-30T00:40:00"/>
    <d v="1899-12-30T00:12:00"/>
    <x v="1"/>
  </r>
  <r>
    <x v="1"/>
    <s v="Landed 00:53"/>
    <d v="2026-07-25T00:00:00"/>
    <d v="1899-12-30T00:53:00"/>
    <s v="Larnaca"/>
    <s v="Larnaca International Airport"/>
    <s v="Airbus A321-271NX"/>
    <d v="2026-07-25T00:00:00"/>
    <d v="1899-12-30T01:05:00"/>
    <d v="1899-12-30T00:12:00"/>
    <x v="1"/>
  </r>
  <r>
    <x v="1"/>
    <s v="Landed 01:22"/>
    <d v="2026-07-25T00:00:00"/>
    <d v="1899-12-30T01:22:00"/>
    <s v="Milan"/>
    <s v="Milan Malpensa Airport"/>
    <s v="Airbus A321-271NX"/>
    <d v="2026-07-25T00:00:00"/>
    <d v="1899-12-30T01:20:00"/>
    <d v="1899-12-30T00:02:00"/>
    <x v="1"/>
  </r>
  <r>
    <x v="0"/>
    <s v="Landed 01:32"/>
    <d v="2026-07-25T00:00:00"/>
    <d v="1899-12-30T01:32:00"/>
    <s v="Zurich"/>
    <s v="Zurich Airport"/>
    <s v="Airbus A220-300"/>
    <d v="2026-07-25T00:00:00"/>
    <d v="1899-12-30T01:25:00"/>
    <d v="1899-12-30T00:07:00"/>
    <x v="1"/>
  </r>
  <r>
    <x v="3"/>
    <s v="Landed 01:53"/>
    <d v="2026-07-25T00:00:00"/>
    <d v="1899-12-30T01:53:00"/>
    <s v="Copenhagen"/>
    <s v="Copenhagen Airport"/>
    <s v="Mitsubishi CRJ-900LR"/>
    <d v="2026-07-25T00:00:00"/>
    <d v="1899-12-30T01:25:00"/>
    <d v="1899-12-30T00:28:00"/>
    <x v="0"/>
  </r>
  <r>
    <x v="10"/>
    <s v="Unknown"/>
    <d v="2026-07-25T00:00:00"/>
    <e v="#N/A"/>
    <s v="Istanbul"/>
    <s v="Istanbul Airport"/>
    <s v="N/A"/>
    <d v="2026-07-25T00:00:00"/>
    <d v="1899-12-30T07:35:00"/>
    <e v="#N/A"/>
    <x v="2"/>
  </r>
  <r>
    <x v="0"/>
    <s v="Landed 08:21"/>
    <d v="2026-07-25T00:00:00"/>
    <d v="1899-12-30T08:21:00"/>
    <s v="Riga"/>
    <s v="Riga International Airport"/>
    <s v="Airbus A220-300"/>
    <d v="2026-07-25T00:00:00"/>
    <d v="1899-12-30T08:40:00"/>
    <d v="1899-12-30T00:19:00"/>
    <x v="0"/>
  </r>
  <r>
    <x v="7"/>
    <s v="Landed 09:17"/>
    <d v="2026-07-25T00:00:00"/>
    <d v="1899-12-30T09:17:00"/>
    <s v="Helsinki"/>
    <s v="Helsinki Vantaa Airport"/>
    <s v="ATR 72-500"/>
    <d v="2026-07-25T00:00:00"/>
    <d v="1899-12-30T09:20:00"/>
    <d v="1899-12-30T00:03:00"/>
    <x v="1"/>
  </r>
  <r>
    <x v="1"/>
    <s v="Landed 08:47"/>
    <d v="2026-07-25T00:00:00"/>
    <d v="1899-12-30T08:47:00"/>
    <s v="Tallinn"/>
    <s v="Tallinn Lennart Meri Airport"/>
    <s v="Airbus A321-271NX"/>
    <d v="2026-07-25T00:00:00"/>
    <d v="1899-12-30T09:20:00"/>
    <d v="1899-12-30T00:33:00"/>
    <x v="0"/>
  </r>
  <r>
    <x v="14"/>
    <s v="Landed 09:24"/>
    <d v="2026-07-25T00:00:00"/>
    <d v="1899-12-30T09:24:00"/>
    <s v="Oslo"/>
    <s v="Oslo Gardermoen Airport"/>
    <s v="Boeing 737 MAX 8"/>
    <d v="2026-07-25T00:00:00"/>
    <d v="1899-12-30T09:40:00"/>
    <d v="1899-12-30T00:16:00"/>
    <x v="0"/>
  </r>
  <r>
    <x v="9"/>
    <s v="Landed 09:48"/>
    <d v="2026-07-25T00:00:00"/>
    <d v="1899-12-30T09:48:00"/>
    <s v="Oslo"/>
    <s v="Oslo Gardermoen Airport"/>
    <s v="Boeing 737-8AS"/>
    <d v="2026-07-25T00:00:00"/>
    <d v="1899-12-30T09:55:00"/>
    <d v="1899-12-30T00:07:00"/>
    <x v="1"/>
  </r>
  <r>
    <x v="2"/>
    <s v="Landed 10:15"/>
    <d v="2026-07-25T00:00:00"/>
    <d v="1899-12-30T10:15:00"/>
    <s v="Warsaw"/>
    <s v="Warsaw Chopin Airport"/>
    <s v="Embraer E190STD"/>
    <d v="2026-07-25T00:00:00"/>
    <d v="1899-12-30T10:05:00"/>
    <d v="1899-12-30T00:10:00"/>
    <x v="1"/>
  </r>
  <r>
    <x v="9"/>
    <s v="Landed 09:56"/>
    <d v="2026-07-25T00:00:00"/>
    <d v="1899-12-30T09:56:00"/>
    <s v="Barcelona"/>
    <s v="Barcelona El Prat Airport"/>
    <s v="Boeing 737-8AS"/>
    <d v="2026-07-25T00:00:00"/>
    <d v="1899-12-30T10:15:00"/>
    <d v="1899-12-30T00:19:00"/>
    <x v="0"/>
  </r>
  <r>
    <x v="10"/>
    <s v="Landed 10:36"/>
    <d v="2026-07-25T00:00:00"/>
    <d v="1899-12-30T10:36:00"/>
    <s v="Istanbul"/>
    <s v="Istanbul Airport"/>
    <s v="Boeing 737 MAX 8"/>
    <d v="2026-07-25T00:00:00"/>
    <d v="1899-12-30T10:45:00"/>
    <d v="1899-12-30T00:09:00"/>
    <x v="1"/>
  </r>
  <r>
    <x v="9"/>
    <s v="Landed 10:48"/>
    <d v="2026-07-25T00:00:00"/>
    <d v="1899-12-30T10:48:00"/>
    <s v="Nuremberg"/>
    <s v="Nuremberg Airport"/>
    <s v="Boeing 737-8AS"/>
    <d v="2026-07-25T00:00:00"/>
    <d v="1899-12-30T11:00:00"/>
    <d v="1899-12-30T00:12:00"/>
    <x v="1"/>
  </r>
  <r>
    <x v="9"/>
    <s v="Landed 10:43"/>
    <d v="2026-07-25T00:00:00"/>
    <d v="1899-12-30T10:43:00"/>
    <s v="Berlin"/>
    <s v="Berlin Brandenburg Airport"/>
    <s v="Boeing 737-8AS"/>
    <d v="2026-07-25T00:00:00"/>
    <d v="1899-12-30T11:05:00"/>
    <d v="1899-12-30T00:22:00"/>
    <x v="0"/>
  </r>
  <r>
    <x v="1"/>
    <s v="Landed 11:27"/>
    <d v="2026-07-25T00:00:00"/>
    <d v="1899-12-30T11:27:00"/>
    <s v="Catania"/>
    <s v="Catania Fontanarossa Airport"/>
    <s v="Airbus A321-271NX"/>
    <d v="2026-07-25T00:00:00"/>
    <d v="1899-12-30T11:35:00"/>
    <d v="1899-12-30T00:08:00"/>
    <x v="1"/>
  </r>
  <r>
    <x v="0"/>
    <s v="Landed 12:03"/>
    <d v="2026-07-25T00:00:00"/>
    <d v="1899-12-30T12:03:00"/>
    <s v="Munich"/>
    <s v="Munich Airport"/>
    <s v="Airbus A220-300"/>
    <d v="2026-07-25T00:00:00"/>
    <d v="1899-12-30T12:00:00"/>
    <d v="1899-12-30T00:03:00"/>
    <x v="1"/>
  </r>
  <r>
    <x v="11"/>
    <s v="Landed 12:44"/>
    <d v="2026-07-25T00:00:00"/>
    <d v="1899-12-30T12:44:00"/>
    <s v="Frankfurt"/>
    <s v="Frankfurt Airport"/>
    <s v="Airbus A321-231"/>
    <d v="2026-07-25T00:00:00"/>
    <d v="1899-12-30T12:40:00"/>
    <d v="1899-12-30T00:04:00"/>
    <x v="1"/>
  </r>
  <r>
    <x v="7"/>
    <s v="Landed 12:53"/>
    <d v="2026-07-25T00:00:00"/>
    <d v="1899-12-30T12:53:00"/>
    <s v="Helsinki"/>
    <s v="Helsinki Vantaa Airport"/>
    <s v="ATR 72-500"/>
    <d v="2026-07-25T00:00:00"/>
    <d v="1899-12-30T13:00:00"/>
    <d v="1899-12-30T00:07:00"/>
    <x v="1"/>
  </r>
  <r>
    <x v="13"/>
    <s v="Landed 13:09"/>
    <d v="2026-07-25T00:00:00"/>
    <d v="1899-12-30T13:09:00"/>
    <s v="Patras"/>
    <s v="Patras Araxos Airport"/>
    <s v="Boeing 737-83N"/>
    <d v="2026-07-25T00:00:00"/>
    <d v="1899-12-30T13:04:00"/>
    <d v="1899-12-30T00:05:00"/>
    <x v="1"/>
  </r>
  <r>
    <x v="12"/>
    <s v="Landed 13:12"/>
    <d v="2026-07-25T00:00:00"/>
    <d v="1899-12-30T13:12:00"/>
    <s v="Antalya"/>
    <s v="Antalya Airport"/>
    <s v="Airbus A320-214"/>
    <d v="2026-07-25T00:00:00"/>
    <d v="1899-12-30T13:08:00"/>
    <d v="1899-12-30T00:04:00"/>
    <x v="1"/>
  </r>
  <r>
    <x v="13"/>
    <s v="Landed 13:04"/>
    <d v="2026-07-25T00:00:00"/>
    <d v="1899-12-30T13:04:00"/>
    <s v="Antalya"/>
    <s v="Antalya Airport"/>
    <s v="Boeing 737-85P"/>
    <d v="2026-07-25T00:00:00"/>
    <d v="1899-12-30T13:16:00"/>
    <d v="1899-12-30T00:12:00"/>
    <x v="1"/>
  </r>
  <r>
    <x v="0"/>
    <s v="Landed 14:11"/>
    <d v="2026-07-25T00:00:00"/>
    <d v="1899-12-30T14:11:00"/>
    <s v="Amsterdam"/>
    <s v="Amsterdam Schiphol Airport"/>
    <s v="Airbus A220-300"/>
    <d v="2026-07-25T00:00:00"/>
    <d v="1899-12-30T13:25:00"/>
    <d v="1899-12-30T00:46:00"/>
    <x v="0"/>
  </r>
  <r>
    <x v="9"/>
    <s v="Landed 13:05"/>
    <d v="2026-07-25T00:00:00"/>
    <d v="1899-12-30T13:05:00"/>
    <s v="London"/>
    <s v="London Luton Airport"/>
    <s v="Boeing 737 MAX 8-200"/>
    <d v="2026-07-25T00:00:00"/>
    <d v="1899-12-30T13:25:00"/>
    <d v="1899-12-30T00:20:00"/>
    <x v="0"/>
  </r>
  <r>
    <x v="9"/>
    <s v="Landed 13:49"/>
    <d v="2026-07-25T00:00:00"/>
    <d v="1899-12-30T13:49:00"/>
    <s v="Rome"/>
    <s v="Rome Ciampino Airport"/>
    <s v="Boeing 737 MAX 8-200"/>
    <d v="2026-07-25T00:00:00"/>
    <d v="1899-12-30T13:40:00"/>
    <d v="1899-12-30T00:09:00"/>
    <x v="1"/>
  </r>
  <r>
    <x v="17"/>
    <s v="Landed 13:37"/>
    <d v="2026-07-25T00:00:00"/>
    <d v="1899-12-30T13:37:00"/>
    <s v="Antalya"/>
    <s v="Antalya Airport"/>
    <s v="Airbus A320-232"/>
    <d v="2026-07-25T00:00:00"/>
    <d v="1899-12-30T13:40:00"/>
    <d v="1899-12-30T00:03:00"/>
    <x v="1"/>
  </r>
  <r>
    <x v="2"/>
    <s v="Landed 13:55"/>
    <d v="2026-07-25T00:00:00"/>
    <d v="1899-12-30T13:55:00"/>
    <s v="Warsaw"/>
    <s v="Warsaw Chopin Airport"/>
    <s v="Embraer E195AR"/>
    <d v="2026-07-25T00:00:00"/>
    <d v="1899-12-30T13:50:00"/>
    <d v="1899-12-30T00:05:00"/>
    <x v="1"/>
  </r>
  <r>
    <x v="1"/>
    <s v="Landed 13:58"/>
    <d v="2026-07-25T00:00:00"/>
    <d v="1899-12-30T13:58:00"/>
    <s v="Billund"/>
    <s v="Billund Airport"/>
    <s v="Airbus A321-271NX"/>
    <d v="2026-07-25T00:00:00"/>
    <d v="1899-12-30T14:10:00"/>
    <d v="1899-12-30T00:12:00"/>
    <x v="1"/>
  </r>
  <r>
    <x v="9"/>
    <s v="Landed 14:14"/>
    <d v="2026-07-25T00:00:00"/>
    <d v="1899-12-30T14:14:00"/>
    <s v="Oslo"/>
    <s v="Oslo Gardermoen Airport"/>
    <s v="Boeing 737-8AS"/>
    <d v="2026-07-25T00:00:00"/>
    <d v="1899-12-30T14:30:00"/>
    <d v="1899-12-30T00:16:00"/>
    <x v="0"/>
  </r>
  <r>
    <x v="0"/>
    <s v="Landed 14:52"/>
    <d v="2026-07-25T00:00:00"/>
    <d v="1899-12-30T14:52:00"/>
    <s v="Riga"/>
    <s v="Riga International Airport"/>
    <s v="Airbus A220-300"/>
    <d v="2026-07-25T00:00:00"/>
    <d v="1899-12-30T14:35:00"/>
    <d v="1899-12-30T00:17:00"/>
    <x v="0"/>
  </r>
  <r>
    <x v="1"/>
    <s v="Landed 14:21"/>
    <d v="2026-07-25T00:00:00"/>
    <d v="1899-12-30T14:21:00"/>
    <s v="Kutaisi"/>
    <s v="Kutaisi International Airport"/>
    <s v="Airbus A321-271NX"/>
    <d v="2026-07-25T00:00:00"/>
    <d v="1899-12-30T14:35:00"/>
    <d v="1899-12-30T00:14:00"/>
    <x v="1"/>
  </r>
  <r>
    <x v="3"/>
    <s v="Landed 15:06"/>
    <d v="2026-07-25T00:00:00"/>
    <d v="1899-12-30T15:06:00"/>
    <s v="Copenhagen"/>
    <s v="Copenhagen Airport"/>
    <s v="Mitsubishi CRJ-900LR"/>
    <d v="2026-07-25T00:00:00"/>
    <d v="1899-12-30T15:15:00"/>
    <d v="1899-12-30T00:09:00"/>
    <x v="1"/>
  </r>
  <r>
    <x v="9"/>
    <s v="Landed 15:28"/>
    <d v="2026-07-25T00:00:00"/>
    <d v="1899-12-30T15:28:00"/>
    <s v="Venice"/>
    <s v="Venice Treviso Airport"/>
    <s v="Boeing 737-8AS"/>
    <d v="2026-07-25T00:00:00"/>
    <d v="1899-12-30T15:25:00"/>
    <d v="1899-12-30T00:03:00"/>
    <x v="1"/>
  </r>
  <r>
    <x v="2"/>
    <s v="Landed 17:04"/>
    <d v="2026-07-25T00:00:00"/>
    <d v="1899-12-30T17:04:00"/>
    <s v="Warsaw"/>
    <s v="Warsaw Chopin Airport"/>
    <s v="Embraer E190STD"/>
    <d v="2026-07-25T00:00:00"/>
    <d v="1899-12-30T16:20:00"/>
    <d v="1899-12-30T00:44:00"/>
    <x v="0"/>
  </r>
  <r>
    <x v="9"/>
    <s v="Unknown"/>
    <d v="2026-07-25T00:00:00"/>
    <e v="#N/A"/>
    <s v="London"/>
    <s v="London Stansted Airport"/>
    <s v="Boeing 737-8AS"/>
    <d v="2026-07-25T00:00:00"/>
    <d v="1899-12-30T16:35:00"/>
    <e v="#N/A"/>
    <x v="2"/>
  </r>
  <r>
    <x v="9"/>
    <s v="Landed 16:49"/>
    <d v="2026-07-25T00:00:00"/>
    <d v="1899-12-30T16:49:00"/>
    <s v="Milan"/>
    <s v="Milan Bergamo Orio al Serio International Airport"/>
    <s v="Boeing 737-8AS"/>
    <d v="2026-07-25T00:00:00"/>
    <d v="1899-12-30T16:55:00"/>
    <d v="1899-12-30T00:06:00"/>
    <x v="1"/>
  </r>
  <r>
    <x v="1"/>
    <s v="Landed 16:43"/>
    <d v="2026-07-25T00:00:00"/>
    <d v="1899-12-30T16:43:00"/>
    <s v="Gdansk"/>
    <s v="Gdansk Lech Walesa Airport"/>
    <s v="Airbus A321-231"/>
    <d v="2026-07-25T00:00:00"/>
    <d v="1899-12-30T17:00:00"/>
    <d v="1899-12-30T00:17:00"/>
    <x v="0"/>
  </r>
  <r>
    <x v="7"/>
    <s v="Landed 17:55"/>
    <d v="2026-07-25T00:00:00"/>
    <d v="1899-12-30T17:55:00"/>
    <s v="Helsinki"/>
    <s v="Helsinki Vantaa Airport"/>
    <s v="ATR 72-500"/>
    <d v="2026-07-25T00:00:00"/>
    <d v="1899-12-30T17:55:00"/>
    <d v="1899-12-30T00:00:00"/>
    <x v="1"/>
  </r>
  <r>
    <x v="1"/>
    <s v="Landed 18:12"/>
    <d v="2026-07-25T00:00:00"/>
    <d v="1899-12-30T18:12:00"/>
    <s v="Tirana"/>
    <s v="Tirana International Airport"/>
    <s v="Airbus A321-271NX"/>
    <d v="2026-07-25T00:00:00"/>
    <d v="1899-12-30T18:05:00"/>
    <d v="1899-12-30T00:07:00"/>
    <x v="1"/>
  </r>
  <r>
    <x v="2"/>
    <s v="Landed 18:31"/>
    <d v="2026-07-25T00:00:00"/>
    <d v="1899-12-30T18:31:00"/>
    <s v="Warsaw"/>
    <s v="Warsaw Chopin Airport"/>
    <s v="Embraer E175STD"/>
    <d v="2026-07-25T00:00:00"/>
    <d v="1899-12-30T18:35:00"/>
    <d v="1899-12-30T00:04:00"/>
    <x v="1"/>
  </r>
  <r>
    <x v="10"/>
    <s v="Landed 20:09"/>
    <d v="2026-07-25T00:00:00"/>
    <d v="1899-12-30T20:09:00"/>
    <s v="Istanbul"/>
    <s v="Istanbul Airport"/>
    <s v="Boeing 737-8F2"/>
    <d v="2026-07-25T00:00:00"/>
    <d v="1899-12-30T19:30:00"/>
    <d v="1899-12-30T00:39:00"/>
    <x v="0"/>
  </r>
  <r>
    <x v="13"/>
    <s v="Landed 20:12"/>
    <d v="2026-07-25T00:00:00"/>
    <d v="1899-12-30T20:12:00"/>
    <s v="Malta"/>
    <s v="Malta Luqa International Airport"/>
    <s v="Airbus A320-214"/>
    <d v="2026-07-25T00:00:00"/>
    <d v="1899-12-30T19:31:00"/>
    <d v="1899-12-30T00:41:00"/>
    <x v="0"/>
  </r>
  <r>
    <x v="0"/>
    <s v="Landed 19:34"/>
    <d v="2026-07-25T00:00:00"/>
    <d v="1899-12-30T19:34:00"/>
    <s v="Amsterdam"/>
    <s v="Amsterdam Schiphol Airport"/>
    <s v="Airbus A220-300"/>
    <d v="2026-07-25T00:00:00"/>
    <d v="1899-12-30T19:50:00"/>
    <d v="1899-12-30T00:16:00"/>
    <x v="0"/>
  </r>
  <r>
    <x v="1"/>
    <s v="Landed 20:01"/>
    <d v="2026-07-25T00:00:00"/>
    <d v="1899-12-30T20:01:00"/>
    <s v="Dortmund"/>
    <s v="Dortmund Airport"/>
    <s v="Airbus A321-271NX"/>
    <d v="2026-07-25T00:00:00"/>
    <d v="1899-12-30T20:15:00"/>
    <d v="1899-12-30T00:14:00"/>
    <x v="1"/>
  </r>
  <r>
    <x v="49"/>
    <s v="Landed 20:30"/>
    <d v="2026-07-25T00:00:00"/>
    <d v="1899-12-30T20:30:00"/>
    <s v="Rostock"/>
    <s v="Rostock Laage Airport"/>
    <s v="Embraer Legacy 600"/>
    <d v="2026-07-25T00:00:00"/>
    <d v="1899-12-30T20:17:00"/>
    <d v="1899-12-30T00:13:00"/>
    <x v="1"/>
  </r>
  <r>
    <x v="0"/>
    <s v="Landed 23:27"/>
    <d v="2026-07-25T00:00:00"/>
    <d v="1899-12-30T23:27:00"/>
    <s v="Riga"/>
    <s v="Riga International Airport"/>
    <s v="Airbus A220-300"/>
    <d v="2026-07-25T00:00:00"/>
    <d v="1899-12-30T20:50:00"/>
    <d v="1899-12-30T02:37:00"/>
    <x v="0"/>
  </r>
  <r>
    <x v="7"/>
    <s v="Landed 20:59"/>
    <d v="2026-07-25T00:00:00"/>
    <d v="1899-12-30T20:59:00"/>
    <s v="Helsinki"/>
    <s v="Helsinki Vantaa Airport"/>
    <s v="ATR 72-500"/>
    <d v="2026-07-25T00:00:00"/>
    <d v="1899-12-30T21:10:00"/>
    <d v="1899-12-30T00:11:00"/>
    <x v="1"/>
  </r>
  <r>
    <x v="12"/>
    <s v="Landed 21:26"/>
    <d v="2026-07-25T00:00:00"/>
    <d v="1899-12-30T21:26:00"/>
    <s v="Heraklion"/>
    <s v="Heraklion International Airport"/>
    <s v="Airbus A320-214"/>
    <d v="2026-07-25T00:00:00"/>
    <d v="1899-12-30T21:17:00"/>
    <d v="1899-12-30T00:09:00"/>
    <x v="1"/>
  </r>
  <r>
    <x v="9"/>
    <s v="Landed 21:29"/>
    <d v="2026-07-25T00:00:00"/>
    <d v="1899-12-30T21:29:00"/>
    <s v="Vienna"/>
    <s v="Vienna International Airport"/>
    <s v="Boeing 737-8AS"/>
    <d v="2026-07-25T00:00:00"/>
    <d v="1899-12-30T21:50:00"/>
    <d v="1899-12-30T00:21:00"/>
    <x v="0"/>
  </r>
  <r>
    <x v="9"/>
    <s v="Landed 22:21"/>
    <d v="2026-07-25T00:00:00"/>
    <d v="1899-12-30T22:21:00"/>
    <s v="Athens"/>
    <s v="Athens Eleftherios Venizelos"/>
    <s v="Boeing 737-8AS"/>
    <d v="2026-07-25T00:00:00"/>
    <d v="1899-12-30T21:55:00"/>
    <d v="1899-12-30T00:26:00"/>
    <x v="0"/>
  </r>
  <r>
    <x v="13"/>
    <s v="Landed 22:44"/>
    <d v="2026-07-25T00:00:00"/>
    <d v="1899-12-30T22:44:00"/>
    <s v="Heraklion"/>
    <s v="Heraklion International Airport"/>
    <s v="Boeing 737-83N"/>
    <d v="2026-07-25T00:00:00"/>
    <d v="1899-12-30T22:09:00"/>
    <d v="1899-12-30T00:35:00"/>
    <x v="0"/>
  </r>
  <r>
    <x v="17"/>
    <s v="Landed 22:24"/>
    <d v="2026-07-25T00:00:00"/>
    <d v="1899-12-30T22:24:00"/>
    <s v="Heraklion"/>
    <s v="Heraklion International Airport"/>
    <s v="Airbus A320-232"/>
    <d v="2026-07-25T00:00:00"/>
    <d v="1899-12-30T22:10:00"/>
    <d v="1899-12-30T00:14:00"/>
    <x v="1"/>
  </r>
  <r>
    <x v="13"/>
    <s v="Landed 22:58"/>
    <d v="2026-07-25T00:00:00"/>
    <d v="1899-12-30T22:58:00"/>
    <s v="Rhodes"/>
    <s v="Rhodes International Airport"/>
    <s v="Boeing 737-85P"/>
    <d v="2026-07-25T00:00:00"/>
    <d v="1899-12-30T23:07:00"/>
    <d v="1899-12-30T00:09:00"/>
    <x v="1"/>
  </r>
  <r>
    <x v="20"/>
    <s v="Landed 23:20"/>
    <d v="2026-07-25T00:00:00"/>
    <d v="1899-12-30T23:20:00"/>
    <s v="Antalya"/>
    <s v="Antalya Airport"/>
    <s v="Boeing 777-31H(ER)"/>
    <d v="2026-07-25T00:00:00"/>
    <d v="1899-12-30T23:15:00"/>
    <d v="1899-12-30T00:05:00"/>
    <x v="1"/>
  </r>
  <r>
    <x v="11"/>
    <s v="Landed 23:51"/>
    <d v="2026-07-25T00:00:00"/>
    <d v="1899-12-30T23:51:00"/>
    <s v="Frankfurt"/>
    <s v="Frankfurt Airport"/>
    <s v="Airbus A320-214"/>
    <d v="2026-07-25T00:00:00"/>
    <d v="1899-12-30T23:45:00"/>
    <d v="1899-12-30T00:06:00"/>
    <x v="1"/>
  </r>
  <r>
    <x v="1"/>
    <s v="Landed 23:43"/>
    <d v="2026-07-25T00:00:00"/>
    <d v="1899-12-30T23:43:00"/>
    <s v="Bergen"/>
    <s v="Bergen Flesland Airport"/>
    <s v="Airbus A321-271NX"/>
    <d v="2026-07-25T00:00:00"/>
    <d v="1899-12-30T23:55:00"/>
    <d v="1899-12-30T00:12:00"/>
    <x v="1"/>
  </r>
  <r>
    <x v="50"/>
    <m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CAC35-8033-4CB8-8B5C-8A3763303E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customListSort="0">
  <location ref="A3:D53" firstHeaderRow="1" firstDataRow="2" firstDataCol="1"/>
  <pivotFields count="11">
    <pivotField axis="axisRow" showAll="0" sortType="descending">
      <items count="75">
        <item x="50"/>
        <item x="1"/>
        <item x="40"/>
        <item x="19"/>
        <item x="30"/>
        <item x="32"/>
        <item x="36"/>
        <item x="26"/>
        <item x="10"/>
        <item x="34"/>
        <item x="44"/>
        <item x="4"/>
        <item x="20"/>
        <item x="48"/>
        <item x="41"/>
        <item x="3"/>
        <item x="9"/>
        <item x="43"/>
        <item m="1" x="65"/>
        <item m="1" x="72"/>
        <item m="1" x="54"/>
        <item m="1" x="59"/>
        <item m="1" x="64"/>
        <item m="1" x="71"/>
        <item m="1" x="69"/>
        <item x="14"/>
        <item x="15"/>
        <item x="25"/>
        <item m="1" x="67"/>
        <item m="1" x="61"/>
        <item m="1" x="73"/>
        <item m="1" x="56"/>
        <item m="1" x="51"/>
        <item x="11"/>
        <item m="1" x="68"/>
        <item m="1" x="57"/>
        <item m="1" x="62"/>
        <item m="1" x="58"/>
        <item x="2"/>
        <item x="6"/>
        <item x="39"/>
        <item x="45"/>
        <item x="16"/>
        <item x="12"/>
        <item x="13"/>
        <item x="38"/>
        <item x="46"/>
        <item x="31"/>
        <item x="49"/>
        <item x="33"/>
        <item m="1" x="66"/>
        <item x="7"/>
        <item x="17"/>
        <item x="8"/>
        <item x="24"/>
        <item x="5"/>
        <item x="23"/>
        <item x="29"/>
        <item x="37"/>
        <item x="35"/>
        <item x="42"/>
        <item x="27"/>
        <item x="18"/>
        <item m="1" x="70"/>
        <item x="22"/>
        <item x="47"/>
        <item x="28"/>
        <item m="1" x="52"/>
        <item m="1" x="53"/>
        <item m="1" x="55"/>
        <item m="1" x="63"/>
        <item m="1" x="60"/>
        <item x="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 sortType="descending">
      <items count="6">
        <item h="1" x="3"/>
        <item h="1" m="1" x="4"/>
        <item h="1" x="2"/>
        <item x="1"/>
        <item x="0"/>
        <item t="default"/>
      </items>
    </pivotField>
  </pivotFields>
  <rowFields count="1">
    <field x="0"/>
  </rowFields>
  <rowItems count="49">
    <i>
      <x v="72"/>
    </i>
    <i>
      <x v="16"/>
    </i>
    <i>
      <x v="1"/>
    </i>
    <i>
      <x v="38"/>
    </i>
    <i>
      <x v="51"/>
    </i>
    <i>
      <x v="44"/>
    </i>
    <i>
      <x v="33"/>
    </i>
    <i>
      <x v="8"/>
    </i>
    <i>
      <x v="43"/>
    </i>
    <i>
      <x v="52"/>
    </i>
    <i>
      <x v="15"/>
    </i>
    <i>
      <x v="25"/>
    </i>
    <i>
      <x v="26"/>
    </i>
    <i>
      <x v="55"/>
    </i>
    <i>
      <x v="12"/>
    </i>
    <i>
      <x v="56"/>
    </i>
    <i>
      <x v="3"/>
    </i>
    <i>
      <x v="42"/>
    </i>
    <i>
      <x v="39"/>
    </i>
    <i>
      <x v="64"/>
    </i>
    <i>
      <x v="73"/>
    </i>
    <i>
      <x v="61"/>
    </i>
    <i>
      <x v="57"/>
    </i>
    <i>
      <x v="7"/>
    </i>
    <i>
      <x v="11"/>
    </i>
    <i>
      <x v="59"/>
    </i>
    <i>
      <x v="9"/>
    </i>
    <i>
      <x v="53"/>
    </i>
    <i>
      <x v="27"/>
    </i>
    <i>
      <x v="47"/>
    </i>
    <i>
      <x v="49"/>
    </i>
    <i>
      <x v="6"/>
    </i>
    <i>
      <x v="48"/>
    </i>
    <i>
      <x v="10"/>
    </i>
    <i>
      <x v="4"/>
    </i>
    <i>
      <x v="14"/>
    </i>
    <i>
      <x v="66"/>
    </i>
    <i>
      <x v="54"/>
    </i>
    <i>
      <x v="60"/>
    </i>
    <i>
      <x v="17"/>
    </i>
    <i>
      <x v="62"/>
    </i>
    <i>
      <x v="46"/>
    </i>
    <i>
      <x v="65"/>
    </i>
    <i>
      <x v="40"/>
    </i>
    <i>
      <x v="13"/>
    </i>
    <i>
      <x v="58"/>
    </i>
    <i>
      <x v="2"/>
    </i>
    <i>
      <x v="41"/>
    </i>
    <i t="grand">
      <x/>
    </i>
  </rowItems>
  <colFields count="1">
    <field x="10"/>
  </colFields>
  <colItems count="3">
    <i>
      <x v="3"/>
    </i>
    <i>
      <x v="4"/>
    </i>
    <i t="grand">
      <x/>
    </i>
  </colItems>
  <dataFields count="1">
    <dataField name="Count of Status difference" fld="10" subtotal="count" baseField="0" baseItem="0"/>
  </dataFields>
  <chartFormats count="4">
    <chartFormat chart="1" format="5" series="1">
      <pivotArea type="data" outline="0" fieldPosition="0">
        <references count="1">
          <reference field="10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10" count="1" selected="0">
            <x v="3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EC332-9982-4FF3-B92D-12C733219A8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day">
  <location ref="A3:D12" firstHeaderRow="1" firstDataRow="2" firstDataCol="1"/>
  <pivotFields count="3">
    <pivotField axis="axisRow" allDrilled="1" subtotalTop="0" showAll="0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tatus difference" fld="2" subtotal="count" showDataAs="percentOfRow" baseField="0" baseItem="0" numFmtId="1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67538-A36D-43BD-80F6-B327B1696737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ur">
  <location ref="A3:D28" firstHeaderRow="1" firstDataRow="2" firstDataCol="1"/>
  <pivotFields count="3">
    <pivotField axis="axisRow" allDrilled="1" subtotalTop="0" showAll="0" sortType="descending" defaultSubtotal="0" defaultAttributeDrillState="1">
      <items count="2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sortType="descending" defaultSubtotal="0" defaultAttributeDrillState="1">
      <items count="2">
        <item s="1" x="0"/>
        <item s="1"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4">
    <i>
      <x v="5"/>
    </i>
    <i>
      <x v="7"/>
    </i>
    <i>
      <x v="4"/>
    </i>
    <i>
      <x v="10"/>
    </i>
    <i>
      <x v="1"/>
    </i>
    <i>
      <x v="16"/>
    </i>
    <i>
      <x v="11"/>
    </i>
    <i>
      <x/>
    </i>
    <i>
      <x v="15"/>
    </i>
    <i>
      <x v="14"/>
    </i>
    <i>
      <x v="2"/>
    </i>
    <i>
      <x v="3"/>
    </i>
    <i>
      <x v="8"/>
    </i>
    <i>
      <x v="22"/>
    </i>
    <i>
      <x v="13"/>
    </i>
    <i>
      <x v="21"/>
    </i>
    <i>
      <x v="6"/>
    </i>
    <i>
      <x v="9"/>
    </i>
    <i>
      <x v="12"/>
    </i>
    <i>
      <x v="20"/>
    </i>
    <i>
      <x v="17"/>
    </i>
    <i>
      <x v="18"/>
    </i>
    <i>
      <x v="19"/>
    </i>
    <i t="grand">
      <x/>
    </i>
  </rowItems>
  <colFields count="1">
    <field x="1"/>
  </colFields>
  <colItems count="3">
    <i>
      <x v="1"/>
    </i>
    <i>
      <x/>
    </i>
    <i t="grand">
      <x/>
    </i>
  </colItems>
  <dataFields count="1">
    <dataField name="Count of Status difference" fld="2" subtotal="count" showDataAs="percentOfRow" baseField="0" baseItem="0" numFmtId="1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!$M:$N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81C8F-F228-4735-8344-C8C27C8EFB2C}" name="PivotTable2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Airline">
  <location ref="A3:D16" firstHeaderRow="1" firstDataRow="2" firstDataCol="1"/>
  <pivotFields count="3">
    <pivotField axis="axisRow" allDrilled="1" subtotalTop="0" showAll="0" defaultSubtotal="0" defaultAttributeDrillState="1">
      <items count="1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rrival status" fld="2" subtotal="count" showDataAs="percentOfRow" baseField="0" baseItem="0" numFmtId="1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!$M:$N1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AB0C-C2F3-4666-A755-E431F2942B89}">
  <dimension ref="A3:D53"/>
  <sheetViews>
    <sheetView zoomScale="55" zoomScaleNormal="55" workbookViewId="0">
      <selection activeCell="D57" sqref="D57"/>
    </sheetView>
  </sheetViews>
  <sheetFormatPr defaultRowHeight="13.2" x14ac:dyDescent="0.25"/>
  <cols>
    <col min="1" max="1" width="26" bestFit="1" customWidth="1"/>
    <col min="2" max="2" width="19.5546875" bestFit="1" customWidth="1"/>
    <col min="3" max="3" width="8.5546875" bestFit="1" customWidth="1"/>
    <col min="4" max="4" width="12" bestFit="1" customWidth="1"/>
    <col min="5" max="5" width="27.21875" bestFit="1" customWidth="1"/>
    <col min="6" max="6" width="31.44140625" bestFit="1" customWidth="1"/>
    <col min="7" max="7" width="32.44140625" bestFit="1" customWidth="1"/>
  </cols>
  <sheetData>
    <row r="3" spans="1:4" x14ac:dyDescent="0.25">
      <c r="A3" s="4" t="s">
        <v>1323</v>
      </c>
      <c r="B3" s="4" t="s">
        <v>1322</v>
      </c>
    </row>
    <row r="4" spans="1:4" x14ac:dyDescent="0.25">
      <c r="A4" s="4" t="s">
        <v>1320</v>
      </c>
      <c r="B4" t="s">
        <v>1319</v>
      </c>
      <c r="C4" t="s">
        <v>1318</v>
      </c>
      <c r="D4" t="s">
        <v>1321</v>
      </c>
    </row>
    <row r="5" spans="1:4" x14ac:dyDescent="0.25">
      <c r="A5" s="5" t="s">
        <v>7</v>
      </c>
      <c r="B5" s="6">
        <v>169</v>
      </c>
      <c r="C5" s="6">
        <v>122</v>
      </c>
      <c r="D5" s="6">
        <v>291</v>
      </c>
    </row>
    <row r="6" spans="1:4" x14ac:dyDescent="0.25">
      <c r="A6" s="5" t="s">
        <v>85</v>
      </c>
      <c r="B6" s="6">
        <v>134</v>
      </c>
      <c r="C6" s="6">
        <v>134</v>
      </c>
      <c r="D6" s="6">
        <v>268</v>
      </c>
    </row>
    <row r="7" spans="1:4" x14ac:dyDescent="0.25">
      <c r="A7" s="5" t="s">
        <v>13</v>
      </c>
      <c r="B7" s="6">
        <v>138</v>
      </c>
      <c r="C7" s="6">
        <v>92</v>
      </c>
      <c r="D7" s="6">
        <v>230</v>
      </c>
    </row>
    <row r="8" spans="1:4" x14ac:dyDescent="0.25">
      <c r="A8" s="5" t="s">
        <v>19</v>
      </c>
      <c r="B8" s="6">
        <v>93</v>
      </c>
      <c r="C8" s="6">
        <v>37</v>
      </c>
      <c r="D8" s="6">
        <v>130</v>
      </c>
    </row>
    <row r="9" spans="1:4" x14ac:dyDescent="0.25">
      <c r="A9" s="5" t="s">
        <v>69</v>
      </c>
      <c r="B9" s="6">
        <v>71</v>
      </c>
      <c r="C9" s="6">
        <v>22</v>
      </c>
      <c r="D9" s="6">
        <v>93</v>
      </c>
    </row>
    <row r="10" spans="1:4" x14ac:dyDescent="0.25">
      <c r="A10" s="5" t="s">
        <v>124</v>
      </c>
      <c r="B10" s="6">
        <v>45</v>
      </c>
      <c r="C10" s="6">
        <v>37</v>
      </c>
      <c r="D10" s="6">
        <v>82</v>
      </c>
    </row>
    <row r="11" spans="1:4" x14ac:dyDescent="0.25">
      <c r="A11" s="5" t="s">
        <v>190</v>
      </c>
      <c r="B11" s="6">
        <v>55</v>
      </c>
      <c r="C11" s="6">
        <v>9</v>
      </c>
      <c r="D11" s="6">
        <v>64</v>
      </c>
    </row>
    <row r="12" spans="1:4" x14ac:dyDescent="0.25">
      <c r="A12" s="5" t="s">
        <v>96</v>
      </c>
      <c r="B12" s="6">
        <v>27</v>
      </c>
      <c r="C12" s="6">
        <v>17</v>
      </c>
      <c r="D12" s="6">
        <v>44</v>
      </c>
    </row>
    <row r="13" spans="1:4" x14ac:dyDescent="0.25">
      <c r="A13" s="5" t="s">
        <v>117</v>
      </c>
      <c r="B13" s="6">
        <v>36</v>
      </c>
      <c r="C13" s="6">
        <v>8</v>
      </c>
      <c r="D13" s="6">
        <v>44</v>
      </c>
    </row>
    <row r="14" spans="1:4" x14ac:dyDescent="0.25">
      <c r="A14" s="5" t="s">
        <v>239</v>
      </c>
      <c r="B14" s="6">
        <v>20</v>
      </c>
      <c r="C14" s="6">
        <v>17</v>
      </c>
      <c r="D14" s="6">
        <v>37</v>
      </c>
    </row>
    <row r="15" spans="1:4" x14ac:dyDescent="0.25">
      <c r="A15" s="5" t="s">
        <v>41</v>
      </c>
      <c r="B15" s="6">
        <v>32</v>
      </c>
      <c r="C15" s="6">
        <v>4</v>
      </c>
      <c r="D15" s="6">
        <v>36</v>
      </c>
    </row>
    <row r="16" spans="1:4" x14ac:dyDescent="0.25">
      <c r="A16" s="5" t="s">
        <v>151</v>
      </c>
      <c r="B16" s="6">
        <v>14</v>
      </c>
      <c r="C16" s="6">
        <v>10</v>
      </c>
      <c r="D16" s="6">
        <v>24</v>
      </c>
    </row>
    <row r="17" spans="1:4" x14ac:dyDescent="0.25">
      <c r="A17" s="5" t="s">
        <v>123</v>
      </c>
      <c r="B17" s="6">
        <v>11</v>
      </c>
      <c r="C17" s="6">
        <v>8</v>
      </c>
      <c r="D17" s="6">
        <v>19</v>
      </c>
    </row>
    <row r="18" spans="1:4" x14ac:dyDescent="0.25">
      <c r="A18" s="5" t="s">
        <v>55</v>
      </c>
      <c r="B18" s="6">
        <v>13</v>
      </c>
      <c r="C18" s="6">
        <v>1</v>
      </c>
      <c r="D18" s="6">
        <v>14</v>
      </c>
    </row>
    <row r="19" spans="1:4" x14ac:dyDescent="0.25">
      <c r="A19" s="5" t="s">
        <v>388</v>
      </c>
      <c r="B19" s="6">
        <v>11</v>
      </c>
      <c r="C19" s="6">
        <v>2</v>
      </c>
      <c r="D19" s="6">
        <v>13</v>
      </c>
    </row>
    <row r="20" spans="1:4" x14ac:dyDescent="0.25">
      <c r="A20" s="5" t="s">
        <v>555</v>
      </c>
      <c r="B20" s="6">
        <v>12</v>
      </c>
      <c r="C20" s="6"/>
      <c r="D20" s="6">
        <v>12</v>
      </c>
    </row>
    <row r="21" spans="1:4" x14ac:dyDescent="0.25">
      <c r="A21" s="5" t="s">
        <v>363</v>
      </c>
      <c r="B21" s="6">
        <v>3</v>
      </c>
      <c r="C21" s="6">
        <v>7</v>
      </c>
      <c r="D21" s="6">
        <v>10</v>
      </c>
    </row>
    <row r="22" spans="1:4" x14ac:dyDescent="0.25">
      <c r="A22" s="5" t="s">
        <v>231</v>
      </c>
      <c r="B22" s="6">
        <v>3</v>
      </c>
      <c r="C22" s="6">
        <v>6</v>
      </c>
      <c r="D22" s="6">
        <v>9</v>
      </c>
    </row>
    <row r="23" spans="1:4" x14ac:dyDescent="0.25">
      <c r="A23" s="5" t="s">
        <v>63</v>
      </c>
      <c r="B23" s="6">
        <v>7</v>
      </c>
      <c r="C23" s="6"/>
      <c r="D23" s="6">
        <v>7</v>
      </c>
    </row>
    <row r="24" spans="1:4" x14ac:dyDescent="0.25">
      <c r="A24" s="5" t="s">
        <v>513</v>
      </c>
      <c r="B24" s="6">
        <v>5</v>
      </c>
      <c r="C24" s="6">
        <v>1</v>
      </c>
      <c r="D24" s="6">
        <v>6</v>
      </c>
    </row>
    <row r="25" spans="1:4" x14ac:dyDescent="0.25">
      <c r="A25" s="5" t="s">
        <v>477</v>
      </c>
      <c r="B25" s="6">
        <v>5</v>
      </c>
      <c r="C25" s="6"/>
      <c r="D25" s="6">
        <v>5</v>
      </c>
    </row>
    <row r="26" spans="1:4" x14ac:dyDescent="0.25">
      <c r="A26" s="5" t="s">
        <v>592</v>
      </c>
      <c r="B26" s="6">
        <v>2</v>
      </c>
      <c r="C26" s="6">
        <v>2</v>
      </c>
      <c r="D26" s="6">
        <v>4</v>
      </c>
    </row>
    <row r="27" spans="1:4" x14ac:dyDescent="0.25">
      <c r="A27" s="5" t="s">
        <v>675</v>
      </c>
      <c r="B27" s="6">
        <v>1</v>
      </c>
      <c r="C27" s="6">
        <v>2</v>
      </c>
      <c r="D27" s="6">
        <v>3</v>
      </c>
    </row>
    <row r="28" spans="1:4" x14ac:dyDescent="0.25">
      <c r="A28" s="5" t="s">
        <v>585</v>
      </c>
      <c r="B28" s="6">
        <v>2</v>
      </c>
      <c r="C28" s="6">
        <v>1</v>
      </c>
      <c r="D28" s="6">
        <v>3</v>
      </c>
    </row>
    <row r="29" spans="1:4" x14ac:dyDescent="0.25">
      <c r="A29" s="5" t="s">
        <v>47</v>
      </c>
      <c r="B29" s="6">
        <v>3</v>
      </c>
      <c r="C29" s="6"/>
      <c r="D29" s="6">
        <v>3</v>
      </c>
    </row>
    <row r="30" spans="1:4" x14ac:dyDescent="0.25">
      <c r="A30" s="5" t="s">
        <v>927</v>
      </c>
      <c r="B30" s="6">
        <v>2</v>
      </c>
      <c r="C30" s="6"/>
      <c r="D30" s="6">
        <v>2</v>
      </c>
    </row>
    <row r="31" spans="1:4" x14ac:dyDescent="0.25">
      <c r="A31" s="5" t="s">
        <v>799</v>
      </c>
      <c r="B31" s="6">
        <v>1</v>
      </c>
      <c r="C31" s="6">
        <v>1</v>
      </c>
      <c r="D31" s="6">
        <v>2</v>
      </c>
    </row>
    <row r="32" spans="1:4" x14ac:dyDescent="0.25">
      <c r="A32" s="5" t="s">
        <v>79</v>
      </c>
      <c r="B32" s="6"/>
      <c r="C32" s="6">
        <v>2</v>
      </c>
      <c r="D32" s="6">
        <v>2</v>
      </c>
    </row>
    <row r="33" spans="1:4" x14ac:dyDescent="0.25">
      <c r="A33" s="5" t="s">
        <v>575</v>
      </c>
      <c r="B33" s="6">
        <v>2</v>
      </c>
      <c r="C33" s="6"/>
      <c r="D33" s="6">
        <v>2</v>
      </c>
    </row>
    <row r="34" spans="1:4" x14ac:dyDescent="0.25">
      <c r="A34" s="5" t="s">
        <v>756</v>
      </c>
      <c r="B34" s="6"/>
      <c r="C34" s="6">
        <v>2</v>
      </c>
      <c r="D34" s="6">
        <v>2</v>
      </c>
    </row>
    <row r="35" spans="1:4" x14ac:dyDescent="0.25">
      <c r="A35" s="5" t="s">
        <v>780</v>
      </c>
      <c r="B35" s="6">
        <v>1</v>
      </c>
      <c r="C35" s="6">
        <v>1</v>
      </c>
      <c r="D35" s="6">
        <v>2</v>
      </c>
    </row>
    <row r="36" spans="1:4" x14ac:dyDescent="0.25">
      <c r="A36" s="5" t="s">
        <v>940</v>
      </c>
      <c r="B36" s="6">
        <v>1</v>
      </c>
      <c r="C36" s="6">
        <v>1</v>
      </c>
      <c r="D36" s="6">
        <v>2</v>
      </c>
    </row>
    <row r="37" spans="1:4" x14ac:dyDescent="0.25">
      <c r="A37" s="5" t="s">
        <v>1304</v>
      </c>
      <c r="B37" s="6">
        <v>1</v>
      </c>
      <c r="C37" s="6"/>
      <c r="D37" s="6">
        <v>1</v>
      </c>
    </row>
    <row r="38" spans="1:4" x14ac:dyDescent="0.25">
      <c r="A38" s="5" t="s">
        <v>1230</v>
      </c>
      <c r="B38" s="6"/>
      <c r="C38" s="6">
        <v>1</v>
      </c>
      <c r="D38" s="6">
        <v>1</v>
      </c>
    </row>
    <row r="39" spans="1:4" x14ac:dyDescent="0.25">
      <c r="A39" s="5" t="s">
        <v>729</v>
      </c>
      <c r="B39" s="6"/>
      <c r="C39" s="6">
        <v>1</v>
      </c>
      <c r="D39" s="6">
        <v>1</v>
      </c>
    </row>
    <row r="40" spans="1:4" x14ac:dyDescent="0.25">
      <c r="A40" s="5" t="s">
        <v>1182</v>
      </c>
      <c r="B40" s="6"/>
      <c r="C40" s="6">
        <v>1</v>
      </c>
      <c r="D40" s="6">
        <v>1</v>
      </c>
    </row>
    <row r="41" spans="1:4" x14ac:dyDescent="0.25">
      <c r="A41" s="5" t="s">
        <v>606</v>
      </c>
      <c r="B41" s="6"/>
      <c r="C41" s="6">
        <v>1</v>
      </c>
      <c r="D41" s="6">
        <v>1</v>
      </c>
    </row>
    <row r="42" spans="1:4" x14ac:dyDescent="0.25">
      <c r="A42" s="5" t="s">
        <v>566</v>
      </c>
      <c r="B42" s="6"/>
      <c r="C42" s="6">
        <v>1</v>
      </c>
      <c r="D42" s="6">
        <v>1</v>
      </c>
    </row>
    <row r="43" spans="1:4" x14ac:dyDescent="0.25">
      <c r="A43" s="5" t="s">
        <v>1188</v>
      </c>
      <c r="B43" s="6">
        <v>1</v>
      </c>
      <c r="C43" s="6"/>
      <c r="D43" s="6">
        <v>1</v>
      </c>
    </row>
    <row r="44" spans="1:4" x14ac:dyDescent="0.25">
      <c r="A44" s="5" t="s">
        <v>1199</v>
      </c>
      <c r="B44" s="6">
        <v>1</v>
      </c>
      <c r="C44" s="6"/>
      <c r="D44" s="6">
        <v>1</v>
      </c>
    </row>
    <row r="45" spans="1:4" x14ac:dyDescent="0.25">
      <c r="A45" s="5" t="s">
        <v>339</v>
      </c>
      <c r="B45" s="6">
        <v>1</v>
      </c>
      <c r="C45" s="6"/>
      <c r="D45" s="6">
        <v>1</v>
      </c>
    </row>
    <row r="46" spans="1:4" x14ac:dyDescent="0.25">
      <c r="A46" s="5" t="s">
        <v>1267</v>
      </c>
      <c r="B46" s="6">
        <v>1</v>
      </c>
      <c r="C46" s="6"/>
      <c r="D46" s="6">
        <v>1</v>
      </c>
    </row>
    <row r="47" spans="1:4" x14ac:dyDescent="0.25">
      <c r="A47" s="5" t="s">
        <v>1270</v>
      </c>
      <c r="B47" s="6">
        <v>1</v>
      </c>
      <c r="C47" s="6"/>
      <c r="D47" s="6">
        <v>1</v>
      </c>
    </row>
    <row r="48" spans="1:4" x14ac:dyDescent="0.25">
      <c r="A48" s="5" t="s">
        <v>1123</v>
      </c>
      <c r="B48" s="6"/>
      <c r="C48" s="6">
        <v>1</v>
      </c>
      <c r="D48" s="6">
        <v>1</v>
      </c>
    </row>
    <row r="49" spans="1:4" x14ac:dyDescent="0.25">
      <c r="A49" s="5" t="s">
        <v>1275</v>
      </c>
      <c r="B49" s="6"/>
      <c r="C49" s="6">
        <v>1</v>
      </c>
      <c r="D49" s="6">
        <v>1</v>
      </c>
    </row>
    <row r="50" spans="1:4" x14ac:dyDescent="0.25">
      <c r="A50" s="5" t="s">
        <v>1000</v>
      </c>
      <c r="B50" s="6">
        <v>1</v>
      </c>
      <c r="C50" s="6"/>
      <c r="D50" s="6">
        <v>1</v>
      </c>
    </row>
    <row r="51" spans="1:4" x14ac:dyDescent="0.25">
      <c r="A51" s="5" t="s">
        <v>1147</v>
      </c>
      <c r="B51" s="6">
        <v>1</v>
      </c>
      <c r="C51" s="6"/>
      <c r="D51" s="6">
        <v>1</v>
      </c>
    </row>
    <row r="52" spans="1:4" x14ac:dyDescent="0.25">
      <c r="A52" s="5" t="s">
        <v>1246</v>
      </c>
      <c r="B52" s="6"/>
      <c r="C52" s="6">
        <v>1</v>
      </c>
      <c r="D52" s="6">
        <v>1</v>
      </c>
    </row>
    <row r="53" spans="1:4" x14ac:dyDescent="0.25">
      <c r="A53" s="5" t="s">
        <v>1321</v>
      </c>
      <c r="B53" s="6">
        <v>927</v>
      </c>
      <c r="C53" s="6">
        <v>554</v>
      </c>
      <c r="D53" s="6">
        <v>1481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39F9-3E4F-4708-9561-BDC1540A67AF}">
  <dimension ref="A3:D12"/>
  <sheetViews>
    <sheetView workbookViewId="0">
      <selection activeCell="B11" sqref="B11"/>
    </sheetView>
  </sheetViews>
  <sheetFormatPr defaultRowHeight="13.2" x14ac:dyDescent="0.25"/>
  <cols>
    <col min="1" max="1" width="24.21875" bestFit="1" customWidth="1"/>
    <col min="2" max="2" width="16.21875" bestFit="1" customWidth="1"/>
    <col min="3" max="3" width="8.21875" bestFit="1" customWidth="1"/>
    <col min="4" max="4" width="11.33203125" bestFit="1" customWidth="1"/>
    <col min="5" max="5" width="8.109375" bestFit="1" customWidth="1"/>
    <col min="6" max="6" width="21.6640625" bestFit="1" customWidth="1"/>
    <col min="7" max="7" width="13.109375" bestFit="1" customWidth="1"/>
  </cols>
  <sheetData>
    <row r="3" spans="1:4" x14ac:dyDescent="0.25">
      <c r="A3" s="4" t="s">
        <v>1323</v>
      </c>
      <c r="B3" s="4" t="s">
        <v>1322</v>
      </c>
    </row>
    <row r="4" spans="1:4" x14ac:dyDescent="0.25">
      <c r="A4" s="4" t="s">
        <v>1352</v>
      </c>
      <c r="B4" t="s">
        <v>1318</v>
      </c>
      <c r="C4" t="s">
        <v>1385</v>
      </c>
      <c r="D4" t="s">
        <v>1321</v>
      </c>
    </row>
    <row r="5" spans="1:4" x14ac:dyDescent="0.25">
      <c r="A5" s="5" t="s">
        <v>1357</v>
      </c>
      <c r="B5" s="24">
        <v>0.24034334763948498</v>
      </c>
      <c r="C5" s="24">
        <v>0.75965665236051505</v>
      </c>
      <c r="D5" s="24">
        <v>1</v>
      </c>
    </row>
    <row r="6" spans="1:4" x14ac:dyDescent="0.25">
      <c r="A6" s="5" t="s">
        <v>1353</v>
      </c>
      <c r="B6" s="24">
        <v>0.15816326530612246</v>
      </c>
      <c r="C6" s="24">
        <v>0.84183673469387754</v>
      </c>
      <c r="D6" s="24">
        <v>1</v>
      </c>
    </row>
    <row r="7" spans="1:4" x14ac:dyDescent="0.25">
      <c r="A7" s="5" t="s">
        <v>1358</v>
      </c>
      <c r="B7" s="24">
        <v>0.2264957264957265</v>
      </c>
      <c r="C7" s="24">
        <v>0.77350427350427353</v>
      </c>
      <c r="D7" s="24">
        <v>1</v>
      </c>
    </row>
    <row r="8" spans="1:4" x14ac:dyDescent="0.25">
      <c r="A8" s="5" t="s">
        <v>1359</v>
      </c>
      <c r="B8" s="24">
        <v>0.20895522388059701</v>
      </c>
      <c r="C8" s="24">
        <v>0.79104477611940294</v>
      </c>
      <c r="D8" s="24">
        <v>1</v>
      </c>
    </row>
    <row r="9" spans="1:4" x14ac:dyDescent="0.25">
      <c r="A9" s="5" t="s">
        <v>1356</v>
      </c>
      <c r="B9" s="24">
        <v>0.25680933852140075</v>
      </c>
      <c r="C9" s="24">
        <v>0.74319066147859925</v>
      </c>
      <c r="D9" s="24">
        <v>1</v>
      </c>
    </row>
    <row r="10" spans="1:4" x14ac:dyDescent="0.25">
      <c r="A10" s="5" t="s">
        <v>1354</v>
      </c>
      <c r="B10" s="24">
        <v>0.14285714285714285</v>
      </c>
      <c r="C10" s="24">
        <v>0.8571428571428571</v>
      </c>
      <c r="D10" s="24">
        <v>1</v>
      </c>
    </row>
    <row r="11" spans="1:4" x14ac:dyDescent="0.25">
      <c r="A11" s="5" t="s">
        <v>1355</v>
      </c>
      <c r="B11" s="24">
        <v>0.15730337078651685</v>
      </c>
      <c r="C11" s="24">
        <v>0.84269662921348309</v>
      </c>
      <c r="D11" s="24">
        <v>1</v>
      </c>
    </row>
    <row r="12" spans="1:4" x14ac:dyDescent="0.25">
      <c r="A12" s="5" t="s">
        <v>1321</v>
      </c>
      <c r="B12" s="24">
        <v>0.20391627278865632</v>
      </c>
      <c r="C12" s="24">
        <v>0.79608372721134368</v>
      </c>
      <c r="D12" s="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5BE2-BC2C-4E3C-A2BA-8F45378F76F8}">
  <dimension ref="A3:D28"/>
  <sheetViews>
    <sheetView workbookViewId="0">
      <selection activeCell="D16" sqref="D16"/>
    </sheetView>
  </sheetViews>
  <sheetFormatPr defaultRowHeight="13.2" x14ac:dyDescent="0.25"/>
  <cols>
    <col min="1" max="1" width="24.21875" bestFit="1" customWidth="1"/>
    <col min="2" max="2" width="16.21875" bestFit="1" customWidth="1"/>
    <col min="3" max="3" width="7.88671875" bestFit="1" customWidth="1"/>
    <col min="4" max="4" width="11.33203125" bestFit="1" customWidth="1"/>
    <col min="5" max="5" width="7.77734375" bestFit="1" customWidth="1"/>
    <col min="6" max="6" width="11.33203125" bestFit="1" customWidth="1"/>
  </cols>
  <sheetData>
    <row r="3" spans="1:4" x14ac:dyDescent="0.25">
      <c r="A3" s="4" t="s">
        <v>1323</v>
      </c>
      <c r="B3" s="4" t="s">
        <v>1322</v>
      </c>
    </row>
    <row r="4" spans="1:4" x14ac:dyDescent="0.25">
      <c r="A4" s="4" t="s">
        <v>1360</v>
      </c>
      <c r="B4" t="s">
        <v>1385</v>
      </c>
      <c r="C4" t="s">
        <v>1318</v>
      </c>
      <c r="D4" t="s">
        <v>1321</v>
      </c>
    </row>
    <row r="5" spans="1:4" x14ac:dyDescent="0.25">
      <c r="A5" s="5" t="s">
        <v>1366</v>
      </c>
      <c r="B5" s="24">
        <v>0.84353741496598644</v>
      </c>
      <c r="C5" s="24">
        <v>0.15646258503401361</v>
      </c>
      <c r="D5" s="24">
        <v>1</v>
      </c>
    </row>
    <row r="6" spans="1:4" x14ac:dyDescent="0.25">
      <c r="A6" s="5" t="s">
        <v>1368</v>
      </c>
      <c r="B6" s="24">
        <v>0.77777777777777779</v>
      </c>
      <c r="C6" s="24">
        <v>0.22222222222222221</v>
      </c>
      <c r="D6" s="24">
        <v>1</v>
      </c>
    </row>
    <row r="7" spans="1:4" x14ac:dyDescent="0.25">
      <c r="A7" s="5" t="s">
        <v>1365</v>
      </c>
      <c r="B7" s="24">
        <v>0.95327102803738317</v>
      </c>
      <c r="C7" s="24">
        <v>4.6728971962616821E-2</v>
      </c>
      <c r="D7" s="24">
        <v>1</v>
      </c>
    </row>
    <row r="8" spans="1:4" x14ac:dyDescent="0.25">
      <c r="A8" s="5" t="s">
        <v>1371</v>
      </c>
      <c r="B8" s="24">
        <v>0.79797979797979801</v>
      </c>
      <c r="C8" s="24">
        <v>0.20202020202020202</v>
      </c>
      <c r="D8" s="24">
        <v>1</v>
      </c>
    </row>
    <row r="9" spans="1:4" x14ac:dyDescent="0.25">
      <c r="A9" s="5" t="s">
        <v>1362</v>
      </c>
      <c r="B9" s="24">
        <v>0.60416666666666663</v>
      </c>
      <c r="C9" s="24">
        <v>0.39583333333333331</v>
      </c>
      <c r="D9" s="24">
        <v>1</v>
      </c>
    </row>
    <row r="10" spans="1:4" x14ac:dyDescent="0.25">
      <c r="A10" s="5" t="s">
        <v>1377</v>
      </c>
      <c r="B10" s="24">
        <v>0.78021978021978022</v>
      </c>
      <c r="C10" s="24">
        <v>0.21978021978021978</v>
      </c>
      <c r="D10" s="24">
        <v>1</v>
      </c>
    </row>
    <row r="11" spans="1:4" x14ac:dyDescent="0.25">
      <c r="A11" s="5" t="s">
        <v>1372</v>
      </c>
      <c r="B11" s="24">
        <v>0.74117647058823533</v>
      </c>
      <c r="C11" s="24">
        <v>0.25882352941176473</v>
      </c>
      <c r="D11" s="24">
        <v>1</v>
      </c>
    </row>
    <row r="12" spans="1:4" x14ac:dyDescent="0.25">
      <c r="A12" s="5" t="s">
        <v>1361</v>
      </c>
      <c r="B12" s="24">
        <v>0.79268292682926833</v>
      </c>
      <c r="C12" s="24">
        <v>0.2073170731707317</v>
      </c>
      <c r="D12" s="24">
        <v>1</v>
      </c>
    </row>
    <row r="13" spans="1:4" x14ac:dyDescent="0.25">
      <c r="A13" s="5" t="s">
        <v>1376</v>
      </c>
      <c r="B13" s="24">
        <v>0.72972972972972971</v>
      </c>
      <c r="C13" s="24">
        <v>0.27027027027027029</v>
      </c>
      <c r="D13" s="24">
        <v>1</v>
      </c>
    </row>
    <row r="14" spans="1:4" x14ac:dyDescent="0.25">
      <c r="A14" s="5" t="s">
        <v>1375</v>
      </c>
      <c r="B14" s="24">
        <v>0.68493150684931503</v>
      </c>
      <c r="C14" s="24">
        <v>0.31506849315068491</v>
      </c>
      <c r="D14" s="24">
        <v>1</v>
      </c>
    </row>
    <row r="15" spans="1:4" x14ac:dyDescent="0.25">
      <c r="A15" s="5" t="s">
        <v>1363</v>
      </c>
      <c r="B15" s="24">
        <v>0.83333333333333337</v>
      </c>
      <c r="C15" s="24">
        <v>0.16666666666666666</v>
      </c>
      <c r="D15" s="24">
        <v>1</v>
      </c>
    </row>
    <row r="16" spans="1:4" x14ac:dyDescent="0.25">
      <c r="A16" s="5" t="s">
        <v>1364</v>
      </c>
      <c r="B16" s="24">
        <v>0.796875</v>
      </c>
      <c r="C16" s="24">
        <v>0.203125</v>
      </c>
      <c r="D16" s="24">
        <v>1</v>
      </c>
    </row>
    <row r="17" spans="1:4" x14ac:dyDescent="0.25">
      <c r="A17" s="5" t="s">
        <v>1369</v>
      </c>
      <c r="B17" s="24">
        <v>0.87301587301587302</v>
      </c>
      <c r="C17" s="24">
        <v>0.12698412698412698</v>
      </c>
      <c r="D17" s="24">
        <v>1</v>
      </c>
    </row>
    <row r="18" spans="1:4" x14ac:dyDescent="0.25">
      <c r="A18" s="5" t="s">
        <v>1383</v>
      </c>
      <c r="B18" s="24">
        <v>0.91666666666666663</v>
      </c>
      <c r="C18" s="24">
        <v>8.3333333333333329E-2</v>
      </c>
      <c r="D18" s="24">
        <v>1</v>
      </c>
    </row>
    <row r="19" spans="1:4" x14ac:dyDescent="0.25">
      <c r="A19" s="5" t="s">
        <v>1374</v>
      </c>
      <c r="B19" s="24">
        <v>0.85</v>
      </c>
      <c r="C19" s="24">
        <v>0.15</v>
      </c>
      <c r="D19" s="24">
        <v>1</v>
      </c>
    </row>
    <row r="20" spans="1:4" x14ac:dyDescent="0.25">
      <c r="A20" s="5" t="s">
        <v>1382</v>
      </c>
      <c r="B20" s="24">
        <v>0.93103448275862066</v>
      </c>
      <c r="C20" s="24">
        <v>6.8965517241379309E-2</v>
      </c>
      <c r="D20" s="24">
        <v>1</v>
      </c>
    </row>
    <row r="21" spans="1:4" x14ac:dyDescent="0.25">
      <c r="A21" s="5" t="s">
        <v>1367</v>
      </c>
      <c r="B21" s="24">
        <v>0.74509803921568629</v>
      </c>
      <c r="C21" s="24">
        <v>0.25490196078431371</v>
      </c>
      <c r="D21" s="24">
        <v>1</v>
      </c>
    </row>
    <row r="22" spans="1:4" x14ac:dyDescent="0.25">
      <c r="A22" s="5" t="s">
        <v>1370</v>
      </c>
      <c r="B22" s="24">
        <v>0.76923076923076927</v>
      </c>
      <c r="C22" s="24">
        <v>0.23076923076923078</v>
      </c>
      <c r="D22" s="24">
        <v>1</v>
      </c>
    </row>
    <row r="23" spans="1:4" x14ac:dyDescent="0.25">
      <c r="A23" s="5" t="s">
        <v>1373</v>
      </c>
      <c r="B23" s="24">
        <v>0.4</v>
      </c>
      <c r="C23" s="24">
        <v>0.6</v>
      </c>
      <c r="D23" s="24">
        <v>1</v>
      </c>
    </row>
    <row r="24" spans="1:4" x14ac:dyDescent="0.25">
      <c r="A24" s="5" t="s">
        <v>1381</v>
      </c>
      <c r="B24" s="24">
        <v>1</v>
      </c>
      <c r="C24" s="24">
        <v>0</v>
      </c>
      <c r="D24" s="24">
        <v>1</v>
      </c>
    </row>
    <row r="25" spans="1:4" x14ac:dyDescent="0.25">
      <c r="A25" s="5" t="s">
        <v>1378</v>
      </c>
      <c r="B25" s="24">
        <v>0.75</v>
      </c>
      <c r="C25" s="24">
        <v>0.25</v>
      </c>
      <c r="D25" s="24">
        <v>1</v>
      </c>
    </row>
    <row r="26" spans="1:4" x14ac:dyDescent="0.25">
      <c r="A26" s="5" t="s">
        <v>1379</v>
      </c>
      <c r="B26" s="24">
        <v>0.66666666666666663</v>
      </c>
      <c r="C26" s="24">
        <v>0.33333333333333331</v>
      </c>
      <c r="D26" s="24">
        <v>1</v>
      </c>
    </row>
    <row r="27" spans="1:4" x14ac:dyDescent="0.25">
      <c r="A27" s="5" t="s">
        <v>1380</v>
      </c>
      <c r="B27" s="24">
        <v>1</v>
      </c>
      <c r="C27" s="24">
        <v>0</v>
      </c>
      <c r="D27" s="24">
        <v>1</v>
      </c>
    </row>
    <row r="28" spans="1:4" x14ac:dyDescent="0.25">
      <c r="A28" s="5" t="s">
        <v>1321</v>
      </c>
      <c r="B28" s="24">
        <v>0.79608372721134368</v>
      </c>
      <c r="C28" s="24">
        <v>0.20391627278865632</v>
      </c>
      <c r="D28" s="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711E-44D1-4582-8592-5B59AF1E83FD}">
  <dimension ref="A3:D16"/>
  <sheetViews>
    <sheetView workbookViewId="0">
      <selection activeCell="G12" sqref="G12"/>
    </sheetView>
  </sheetViews>
  <sheetFormatPr defaultRowHeight="13.2" x14ac:dyDescent="0.25"/>
  <cols>
    <col min="1" max="1" width="21" bestFit="1" customWidth="1"/>
    <col min="2" max="2" width="16.21875" bestFit="1" customWidth="1"/>
    <col min="3" max="3" width="8.21875" bestFit="1" customWidth="1"/>
    <col min="4" max="4" width="11.33203125" bestFit="1" customWidth="1"/>
    <col min="5" max="5" width="2.6640625" bestFit="1" customWidth="1"/>
    <col min="6" max="6" width="3" bestFit="1" customWidth="1"/>
    <col min="7" max="7" width="3.6640625" bestFit="1" customWidth="1"/>
    <col min="8" max="11" width="4.6640625" bestFit="1" customWidth="1"/>
    <col min="12" max="12" width="3" bestFit="1" customWidth="1"/>
    <col min="13" max="13" width="3.6640625" bestFit="1" customWidth="1"/>
    <col min="14" max="16" width="4.6640625" bestFit="1" customWidth="1"/>
    <col min="17" max="17" width="3" bestFit="1" customWidth="1"/>
    <col min="18" max="18" width="3.6640625" bestFit="1" customWidth="1"/>
    <col min="19" max="19" width="4.6640625" bestFit="1" customWidth="1"/>
    <col min="20" max="20" width="3" bestFit="1" customWidth="1"/>
    <col min="21" max="21" width="3.6640625" bestFit="1" customWidth="1"/>
    <col min="22" max="22" width="3" bestFit="1" customWidth="1"/>
    <col min="23" max="23" width="3.6640625" bestFit="1" customWidth="1"/>
    <col min="24" max="27" width="4.6640625" bestFit="1" customWidth="1"/>
    <col min="28" max="28" width="3" bestFit="1" customWidth="1"/>
    <col min="29" max="29" width="3.6640625" bestFit="1" customWidth="1"/>
    <col min="30" max="33" width="4.6640625" bestFit="1" customWidth="1"/>
    <col min="34" max="34" width="3" bestFit="1" customWidth="1"/>
    <col min="35" max="35" width="3.6640625" bestFit="1" customWidth="1"/>
    <col min="36" max="36" width="4.6640625" bestFit="1" customWidth="1"/>
    <col min="37" max="37" width="3" bestFit="1" customWidth="1"/>
    <col min="38" max="38" width="3.6640625" bestFit="1" customWidth="1"/>
    <col min="39" max="39" width="3" bestFit="1" customWidth="1"/>
    <col min="40" max="40" width="3.6640625" bestFit="1" customWidth="1"/>
    <col min="41" max="41" width="3" bestFit="1" customWidth="1"/>
    <col min="42" max="42" width="3.6640625" bestFit="1" customWidth="1"/>
    <col min="43" max="43" width="4.6640625" bestFit="1" customWidth="1"/>
    <col min="44" max="44" width="2" bestFit="1" customWidth="1"/>
    <col min="45" max="45" width="2.6640625" bestFit="1" customWidth="1"/>
    <col min="46" max="46" width="3" bestFit="1" customWidth="1"/>
    <col min="47" max="47" width="3.6640625" bestFit="1" customWidth="1"/>
    <col min="48" max="48" width="3" bestFit="1" customWidth="1"/>
    <col min="49" max="49" width="3.6640625" bestFit="1" customWidth="1"/>
    <col min="50" max="50" width="4.6640625" bestFit="1" customWidth="1"/>
    <col min="51" max="51" width="3" bestFit="1" customWidth="1"/>
    <col min="52" max="52" width="3.6640625" bestFit="1" customWidth="1"/>
    <col min="53" max="53" width="3" bestFit="1" customWidth="1"/>
    <col min="54" max="54" width="3.6640625" bestFit="1" customWidth="1"/>
    <col min="55" max="55" width="3" bestFit="1" customWidth="1"/>
    <col min="56" max="56" width="3.6640625" bestFit="1" customWidth="1"/>
    <col min="57" max="57" width="3" bestFit="1" customWidth="1"/>
    <col min="58" max="58" width="3.6640625" bestFit="1" customWidth="1"/>
    <col min="59" max="59" width="3" bestFit="1" customWidth="1"/>
    <col min="60" max="60" width="3.6640625" bestFit="1" customWidth="1"/>
    <col min="61" max="61" width="3" bestFit="1" customWidth="1"/>
    <col min="62" max="62" width="3.6640625" bestFit="1" customWidth="1"/>
    <col min="63" max="63" width="3" bestFit="1" customWidth="1"/>
    <col min="64" max="64" width="3.6640625" bestFit="1" customWidth="1"/>
    <col min="65" max="65" width="3" bestFit="1" customWidth="1"/>
    <col min="66" max="66" width="3.6640625" bestFit="1" customWidth="1"/>
    <col min="67" max="67" width="2" bestFit="1" customWidth="1"/>
    <col min="68" max="68" width="2.6640625" bestFit="1" customWidth="1"/>
    <col min="69" max="69" width="3" bestFit="1" customWidth="1"/>
    <col min="70" max="70" width="3.6640625" bestFit="1" customWidth="1"/>
    <col min="71" max="71" width="3" bestFit="1" customWidth="1"/>
    <col min="72" max="72" width="3.6640625" bestFit="1" customWidth="1"/>
    <col min="73" max="73" width="3" bestFit="1" customWidth="1"/>
    <col min="74" max="74" width="3.6640625" bestFit="1" customWidth="1"/>
    <col min="75" max="75" width="3" bestFit="1" customWidth="1"/>
    <col min="76" max="76" width="3.6640625" bestFit="1" customWidth="1"/>
    <col min="77" max="77" width="3" bestFit="1" customWidth="1"/>
    <col min="78" max="78" width="3.6640625" bestFit="1" customWidth="1"/>
    <col min="79" max="79" width="3" bestFit="1" customWidth="1"/>
    <col min="80" max="81" width="3.6640625" bestFit="1" customWidth="1"/>
    <col min="82" max="82" width="3" bestFit="1" customWidth="1"/>
    <col min="83" max="85" width="3.6640625" bestFit="1" customWidth="1"/>
    <col min="86" max="86" width="4.6640625" bestFit="1" customWidth="1"/>
    <col min="87" max="87" width="2" bestFit="1" customWidth="1"/>
    <col min="88" max="88" width="2.6640625" bestFit="1" customWidth="1"/>
    <col min="89" max="89" width="3" bestFit="1" customWidth="1"/>
    <col min="90" max="92" width="3.6640625" bestFit="1" customWidth="1"/>
    <col min="93" max="93" width="3" bestFit="1" customWidth="1"/>
    <col min="94" max="96" width="3.6640625" bestFit="1" customWidth="1"/>
    <col min="97" max="97" width="3" bestFit="1" customWidth="1"/>
    <col min="98" max="100" width="3.6640625" bestFit="1" customWidth="1"/>
    <col min="101" max="101" width="2" bestFit="1" customWidth="1"/>
    <col min="102" max="102" width="2.6640625" bestFit="1" customWidth="1"/>
    <col min="103" max="109" width="3.6640625" bestFit="1" customWidth="1"/>
    <col min="110" max="110" width="4.6640625" bestFit="1" customWidth="1"/>
    <col min="111" max="111" width="3.6640625" bestFit="1" customWidth="1"/>
    <col min="112" max="112" width="2" bestFit="1" customWidth="1"/>
    <col min="113" max="113" width="2.6640625" bestFit="1" customWidth="1"/>
    <col min="114" max="122" width="3.6640625" bestFit="1" customWidth="1"/>
    <col min="123" max="123" width="2" bestFit="1" customWidth="1"/>
    <col min="124" max="124" width="2.6640625" bestFit="1" customWidth="1"/>
    <col min="125" max="130" width="3.6640625" bestFit="1" customWidth="1"/>
    <col min="131" max="131" width="2" bestFit="1" customWidth="1"/>
    <col min="132" max="132" width="2.6640625" bestFit="1" customWidth="1"/>
    <col min="133" max="139" width="3.6640625" bestFit="1" customWidth="1"/>
    <col min="140" max="140" width="2" bestFit="1" customWidth="1"/>
    <col min="141" max="141" width="2.6640625" bestFit="1" customWidth="1"/>
    <col min="142" max="149" width="3.6640625" bestFit="1" customWidth="1"/>
    <col min="150" max="150" width="11.33203125" bestFit="1" customWidth="1"/>
  </cols>
  <sheetData>
    <row r="3" spans="1:4" x14ac:dyDescent="0.25">
      <c r="A3" s="4" t="s">
        <v>1392</v>
      </c>
      <c r="B3" s="4" t="s">
        <v>1322</v>
      </c>
    </row>
    <row r="4" spans="1:4" x14ac:dyDescent="0.25">
      <c r="A4" s="4" t="s">
        <v>1</v>
      </c>
      <c r="B4" t="s">
        <v>1318</v>
      </c>
      <c r="C4" t="s">
        <v>1385</v>
      </c>
      <c r="D4" t="s">
        <v>1321</v>
      </c>
    </row>
    <row r="5" spans="1:4" x14ac:dyDescent="0.25">
      <c r="A5" s="5" t="s">
        <v>7</v>
      </c>
      <c r="B5" s="24">
        <v>0.32646048109965636</v>
      </c>
      <c r="C5" s="24">
        <v>0.67353951890034369</v>
      </c>
      <c r="D5" s="24">
        <v>1</v>
      </c>
    </row>
    <row r="6" spans="1:4" x14ac:dyDescent="0.25">
      <c r="A6" s="5" t="s">
        <v>239</v>
      </c>
      <c r="B6" s="24">
        <v>0.21621621621621623</v>
      </c>
      <c r="C6" s="24">
        <v>0.78378378378378377</v>
      </c>
      <c r="D6" s="24">
        <v>1</v>
      </c>
    </row>
    <row r="7" spans="1:4" x14ac:dyDescent="0.25">
      <c r="A7" s="5" t="s">
        <v>69</v>
      </c>
      <c r="B7" s="24">
        <v>0.22580645161290322</v>
      </c>
      <c r="C7" s="24">
        <v>0.77419354838709675</v>
      </c>
      <c r="D7" s="24">
        <v>1</v>
      </c>
    </row>
    <row r="8" spans="1:4" x14ac:dyDescent="0.25">
      <c r="A8" s="5" t="s">
        <v>124</v>
      </c>
      <c r="B8" s="24">
        <v>0.12195121951219512</v>
      </c>
      <c r="C8" s="24">
        <v>0.87804878048780488</v>
      </c>
      <c r="D8" s="24">
        <v>1</v>
      </c>
    </row>
    <row r="9" spans="1:4" x14ac:dyDescent="0.25">
      <c r="A9" s="5" t="s">
        <v>117</v>
      </c>
      <c r="B9" s="24">
        <v>0.13636363636363635</v>
      </c>
      <c r="C9" s="24">
        <v>0.86363636363636365</v>
      </c>
      <c r="D9" s="24">
        <v>1</v>
      </c>
    </row>
    <row r="10" spans="1:4" x14ac:dyDescent="0.25">
      <c r="A10" s="5" t="s">
        <v>19</v>
      </c>
      <c r="B10" s="24">
        <v>0.26923076923076922</v>
      </c>
      <c r="C10" s="24">
        <v>0.73076923076923073</v>
      </c>
      <c r="D10" s="24">
        <v>1</v>
      </c>
    </row>
    <row r="11" spans="1:4" x14ac:dyDescent="0.25">
      <c r="A11" s="5" t="s">
        <v>190</v>
      </c>
      <c r="B11" s="24">
        <v>0.125</v>
      </c>
      <c r="C11" s="24">
        <v>0.875</v>
      </c>
      <c r="D11" s="24">
        <v>1</v>
      </c>
    </row>
    <row r="12" spans="1:4" x14ac:dyDescent="0.25">
      <c r="A12" s="5" t="s">
        <v>85</v>
      </c>
      <c r="B12" s="24">
        <v>0.16044776119402984</v>
      </c>
      <c r="C12" s="24">
        <v>0.83955223880597019</v>
      </c>
      <c r="D12" s="24">
        <v>1</v>
      </c>
    </row>
    <row r="13" spans="1:4" x14ac:dyDescent="0.25">
      <c r="A13" s="5" t="s">
        <v>41</v>
      </c>
      <c r="B13" s="24">
        <v>8.3333333333333329E-2</v>
      </c>
      <c r="C13" s="24">
        <v>0.91666666666666663</v>
      </c>
      <c r="D13" s="24">
        <v>1</v>
      </c>
    </row>
    <row r="14" spans="1:4" x14ac:dyDescent="0.25">
      <c r="A14" s="5" t="s">
        <v>96</v>
      </c>
      <c r="B14" s="24">
        <v>0.11363636363636363</v>
      </c>
      <c r="C14" s="24">
        <v>0.88636363636363635</v>
      </c>
      <c r="D14" s="24">
        <v>1</v>
      </c>
    </row>
    <row r="15" spans="1:4" x14ac:dyDescent="0.25">
      <c r="A15" s="5" t="s">
        <v>13</v>
      </c>
      <c r="B15" s="24">
        <v>0.12173913043478261</v>
      </c>
      <c r="C15" s="24">
        <v>0.87826086956521743</v>
      </c>
      <c r="D15" s="24">
        <v>1</v>
      </c>
    </row>
    <row r="16" spans="1:4" x14ac:dyDescent="0.25">
      <c r="A16" s="5" t="s">
        <v>1321</v>
      </c>
      <c r="B16" s="24">
        <v>0.19863532979529946</v>
      </c>
      <c r="C16" s="24">
        <v>0.80136467020470048</v>
      </c>
      <c r="D16" s="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56"/>
  <sheetViews>
    <sheetView tabSelected="1" topLeftCell="T92" zoomScale="70" zoomScaleNormal="70" workbookViewId="0">
      <selection activeCell="Y116" sqref="Y116"/>
    </sheetView>
  </sheetViews>
  <sheetFormatPr defaultColWidth="8.5546875" defaultRowHeight="13.2" x14ac:dyDescent="0.25"/>
  <cols>
    <col min="1" max="2" width="29.77734375" customWidth="1"/>
    <col min="3" max="3" width="29.77734375" style="10" customWidth="1"/>
    <col min="4" max="4" width="29.77734375" customWidth="1"/>
    <col min="5" max="5" width="29.77734375" style="2" customWidth="1"/>
    <col min="6" max="6" width="29.77734375" style="3" customWidth="1"/>
    <col min="7" max="7" width="29.77734375" customWidth="1"/>
    <col min="8" max="8" width="40" customWidth="1"/>
    <col min="9" max="9" width="29.77734375" customWidth="1"/>
    <col min="10" max="10" width="29.77734375" style="2" customWidth="1"/>
    <col min="11" max="11" width="29.77734375" style="1" customWidth="1"/>
    <col min="12" max="12" width="12.77734375" style="10" customWidth="1"/>
    <col min="13" max="13" width="18" customWidth="1"/>
    <col min="14" max="14" width="18" style="26" customWidth="1"/>
    <col min="15" max="15" width="37.21875" style="3" customWidth="1"/>
    <col min="16" max="16" width="18" style="20" customWidth="1"/>
    <col min="17" max="17" width="37.21875" style="3" customWidth="1"/>
    <col min="18" max="18" width="12.77734375" style="23" customWidth="1"/>
    <col min="19" max="19" width="37.21875" style="3" customWidth="1"/>
    <col min="20" max="20" width="22.88671875" style="23" customWidth="1"/>
    <col min="21" max="22" width="37.21875" style="3" customWidth="1"/>
    <col min="23" max="27" width="37.21875" style="10" customWidth="1"/>
    <col min="28" max="28" width="17.109375" style="10" customWidth="1"/>
    <col min="31" max="32" width="8.5546875" customWidth="1"/>
    <col min="34" max="34" width="38.21875" customWidth="1"/>
    <col min="35" max="35" width="38.44140625" customWidth="1"/>
    <col min="36" max="36" width="49.77734375" style="10" customWidth="1"/>
    <col min="38" max="38" width="53.6640625" style="6" customWidth="1"/>
    <col min="39" max="39" width="8.5546875" style="10"/>
    <col min="41" max="41" width="22.44140625" customWidth="1"/>
    <col min="42" max="42" width="12.77734375" bestFit="1" customWidth="1"/>
    <col min="46" max="46" width="30.88671875" customWidth="1"/>
    <col min="51" max="51" width="12.77734375" customWidth="1"/>
  </cols>
  <sheetData>
    <row r="1" spans="1:46" ht="13.8" thickBot="1" x14ac:dyDescent="0.3">
      <c r="A1" t="s">
        <v>0</v>
      </c>
      <c r="B1" t="s">
        <v>1</v>
      </c>
      <c r="C1" s="10" t="s">
        <v>1384</v>
      </c>
      <c r="D1" t="s">
        <v>2</v>
      </c>
      <c r="E1" s="2" t="s">
        <v>1317</v>
      </c>
      <c r="F1" s="3" t="s">
        <v>1315</v>
      </c>
      <c r="G1" t="s">
        <v>3</v>
      </c>
      <c r="H1" t="s">
        <v>4</v>
      </c>
      <c r="I1" t="s">
        <v>5</v>
      </c>
      <c r="J1" s="2" t="s">
        <v>1314</v>
      </c>
      <c r="K1" s="1" t="s">
        <v>1313</v>
      </c>
      <c r="L1" s="10" t="s">
        <v>1316</v>
      </c>
      <c r="M1" t="s">
        <v>1391</v>
      </c>
      <c r="N1" s="26" t="s">
        <v>1</v>
      </c>
      <c r="O1" t="s">
        <v>1391</v>
      </c>
      <c r="P1" s="20" t="s">
        <v>1360</v>
      </c>
      <c r="Q1" t="s">
        <v>1391</v>
      </c>
      <c r="R1" s="23" t="s">
        <v>1352</v>
      </c>
      <c r="S1" t="s">
        <v>1391</v>
      </c>
      <c r="T1" s="23" t="s">
        <v>1</v>
      </c>
      <c r="U1" t="s">
        <v>1391</v>
      </c>
      <c r="V1" s="7" t="s">
        <v>4</v>
      </c>
      <c r="W1" s="21" t="s">
        <v>1351</v>
      </c>
      <c r="X1" s="11" t="s">
        <v>1324</v>
      </c>
      <c r="Y1" s="13" t="s">
        <v>1325</v>
      </c>
      <c r="Z1" s="9" t="s">
        <v>1389</v>
      </c>
      <c r="AA1" s="30"/>
      <c r="AH1" s="13" t="s">
        <v>5</v>
      </c>
      <c r="AI1" s="13" t="s">
        <v>1326</v>
      </c>
      <c r="AJ1" s="10" t="s">
        <v>1389</v>
      </c>
    </row>
    <row r="2" spans="1:46" ht="13.8" thickBot="1" x14ac:dyDescent="0.3">
      <c r="A2" t="s">
        <v>6</v>
      </c>
      <c r="B2" t="s">
        <v>7</v>
      </c>
      <c r="C2" s="10">
        <v>-56</v>
      </c>
      <c r="D2" t="s">
        <v>8</v>
      </c>
      <c r="E2" s="2">
        <f>J2</f>
        <v>46205</v>
      </c>
      <c r="F2" s="3">
        <f>IF(ISNUMBER(SEARCH("Landed", D2)), TIMEVALUE(_xlfn.TEXTAFTER(D2, " ")), NA())</f>
        <v>5.1388888888888894E-2</v>
      </c>
      <c r="G2" t="s">
        <v>9</v>
      </c>
      <c r="H2" t="s">
        <v>10</v>
      </c>
      <c r="I2" t="s">
        <v>11</v>
      </c>
      <c r="J2" s="2">
        <v>46205</v>
      </c>
      <c r="K2" s="1">
        <v>2.0833333333333332E-2</v>
      </c>
      <c r="L2" s="10">
        <f>IF(J2&gt;E2,(K2+1-F2)*1440,IF(J2&lt;E2,-(F2+1-K2)*1440,(K2-F2)*1440))</f>
        <v>-44.000000000000007</v>
      </c>
      <c r="M2" s="1" t="str">
        <f>IF(L2&gt;=-15, "On Time", "Delayed")</f>
        <v>Delayed</v>
      </c>
      <c r="N2" s="27" t="str">
        <f t="shared" ref="N2:N65" si="0">IF(COUNTIFS($B$2:$B$1553,B2,$M$2:$M$1553,"&lt;&gt;#N/A")&gt;=30,B2,NA())</f>
        <v>airBaltic</v>
      </c>
      <c r="O2" s="3" t="s">
        <v>1318</v>
      </c>
      <c r="P2" s="20">
        <f t="shared" ref="P2:P65" si="1">HOUR(F2)</f>
        <v>1</v>
      </c>
      <c r="Q2" s="3" t="s">
        <v>1318</v>
      </c>
      <c r="R2" s="23" t="str">
        <f t="shared" ref="R2:R65" si="2">TEXT(E2, "dddd")</f>
        <v>Thursday</v>
      </c>
      <c r="S2" s="3" t="s">
        <v>1318</v>
      </c>
      <c r="T2" s="23" t="s">
        <v>7</v>
      </c>
      <c r="U2" s="3" t="s">
        <v>1318</v>
      </c>
      <c r="V2" s="7" t="s">
        <v>1157</v>
      </c>
      <c r="W2" s="11">
        <v>16000000</v>
      </c>
      <c r="X2" s="11">
        <v>2653</v>
      </c>
      <c r="Y2" s="7">
        <v>500</v>
      </c>
      <c r="Z2" s="9" cm="1">
        <f t="array" ref="Z2">IFERROR(MEDIAN(_xlfn.IFNA(_xlfn._xlws.FILTER($L$2:$L$1553, $H$2:$H$1553=V2),"")),NA())</f>
        <v>-26.999999999999904</v>
      </c>
      <c r="AA2" s="31"/>
      <c r="AC2" s="3"/>
      <c r="AH2" s="7" t="s">
        <v>11</v>
      </c>
      <c r="AI2" s="7">
        <v>145</v>
      </c>
      <c r="AJ2" s="10" cm="1">
        <f t="array" ref="AJ2">IFERROR(MEDIAN(_xlfn.IFNA(_xlfn._xlws.FILTER($L$2:$L$1553, $I$2:$I$1553=AH2),"")),NA())</f>
        <v>-2.9999999999999893</v>
      </c>
      <c r="AL2" s="19"/>
      <c r="AM2" s="20"/>
      <c r="AO2" t="s">
        <v>1386</v>
      </c>
    </row>
    <row r="3" spans="1:46" ht="13.8" thickBot="1" x14ac:dyDescent="0.3">
      <c r="A3" t="s">
        <v>12</v>
      </c>
      <c r="B3" t="s">
        <v>13</v>
      </c>
      <c r="C3" s="10">
        <v>-230</v>
      </c>
      <c r="D3" t="s">
        <v>14</v>
      </c>
      <c r="E3" s="2">
        <f t="shared" ref="E3:E66" si="3">J3</f>
        <v>46205</v>
      </c>
      <c r="F3" s="3">
        <f t="shared" ref="F3:F66" si="4">IF(ISNUMBER(SEARCH("Landed", D3)), TIMEVALUE(_xlfn.TEXTAFTER(D3, " ")), NA())</f>
        <v>0.15833333333333333</v>
      </c>
      <c r="G3" t="s">
        <v>15</v>
      </c>
      <c r="H3" t="s">
        <v>16</v>
      </c>
      <c r="I3" t="s">
        <v>17</v>
      </c>
      <c r="J3" s="2">
        <v>46205</v>
      </c>
      <c r="K3" s="1">
        <v>2.0833333333333332E-2</v>
      </c>
      <c r="L3" s="10">
        <f t="shared" ref="L3:L65" si="5">IF(J3&gt;E3,(K3+1-F3)*1440,IF(J3&lt;E3,-(F3+1-K3)*1440,(K3-F3)*1440))</f>
        <v>-197.99999999999997</v>
      </c>
      <c r="M3" s="1" t="str">
        <f t="shared" ref="M3:M17" si="6">IF(L3&gt;=-15, "On Time", "Delayed")</f>
        <v>Delayed</v>
      </c>
      <c r="N3" s="27" t="str">
        <f t="shared" si="0"/>
        <v>Wizz Air</v>
      </c>
      <c r="O3" s="3" t="s">
        <v>1318</v>
      </c>
      <c r="P3" s="20">
        <f t="shared" si="1"/>
        <v>3</v>
      </c>
      <c r="Q3" s="3" t="s">
        <v>1318</v>
      </c>
      <c r="R3" s="23" t="str">
        <f t="shared" si="2"/>
        <v>Thursday</v>
      </c>
      <c r="S3" s="3" t="s">
        <v>1318</v>
      </c>
      <c r="T3" s="23" t="s">
        <v>13</v>
      </c>
      <c r="U3" s="3" t="s">
        <v>1318</v>
      </c>
      <c r="V3" s="7" t="s">
        <v>136</v>
      </c>
      <c r="W3" s="11">
        <v>66800000</v>
      </c>
      <c r="X3" s="11">
        <v>1379</v>
      </c>
      <c r="Y3" s="8">
        <v>2787</v>
      </c>
      <c r="Z3" s="9" cm="1">
        <f t="array" ref="Z3">IFERROR(MEDIAN(_xlfn.IFNA(_xlfn._xlws.FILTER($L$2:$L$1553, $H$2:$H$1553=V3),"")),NA())</f>
        <v>-2.9999999999999893</v>
      </c>
      <c r="AA3" s="31"/>
      <c r="AH3" s="7" t="s">
        <v>17</v>
      </c>
      <c r="AI3" s="7">
        <v>240</v>
      </c>
      <c r="AJ3" s="10" cm="1">
        <f t="array" ref="AJ3">IFERROR(MEDIAN(_xlfn.IFNA(_xlfn._xlws.FILTER($L$2:$L$1553, $I$2:$I$1553=AH3),"")),NA())</f>
        <v>10.999999999999961</v>
      </c>
      <c r="AL3" s="19"/>
      <c r="AM3" s="20"/>
    </row>
    <row r="4" spans="1:46" ht="13.8" thickBot="1" x14ac:dyDescent="0.3">
      <c r="A4" t="s">
        <v>18</v>
      </c>
      <c r="B4" t="s">
        <v>19</v>
      </c>
      <c r="C4" s="10">
        <v>-84</v>
      </c>
      <c r="D4" t="s">
        <v>20</v>
      </c>
      <c r="E4" s="2">
        <f t="shared" si="3"/>
        <v>46205</v>
      </c>
      <c r="F4" s="3">
        <f t="shared" si="4"/>
        <v>7.1527777777777787E-2</v>
      </c>
      <c r="G4" t="s">
        <v>21</v>
      </c>
      <c r="H4" t="s">
        <v>22</v>
      </c>
      <c r="I4" t="s">
        <v>23</v>
      </c>
      <c r="J4" s="2">
        <v>46205</v>
      </c>
      <c r="K4" s="1">
        <v>2.7777777777777776E-2</v>
      </c>
      <c r="L4" s="10">
        <f t="shared" si="5"/>
        <v>-63.000000000000014</v>
      </c>
      <c r="M4" s="1" t="str">
        <f t="shared" si="6"/>
        <v>Delayed</v>
      </c>
      <c r="N4" s="27" t="str">
        <f t="shared" si="0"/>
        <v>LOT</v>
      </c>
      <c r="O4" s="3" t="s">
        <v>1318</v>
      </c>
      <c r="P4" s="20">
        <f t="shared" si="1"/>
        <v>1</v>
      </c>
      <c r="Q4" s="3" t="s">
        <v>1318</v>
      </c>
      <c r="R4" s="23" t="str">
        <f t="shared" si="2"/>
        <v>Thursday</v>
      </c>
      <c r="S4" s="3" t="s">
        <v>1318</v>
      </c>
      <c r="T4" s="23" t="s">
        <v>19</v>
      </c>
      <c r="U4" s="3" t="s">
        <v>1318</v>
      </c>
      <c r="V4" s="7" t="s">
        <v>732</v>
      </c>
      <c r="W4" s="11">
        <v>12000000</v>
      </c>
      <c r="X4" s="11">
        <v>1674</v>
      </c>
      <c r="Y4" s="7">
        <v>750</v>
      </c>
      <c r="Z4" s="9" cm="1">
        <f t="array" ref="Z4">IFERROR(MEDIAN(_xlfn.IFNA(_xlfn._xlws.FILTER($L$2:$L$1553, $H$2:$H$1553=V4),"")),NA())</f>
        <v>-59.999999999999943</v>
      </c>
      <c r="AA4" s="31"/>
      <c r="AC4" s="3"/>
      <c r="AH4" s="7" t="s">
        <v>23</v>
      </c>
      <c r="AI4" s="7">
        <v>189</v>
      </c>
      <c r="AJ4" s="10" cm="1">
        <f t="array" ref="AJ4">IFERROR(MEDIAN(_xlfn.IFNA(_xlfn._xlws.FILTER($L$2:$L$1553, $I$2:$I$1553=AH4),"")),NA())</f>
        <v>-14.999999999999947</v>
      </c>
      <c r="AL4" s="19"/>
      <c r="AM4" s="20"/>
      <c r="AO4" s="18" t="s">
        <v>1327</v>
      </c>
      <c r="AP4" s="18"/>
    </row>
    <row r="5" spans="1:46" ht="13.8" thickBot="1" x14ac:dyDescent="0.3">
      <c r="A5" t="s">
        <v>24</v>
      </c>
      <c r="B5" t="s">
        <v>7</v>
      </c>
      <c r="C5" s="10">
        <v>-106</v>
      </c>
      <c r="D5" t="s">
        <v>25</v>
      </c>
      <c r="E5" s="2">
        <f t="shared" si="3"/>
        <v>46205</v>
      </c>
      <c r="F5" s="3">
        <f t="shared" si="4"/>
        <v>9.7916666666666666E-2</v>
      </c>
      <c r="G5" t="s">
        <v>26</v>
      </c>
      <c r="H5" t="s">
        <v>27</v>
      </c>
      <c r="I5" t="s">
        <v>11</v>
      </c>
      <c r="J5" s="2">
        <v>46205</v>
      </c>
      <c r="K5" s="1">
        <v>3.125E-2</v>
      </c>
      <c r="L5" s="10">
        <f t="shared" si="5"/>
        <v>-96</v>
      </c>
      <c r="M5" s="1" t="str">
        <f t="shared" si="6"/>
        <v>Delayed</v>
      </c>
      <c r="N5" s="27" t="str">
        <f t="shared" si="0"/>
        <v>airBaltic</v>
      </c>
      <c r="O5" s="3" t="s">
        <v>1318</v>
      </c>
      <c r="P5" s="20">
        <f t="shared" si="1"/>
        <v>2</v>
      </c>
      <c r="Q5" s="3" t="s">
        <v>1318</v>
      </c>
      <c r="R5" s="23" t="str">
        <f t="shared" si="2"/>
        <v>Thursday</v>
      </c>
      <c r="S5" s="3" t="s">
        <v>1318</v>
      </c>
      <c r="T5" s="23" t="s">
        <v>7</v>
      </c>
      <c r="U5" s="3" t="s">
        <v>1318</v>
      </c>
      <c r="V5" s="7" t="s">
        <v>120</v>
      </c>
      <c r="W5" s="11">
        <v>35500000</v>
      </c>
      <c r="X5" s="11">
        <v>1933</v>
      </c>
      <c r="Y5" s="8">
        <v>1300</v>
      </c>
      <c r="Z5" s="9" cm="1">
        <f t="array" ref="Z5">IFERROR(MEDIAN(_xlfn.IFNA(_xlfn._xlws.FILTER($L$2:$L$1553, $H$2:$H$1553=V5),"")),NA())</f>
        <v>4.9999999999999822</v>
      </c>
      <c r="AA5" s="31"/>
      <c r="AH5" s="7" t="s">
        <v>45</v>
      </c>
      <c r="AI5" s="7">
        <v>76</v>
      </c>
      <c r="AJ5" s="10" cm="1">
        <f t="array" ref="AJ5">IFERROR(MEDIAN(_xlfn.IFNA(_xlfn._xlws.FILTER($L$2:$L$1553, $I$2:$I$1553=AH5),"")),NA())</f>
        <v>2.0000000000000027</v>
      </c>
      <c r="AL5" s="19"/>
      <c r="AM5" s="20"/>
      <c r="AO5" s="15" t="s">
        <v>1328</v>
      </c>
      <c r="AP5" s="15">
        <v>1.3145767042604981E-2</v>
      </c>
    </row>
    <row r="6" spans="1:46" ht="27" thickBot="1" x14ac:dyDescent="0.3">
      <c r="A6" t="s">
        <v>28</v>
      </c>
      <c r="B6" t="s">
        <v>7</v>
      </c>
      <c r="C6" s="10">
        <v>-81</v>
      </c>
      <c r="D6" t="s">
        <v>29</v>
      </c>
      <c r="E6" s="2">
        <f t="shared" si="3"/>
        <v>46205</v>
      </c>
      <c r="F6" s="3">
        <f t="shared" si="4"/>
        <v>7.7777777777777779E-2</v>
      </c>
      <c r="G6" t="s">
        <v>30</v>
      </c>
      <c r="H6" t="s">
        <v>31</v>
      </c>
      <c r="I6" t="s">
        <v>11</v>
      </c>
      <c r="J6" s="2">
        <v>46205</v>
      </c>
      <c r="K6" s="1">
        <v>3.4722222222222224E-2</v>
      </c>
      <c r="L6" s="10">
        <f t="shared" si="5"/>
        <v>-62</v>
      </c>
      <c r="M6" s="1" t="str">
        <f t="shared" si="6"/>
        <v>Delayed</v>
      </c>
      <c r="N6" s="27" t="str">
        <f t="shared" si="0"/>
        <v>airBaltic</v>
      </c>
      <c r="O6" s="3" t="s">
        <v>1318</v>
      </c>
      <c r="P6" s="20">
        <f t="shared" si="1"/>
        <v>1</v>
      </c>
      <c r="Q6" s="3" t="s">
        <v>1318</v>
      </c>
      <c r="R6" s="23" t="str">
        <f t="shared" si="2"/>
        <v>Thursday</v>
      </c>
      <c r="S6" s="3" t="s">
        <v>1318</v>
      </c>
      <c r="T6" s="23" t="s">
        <v>7</v>
      </c>
      <c r="U6" s="3" t="s">
        <v>1318</v>
      </c>
      <c r="V6" s="7" t="s">
        <v>1277</v>
      </c>
      <c r="W6" s="11">
        <v>7500000</v>
      </c>
      <c r="X6" s="11">
        <v>3115</v>
      </c>
      <c r="Y6" s="8">
        <v>2000</v>
      </c>
      <c r="Z6" s="9" cm="1">
        <f t="array" ref="Z6">IFERROR(MEDIAN(_xlfn.IFNA(_xlfn._xlws.FILTER($L$2:$L$1553, $H$2:$H$1553=V6),"")),NA())</f>
        <v>-52.000000000000057</v>
      </c>
      <c r="AA6" s="31"/>
      <c r="AH6" s="7" t="s">
        <v>51</v>
      </c>
      <c r="AI6" s="7">
        <v>189</v>
      </c>
      <c r="AJ6" s="10" cm="1">
        <f t="array" ref="AJ6">IFERROR(MEDIAN(_xlfn.IFNA(_xlfn._xlws.FILTER($L$2:$L$1553, $I$2:$I$1553=AH6),"")),NA())</f>
        <v>-1.0000000000000764</v>
      </c>
      <c r="AL6" s="19"/>
      <c r="AM6" s="20"/>
      <c r="AO6" s="15" t="s">
        <v>1329</v>
      </c>
      <c r="AP6" s="15">
        <v>1.7281119113843931E-4</v>
      </c>
    </row>
    <row r="7" spans="1:46" ht="13.8" thickBot="1" x14ac:dyDescent="0.3">
      <c r="A7" t="s">
        <v>32</v>
      </c>
      <c r="B7" t="s">
        <v>13</v>
      </c>
      <c r="C7" s="10">
        <v>-41</v>
      </c>
      <c r="D7" t="s">
        <v>33</v>
      </c>
      <c r="E7" s="2">
        <f t="shared" si="3"/>
        <v>46205</v>
      </c>
      <c r="F7" s="3">
        <f t="shared" si="4"/>
        <v>6.3888888888888884E-2</v>
      </c>
      <c r="G7" t="s">
        <v>34</v>
      </c>
      <c r="H7" t="s">
        <v>35</v>
      </c>
      <c r="I7" t="s">
        <v>17</v>
      </c>
      <c r="J7" s="2">
        <v>46205</v>
      </c>
      <c r="K7" s="1">
        <v>5.5555555555555552E-2</v>
      </c>
      <c r="L7" s="10">
        <f t="shared" si="5"/>
        <v>-11.999999999999996</v>
      </c>
      <c r="M7" s="1" t="str">
        <f t="shared" si="6"/>
        <v>On Time</v>
      </c>
      <c r="N7" s="27" t="str">
        <f t="shared" si="0"/>
        <v>Wizz Air</v>
      </c>
      <c r="O7" s="3" t="s">
        <v>1385</v>
      </c>
      <c r="P7" s="20">
        <f t="shared" si="1"/>
        <v>1</v>
      </c>
      <c r="Q7" s="3" t="s">
        <v>1385</v>
      </c>
      <c r="R7" s="23" t="str">
        <f t="shared" si="2"/>
        <v>Thursday</v>
      </c>
      <c r="S7" s="3" t="s">
        <v>1385</v>
      </c>
      <c r="T7" s="23" t="s">
        <v>13</v>
      </c>
      <c r="U7" s="3" t="s">
        <v>1385</v>
      </c>
      <c r="V7" s="7" t="s">
        <v>107</v>
      </c>
      <c r="W7" s="11">
        <v>28200000</v>
      </c>
      <c r="X7" s="11">
        <v>1848</v>
      </c>
      <c r="Y7" s="8">
        <v>1600</v>
      </c>
      <c r="Z7" s="9" cm="1">
        <f t="array" ref="Z7">IFERROR(MEDIAN(_xlfn.IFNA(_xlfn._xlws.FILTER($L$2:$L$1553, $H$2:$H$1553=V7),"")),NA())</f>
        <v>2.9999999999999893</v>
      </c>
      <c r="AA7" s="31"/>
      <c r="AH7" s="7" t="s">
        <v>67</v>
      </c>
      <c r="AI7" s="7">
        <v>180</v>
      </c>
      <c r="AJ7" s="10" cm="1">
        <f t="array" ref="AJ7">IFERROR(MEDIAN(_xlfn.IFNA(_xlfn._xlws.FILTER($L$2:$L$1553, $I$2:$I$1553=AH7),"")),NA())</f>
        <v>0.99999999999999645</v>
      </c>
      <c r="AL7" s="19"/>
      <c r="AM7" s="20"/>
      <c r="AO7" s="15" t="s">
        <v>1330</v>
      </c>
      <c r="AP7" s="15">
        <v>-1.0694875643740491E-2</v>
      </c>
    </row>
    <row r="8" spans="1:46" ht="13.8" thickBot="1" x14ac:dyDescent="0.3">
      <c r="A8" t="s">
        <v>36</v>
      </c>
      <c r="B8" t="s">
        <v>7</v>
      </c>
      <c r="C8" s="10">
        <v>-87</v>
      </c>
      <c r="D8" t="s">
        <v>37</v>
      </c>
      <c r="E8" s="2">
        <f t="shared" si="3"/>
        <v>46205</v>
      </c>
      <c r="F8" s="3">
        <f t="shared" si="4"/>
        <v>0.11666666666666665</v>
      </c>
      <c r="G8" t="s">
        <v>38</v>
      </c>
      <c r="H8" t="s">
        <v>39</v>
      </c>
      <c r="I8" t="s">
        <v>11</v>
      </c>
      <c r="J8" s="2">
        <v>46205</v>
      </c>
      <c r="K8" s="1">
        <v>5.9027777777777783E-2</v>
      </c>
      <c r="L8" s="10">
        <f t="shared" si="5"/>
        <v>-82.999999999999972</v>
      </c>
      <c r="M8" s="1" t="str">
        <f t="shared" si="6"/>
        <v>Delayed</v>
      </c>
      <c r="N8" s="27" t="str">
        <f t="shared" si="0"/>
        <v>airBaltic</v>
      </c>
      <c r="O8" s="3" t="s">
        <v>1318</v>
      </c>
      <c r="P8" s="20">
        <f t="shared" si="1"/>
        <v>2</v>
      </c>
      <c r="Q8" s="3" t="s">
        <v>1318</v>
      </c>
      <c r="R8" s="23" t="str">
        <f t="shared" si="2"/>
        <v>Thursday</v>
      </c>
      <c r="S8" s="3" t="s">
        <v>1318</v>
      </c>
      <c r="T8" s="23" t="s">
        <v>7</v>
      </c>
      <c r="U8" s="3" t="s">
        <v>1318</v>
      </c>
      <c r="V8" s="7" t="s">
        <v>1202</v>
      </c>
      <c r="W8" s="11">
        <v>2000000</v>
      </c>
      <c r="X8" s="11">
        <v>2648</v>
      </c>
      <c r="Y8" s="7">
        <v>185</v>
      </c>
      <c r="Z8" s="9" cm="1">
        <f t="array" ref="Z8">IFERROR(MEDIAN(_xlfn.IFNA(_xlfn._xlws.FILTER($L$2:$L$1553, $H$2:$H$1553=V8),"")),NA())</f>
        <v>-6.9999999999999751</v>
      </c>
      <c r="AA8" s="31"/>
      <c r="AH8" s="7" t="s">
        <v>73</v>
      </c>
      <c r="AI8" s="7">
        <v>72</v>
      </c>
      <c r="AJ8" s="10" cm="1">
        <f t="array" ref="AJ8">IFERROR(MEDIAN(_xlfn.IFNA(_xlfn._xlws.FILTER($L$2:$L$1553, $I$2:$I$1553=AH8),"")),NA())</f>
        <v>-0.49999999999999822</v>
      </c>
      <c r="AL8" s="19"/>
      <c r="AM8" s="20"/>
      <c r="AO8" s="15" t="s">
        <v>1331</v>
      </c>
      <c r="AP8" s="15">
        <v>23.105805898874699</v>
      </c>
    </row>
    <row r="9" spans="1:46" ht="13.8" thickBot="1" x14ac:dyDescent="0.3">
      <c r="A9" t="s">
        <v>40</v>
      </c>
      <c r="B9" t="s">
        <v>41</v>
      </c>
      <c r="C9" s="10">
        <v>-13</v>
      </c>
      <c r="D9" t="s">
        <v>42</v>
      </c>
      <c r="E9" s="2">
        <f t="shared" si="3"/>
        <v>46205</v>
      </c>
      <c r="F9" s="3">
        <f t="shared" si="4"/>
        <v>5.6250000000000001E-2</v>
      </c>
      <c r="G9" t="s">
        <v>43</v>
      </c>
      <c r="H9" t="s">
        <v>44</v>
      </c>
      <c r="I9" t="s">
        <v>45</v>
      </c>
      <c r="J9" s="2">
        <v>46205</v>
      </c>
      <c r="K9" s="1">
        <v>5.9027777777777783E-2</v>
      </c>
      <c r="L9" s="10">
        <f t="shared" si="5"/>
        <v>4.0000000000000053</v>
      </c>
      <c r="M9" s="1" t="str">
        <f t="shared" si="6"/>
        <v>On Time</v>
      </c>
      <c r="N9" s="27" t="str">
        <f t="shared" si="0"/>
        <v>SAS</v>
      </c>
      <c r="O9" s="3" t="s">
        <v>1385</v>
      </c>
      <c r="P9" s="20">
        <f t="shared" si="1"/>
        <v>1</v>
      </c>
      <c r="Q9" s="3" t="s">
        <v>1385</v>
      </c>
      <c r="R9" s="23" t="str">
        <f t="shared" si="2"/>
        <v>Thursday</v>
      </c>
      <c r="S9" s="3" t="s">
        <v>1385</v>
      </c>
      <c r="T9" s="23" t="s">
        <v>41</v>
      </c>
      <c r="U9" s="3" t="s">
        <v>1385</v>
      </c>
      <c r="V9" s="7" t="s">
        <v>723</v>
      </c>
      <c r="W9" s="11">
        <v>250000</v>
      </c>
      <c r="X9" s="11">
        <v>823</v>
      </c>
      <c r="Y9" s="7">
        <v>196</v>
      </c>
      <c r="Z9" s="9" t="e" cm="1">
        <f t="array" ref="Z9">IFERROR(MEDIAN(_xlfn.IFNA(_xlfn._xlws.FILTER($L$2:$L$1553, $H$2:$H$1553=V9),"")),NA())</f>
        <v>#N/A</v>
      </c>
      <c r="AA9" s="31"/>
      <c r="AH9" s="7" t="s">
        <v>83</v>
      </c>
      <c r="AI9" s="7">
        <v>180</v>
      </c>
      <c r="AJ9" s="10" cm="1">
        <f t="array" ref="AJ9">IFERROR(MEDIAN(_xlfn.IFNA(_xlfn._xlws.FILTER($L$2:$L$1553, $I$2:$I$1553=AH9),"")),NA())</f>
        <v>-1.9999999999999929</v>
      </c>
      <c r="AL9" s="19"/>
      <c r="AM9" s="20"/>
      <c r="AO9" s="16" t="s">
        <v>1332</v>
      </c>
      <c r="AP9" s="16">
        <v>94</v>
      </c>
    </row>
    <row r="10" spans="1:46" ht="13.8" thickBot="1" x14ac:dyDescent="0.3">
      <c r="A10" t="s">
        <v>46</v>
      </c>
      <c r="B10" t="s">
        <v>47</v>
      </c>
      <c r="D10" t="s">
        <v>48</v>
      </c>
      <c r="E10" s="2">
        <f t="shared" si="3"/>
        <v>46205</v>
      </c>
      <c r="F10" s="3">
        <f t="shared" si="4"/>
        <v>0.17222222222222225</v>
      </c>
      <c r="G10" t="s">
        <v>49</v>
      </c>
      <c r="H10" t="s">
        <v>50</v>
      </c>
      <c r="I10" t="s">
        <v>51</v>
      </c>
      <c r="J10" s="2">
        <v>46205</v>
      </c>
      <c r="K10" s="1">
        <v>0.17152777777777775</v>
      </c>
      <c r="L10" s="10">
        <f t="shared" si="5"/>
        <v>-1.0000000000000764</v>
      </c>
      <c r="M10" s="1" t="str">
        <f t="shared" si="6"/>
        <v>On Time</v>
      </c>
      <c r="N10" s="27" t="e">
        <f t="shared" si="0"/>
        <v>#N/A</v>
      </c>
      <c r="O10" s="3" t="s">
        <v>1385</v>
      </c>
      <c r="P10" s="20">
        <f t="shared" si="1"/>
        <v>4</v>
      </c>
      <c r="Q10" s="3" t="s">
        <v>1385</v>
      </c>
      <c r="R10" s="23" t="str">
        <f t="shared" si="2"/>
        <v>Thursday</v>
      </c>
      <c r="S10" s="3" t="s">
        <v>1385</v>
      </c>
      <c r="T10" s="23" t="s">
        <v>47</v>
      </c>
      <c r="U10" s="3" t="s">
        <v>1385</v>
      </c>
      <c r="V10" s="7" t="s">
        <v>16</v>
      </c>
      <c r="W10" s="11">
        <v>50000000</v>
      </c>
      <c r="X10" s="11">
        <v>2246</v>
      </c>
      <c r="Y10" s="8">
        <v>1530</v>
      </c>
      <c r="Z10" s="9" cm="1">
        <f t="array" ref="Z10">IFERROR(MEDIAN(_xlfn.IFNA(_xlfn._xlws.FILTER($L$2:$L$1553, $H$2:$H$1553=V10),"")),NA())</f>
        <v>3.9999999999999956</v>
      </c>
      <c r="AA10" s="31"/>
      <c r="AH10" s="7" t="s">
        <v>89</v>
      </c>
      <c r="AI10" s="7">
        <v>189</v>
      </c>
      <c r="AJ10" s="10" cm="1">
        <f t="array" ref="AJ10">IFERROR(MEDIAN(_xlfn.IFNA(_xlfn._xlws.FILTER($L$2:$L$1553, $I$2:$I$1553=AH10),"")),NA())</f>
        <v>11.999999999999957</v>
      </c>
      <c r="AL10" s="19"/>
      <c r="AM10" s="20"/>
    </row>
    <row r="11" spans="1:46" ht="13.8" thickBot="1" x14ac:dyDescent="0.3">
      <c r="A11" t="s">
        <v>52</v>
      </c>
      <c r="B11" t="s">
        <v>7</v>
      </c>
      <c r="D11" t="s">
        <v>53</v>
      </c>
      <c r="E11" s="2">
        <f t="shared" si="3"/>
        <v>46205</v>
      </c>
      <c r="F11" s="3">
        <f t="shared" si="4"/>
        <v>0.33611111111111108</v>
      </c>
      <c r="G11" t="s">
        <v>9</v>
      </c>
      <c r="H11" t="s">
        <v>10</v>
      </c>
      <c r="I11" t="s">
        <v>11</v>
      </c>
      <c r="J11" s="2">
        <v>46205</v>
      </c>
      <c r="K11" s="1">
        <v>0.29166666666666669</v>
      </c>
      <c r="L11" s="10">
        <f t="shared" si="5"/>
        <v>-63.999999999999929</v>
      </c>
      <c r="M11" s="1" t="str">
        <f t="shared" si="6"/>
        <v>Delayed</v>
      </c>
      <c r="N11" s="27" t="str">
        <f t="shared" si="0"/>
        <v>airBaltic</v>
      </c>
      <c r="O11" s="3" t="s">
        <v>1318</v>
      </c>
      <c r="P11" s="20">
        <f t="shared" si="1"/>
        <v>8</v>
      </c>
      <c r="Q11" s="3" t="s">
        <v>1318</v>
      </c>
      <c r="R11" s="23" t="str">
        <f t="shared" si="2"/>
        <v>Thursday</v>
      </c>
      <c r="S11" s="3" t="s">
        <v>1318</v>
      </c>
      <c r="T11" s="23" t="s">
        <v>7</v>
      </c>
      <c r="U11" s="3" t="s">
        <v>1318</v>
      </c>
      <c r="V11" s="7" t="s">
        <v>1171</v>
      </c>
      <c r="W11" s="11">
        <v>6000000</v>
      </c>
      <c r="X11" s="11">
        <v>1957</v>
      </c>
      <c r="Y11" s="7">
        <v>400</v>
      </c>
      <c r="Z11" s="9" cm="1">
        <f t="array" ref="Z11">IFERROR(MEDIAN(_xlfn.IFNA(_xlfn._xlws.FILTER($L$2:$L$1553, $H$2:$H$1553=V11),"")),NA())</f>
        <v>-23</v>
      </c>
      <c r="AA11" s="31"/>
      <c r="AH11" s="7" t="s">
        <v>92</v>
      </c>
      <c r="AI11" s="7">
        <v>118</v>
      </c>
      <c r="AJ11" s="10" cm="1">
        <f t="array" ref="AJ11">IFERROR(MEDIAN(_xlfn.IFNA(_xlfn._xlws.FILTER($L$2:$L$1553, $I$2:$I$1553=AH11),"")),NA())</f>
        <v>-6.0000000000001386</v>
      </c>
      <c r="AL11" s="19"/>
      <c r="AM11" s="20"/>
      <c r="AO11" t="s">
        <v>1333</v>
      </c>
    </row>
    <row r="12" spans="1:46" ht="13.8" thickBot="1" x14ac:dyDescent="0.3">
      <c r="A12" t="s">
        <v>54</v>
      </c>
      <c r="B12" t="s">
        <v>55</v>
      </c>
      <c r="C12" s="10">
        <v>-11</v>
      </c>
      <c r="D12" t="s">
        <v>56</v>
      </c>
      <c r="E12" s="2">
        <f t="shared" si="3"/>
        <v>46205</v>
      </c>
      <c r="F12" s="3">
        <f t="shared" si="4"/>
        <v>0.31319444444444444</v>
      </c>
      <c r="G12" t="s">
        <v>57</v>
      </c>
      <c r="H12" t="s">
        <v>58</v>
      </c>
      <c r="I12" t="s">
        <v>59</v>
      </c>
      <c r="J12" s="2">
        <v>46205</v>
      </c>
      <c r="K12" s="1">
        <v>0.31736111111111115</v>
      </c>
      <c r="L12" s="10">
        <f t="shared" si="5"/>
        <v>6.0000000000000586</v>
      </c>
      <c r="M12" s="1" t="str">
        <f t="shared" si="6"/>
        <v>On Time</v>
      </c>
      <c r="N12" s="27" t="e">
        <f t="shared" si="0"/>
        <v>#N/A</v>
      </c>
      <c r="O12" s="3" t="s">
        <v>1385</v>
      </c>
      <c r="P12" s="20">
        <f t="shared" si="1"/>
        <v>7</v>
      </c>
      <c r="Q12" s="3" t="s">
        <v>1385</v>
      </c>
      <c r="R12" s="23" t="str">
        <f t="shared" si="2"/>
        <v>Thursday</v>
      </c>
      <c r="S12" s="3" t="s">
        <v>1385</v>
      </c>
      <c r="T12" s="23" t="s">
        <v>55</v>
      </c>
      <c r="U12" s="3" t="s">
        <v>1385</v>
      </c>
      <c r="V12" s="7" t="s">
        <v>963</v>
      </c>
      <c r="W12" s="11">
        <v>8000000</v>
      </c>
      <c r="X12" s="11">
        <v>1061</v>
      </c>
      <c r="Y12" s="7">
        <v>980</v>
      </c>
      <c r="Z12" s="9" t="e" cm="1">
        <f t="array" ref="Z12">IFERROR(MEDIAN(_xlfn.IFNA(_xlfn._xlws.FILTER($L$2:$L$1553, $H$2:$H$1553=V12),"")),NA())</f>
        <v>#N/A</v>
      </c>
      <c r="AA12" s="31"/>
      <c r="AH12" s="7" t="s">
        <v>112</v>
      </c>
      <c r="AI12" s="7">
        <v>180</v>
      </c>
      <c r="AJ12" s="10" cm="1">
        <f t="array" ref="AJ12">IFERROR(MEDIAN(_xlfn.IFNA(_xlfn._xlws.FILTER($L$2:$L$1553, $I$2:$I$1553=AH12),"")),NA())</f>
        <v>0</v>
      </c>
      <c r="AL12" s="19"/>
      <c r="AM12" s="20"/>
      <c r="AO12" s="17"/>
      <c r="AP12" s="17" t="s">
        <v>1338</v>
      </c>
      <c r="AQ12" s="17" t="s">
        <v>1339</v>
      </c>
      <c r="AR12" s="17" t="s">
        <v>1340</v>
      </c>
      <c r="AS12" s="17" t="s">
        <v>1341</v>
      </c>
      <c r="AT12" s="17" t="s">
        <v>1342</v>
      </c>
    </row>
    <row r="13" spans="1:46" ht="13.8" thickBot="1" x14ac:dyDescent="0.3">
      <c r="A13" t="s">
        <v>60</v>
      </c>
      <c r="B13" t="s">
        <v>7</v>
      </c>
      <c r="C13" s="10">
        <v>-2</v>
      </c>
      <c r="D13" t="s">
        <v>61</v>
      </c>
      <c r="E13" s="2">
        <f t="shared" si="3"/>
        <v>46205</v>
      </c>
      <c r="F13" s="3">
        <f t="shared" si="4"/>
        <v>0.3527777777777778</v>
      </c>
      <c r="G13" t="s">
        <v>9</v>
      </c>
      <c r="H13" t="s">
        <v>10</v>
      </c>
      <c r="I13" t="s">
        <v>11</v>
      </c>
      <c r="J13" s="2">
        <v>46205</v>
      </c>
      <c r="K13" s="1">
        <v>0.3611111111111111</v>
      </c>
      <c r="L13" s="10">
        <f t="shared" si="5"/>
        <v>11.999999999999957</v>
      </c>
      <c r="M13" s="1" t="str">
        <f t="shared" si="6"/>
        <v>On Time</v>
      </c>
      <c r="N13" s="27" t="str">
        <f t="shared" si="0"/>
        <v>airBaltic</v>
      </c>
      <c r="O13" s="3" t="s">
        <v>1385</v>
      </c>
      <c r="P13" s="20">
        <f t="shared" si="1"/>
        <v>8</v>
      </c>
      <c r="Q13" s="3" t="s">
        <v>1385</v>
      </c>
      <c r="R13" s="23" t="str">
        <f t="shared" si="2"/>
        <v>Thursday</v>
      </c>
      <c r="S13" s="3" t="s">
        <v>1385</v>
      </c>
      <c r="T13" s="23" t="s">
        <v>7</v>
      </c>
      <c r="U13" s="3" t="s">
        <v>1385</v>
      </c>
      <c r="V13" s="7" t="s">
        <v>281</v>
      </c>
      <c r="W13" s="11">
        <v>6400000</v>
      </c>
      <c r="X13" s="11">
        <v>1222</v>
      </c>
      <c r="Y13" s="7">
        <v>220</v>
      </c>
      <c r="Z13" s="9" cm="1">
        <f t="array" ref="Z13">IFERROR(MEDIAN(_xlfn.IFNA(_xlfn._xlws.FILTER($L$2:$L$1553, $H$2:$H$1553=V13),"")),NA())</f>
        <v>5.0000000000001421</v>
      </c>
      <c r="AA13" s="31"/>
      <c r="AH13" s="7" t="s">
        <v>126</v>
      </c>
      <c r="AI13" s="7">
        <v>189</v>
      </c>
      <c r="AJ13" s="10" cm="1">
        <f t="array" ref="AJ13">IFERROR(MEDIAN(_xlfn.IFNA(_xlfn._xlws.FILTER($L$2:$L$1553, $I$2:$I$1553=AH13),"")),NA())</f>
        <v>12.999999999999954</v>
      </c>
      <c r="AL13" s="19"/>
      <c r="AM13" s="20"/>
      <c r="AO13" s="15" t="s">
        <v>1334</v>
      </c>
      <c r="AP13" s="15">
        <v>1</v>
      </c>
      <c r="AQ13" s="15">
        <v>8.4893998615370947</v>
      </c>
      <c r="AR13" s="15">
        <v>8.4893998615370947</v>
      </c>
      <c r="AS13" s="15">
        <v>1.5901377520726515E-2</v>
      </c>
      <c r="AT13" s="15">
        <v>0.89992741311547353</v>
      </c>
    </row>
    <row r="14" spans="1:46" ht="13.8" thickBot="1" x14ac:dyDescent="0.3">
      <c r="A14" t="s">
        <v>62</v>
      </c>
      <c r="B14" t="s">
        <v>63</v>
      </c>
      <c r="C14" s="10">
        <v>-14</v>
      </c>
      <c r="D14" t="s">
        <v>64</v>
      </c>
      <c r="E14" s="2">
        <f t="shared" si="3"/>
        <v>46205</v>
      </c>
      <c r="F14" s="3">
        <f t="shared" si="4"/>
        <v>0.37013888888888885</v>
      </c>
      <c r="G14" t="s">
        <v>65</v>
      </c>
      <c r="H14" t="s">
        <v>66</v>
      </c>
      <c r="I14" t="s">
        <v>67</v>
      </c>
      <c r="J14" s="2">
        <v>46205</v>
      </c>
      <c r="K14" s="1">
        <v>0.37847222222222227</v>
      </c>
      <c r="L14" s="10">
        <f t="shared" si="5"/>
        <v>12.000000000000117</v>
      </c>
      <c r="M14" s="1" t="str">
        <f t="shared" si="6"/>
        <v>On Time</v>
      </c>
      <c r="N14" s="27" t="e">
        <f t="shared" si="0"/>
        <v>#N/A</v>
      </c>
      <c r="O14" s="3" t="s">
        <v>1385</v>
      </c>
      <c r="P14" s="20">
        <f t="shared" si="1"/>
        <v>8</v>
      </c>
      <c r="Q14" s="3" t="s">
        <v>1385</v>
      </c>
      <c r="R14" s="23" t="str">
        <f t="shared" si="2"/>
        <v>Thursday</v>
      </c>
      <c r="S14" s="3" t="s">
        <v>1385</v>
      </c>
      <c r="T14" s="23" t="s">
        <v>63</v>
      </c>
      <c r="V14" s="7" t="s">
        <v>181</v>
      </c>
      <c r="W14" s="11">
        <v>23000000</v>
      </c>
      <c r="X14" s="11">
        <v>808</v>
      </c>
      <c r="Y14" s="8">
        <v>1470</v>
      </c>
      <c r="Z14" s="9" cm="1">
        <f t="array" ref="Z14">IFERROR(MEDIAN(_xlfn.IFNA(_xlfn._xlws.FILTER($L$2:$L$1553, $H$2:$H$1553=V14),"")),NA())</f>
        <v>15.500000000000185</v>
      </c>
      <c r="AA14" s="31"/>
      <c r="AH14" s="7" t="s">
        <v>140</v>
      </c>
      <c r="AI14" s="7">
        <v>180</v>
      </c>
      <c r="AJ14" s="10" cm="1">
        <f t="array" ref="AJ14">IFERROR(MEDIAN(_xlfn.IFNA(_xlfn._xlws.FILTER($L$2:$L$1553, $I$2:$I$1553=AH14),"")),NA())</f>
        <v>6.9999999999999751</v>
      </c>
      <c r="AL14" s="19"/>
      <c r="AM14" s="25"/>
      <c r="AO14" s="15" t="s">
        <v>1335</v>
      </c>
      <c r="AP14" s="15">
        <v>92</v>
      </c>
      <c r="AQ14" s="15">
        <v>49116.800493755502</v>
      </c>
      <c r="AR14" s="15">
        <v>533.87826623647288</v>
      </c>
      <c r="AS14" s="15"/>
      <c r="AT14" s="15"/>
    </row>
    <row r="15" spans="1:46" ht="13.8" thickBot="1" x14ac:dyDescent="0.3">
      <c r="A15" t="s">
        <v>68</v>
      </c>
      <c r="B15" t="s">
        <v>69</v>
      </c>
      <c r="C15" s="10">
        <v>-5</v>
      </c>
      <c r="D15" t="s">
        <v>70</v>
      </c>
      <c r="E15" s="2">
        <f t="shared" si="3"/>
        <v>46205</v>
      </c>
      <c r="F15" s="3">
        <f t="shared" si="4"/>
        <v>0.39027777777777778</v>
      </c>
      <c r="G15" t="s">
        <v>71</v>
      </c>
      <c r="H15" t="s">
        <v>72</v>
      </c>
      <c r="I15" t="s">
        <v>73</v>
      </c>
      <c r="J15" s="2">
        <v>46205</v>
      </c>
      <c r="K15" s="1">
        <v>0.3888888888888889</v>
      </c>
      <c r="L15" s="10">
        <f t="shared" si="5"/>
        <v>-1.9999999999999929</v>
      </c>
      <c r="M15" s="1" t="str">
        <f t="shared" si="6"/>
        <v>On Time</v>
      </c>
      <c r="N15" s="27" t="str">
        <f t="shared" si="0"/>
        <v>Finnair</v>
      </c>
      <c r="O15" s="3" t="s">
        <v>1385</v>
      </c>
      <c r="P15" s="20">
        <f t="shared" si="1"/>
        <v>9</v>
      </c>
      <c r="Q15" s="3" t="s">
        <v>1385</v>
      </c>
      <c r="R15" s="23" t="str">
        <f t="shared" si="2"/>
        <v>Thursday</v>
      </c>
      <c r="S15" s="3" t="s">
        <v>1385</v>
      </c>
      <c r="T15" s="23" t="s">
        <v>69</v>
      </c>
      <c r="U15" s="3" t="s">
        <v>1385</v>
      </c>
      <c r="V15" s="7" t="s">
        <v>147</v>
      </c>
      <c r="W15" s="11">
        <v>4000000</v>
      </c>
      <c r="X15" s="11">
        <v>988</v>
      </c>
      <c r="Y15" s="7">
        <v>450</v>
      </c>
      <c r="Z15" s="9" cm="1">
        <f t="array" ref="Z15">IFERROR(MEDIAN(_xlfn.IFNA(_xlfn._xlws.FILTER($L$2:$L$1553, $H$2:$H$1553=V15),"")),NA())</f>
        <v>11.000000000000121</v>
      </c>
      <c r="AA15" s="31"/>
      <c r="AH15" s="7" t="s">
        <v>143</v>
      </c>
      <c r="AI15" s="7">
        <v>76</v>
      </c>
      <c r="AJ15" s="10" cm="1">
        <f t="array" ref="AJ15">IFERROR(MEDIAN(_xlfn.IFNA(_xlfn._xlws.FILTER($L$2:$L$1553, $I$2:$I$1553=AH15),"")),NA())</f>
        <v>0</v>
      </c>
      <c r="AL15" s="19"/>
      <c r="AM15" s="25"/>
      <c r="AO15" s="16" t="s">
        <v>1336</v>
      </c>
      <c r="AP15" s="16">
        <v>93</v>
      </c>
      <c r="AQ15" s="16">
        <v>49125.289893617039</v>
      </c>
      <c r="AR15" s="16"/>
      <c r="AS15" s="16"/>
      <c r="AT15" s="16"/>
    </row>
    <row r="16" spans="1:46" ht="13.8" thickBot="1" x14ac:dyDescent="0.3">
      <c r="A16" t="s">
        <v>74</v>
      </c>
      <c r="B16" t="s">
        <v>13</v>
      </c>
      <c r="C16" s="10">
        <v>9</v>
      </c>
      <c r="D16" t="s">
        <v>75</v>
      </c>
      <c r="E16" s="2">
        <f t="shared" si="3"/>
        <v>46205</v>
      </c>
      <c r="F16" s="3">
        <f t="shared" si="4"/>
        <v>0.3666666666666667</v>
      </c>
      <c r="G16" t="s">
        <v>76</v>
      </c>
      <c r="H16" t="s">
        <v>77</v>
      </c>
      <c r="I16" t="s">
        <v>17</v>
      </c>
      <c r="J16" s="2">
        <v>46205</v>
      </c>
      <c r="K16" s="1">
        <v>0.3888888888888889</v>
      </c>
      <c r="L16" s="10">
        <f t="shared" si="5"/>
        <v>31.999999999999964</v>
      </c>
      <c r="M16" s="1" t="str">
        <f t="shared" si="6"/>
        <v>On Time</v>
      </c>
      <c r="N16" s="27" t="str">
        <f t="shared" si="0"/>
        <v>Wizz Air</v>
      </c>
      <c r="O16" s="3" t="s">
        <v>1385</v>
      </c>
      <c r="P16" s="20">
        <f t="shared" si="1"/>
        <v>8</v>
      </c>
      <c r="Q16" s="3" t="s">
        <v>1385</v>
      </c>
      <c r="R16" s="23" t="str">
        <f t="shared" si="2"/>
        <v>Thursday</v>
      </c>
      <c r="S16" s="3" t="s">
        <v>1385</v>
      </c>
      <c r="T16" s="23" t="s">
        <v>13</v>
      </c>
      <c r="U16" s="3" t="s">
        <v>1385</v>
      </c>
      <c r="V16" s="7" t="s">
        <v>380</v>
      </c>
      <c r="W16" s="11">
        <v>4100000</v>
      </c>
      <c r="X16" s="11">
        <v>1893</v>
      </c>
      <c r="Y16" s="7">
        <v>480</v>
      </c>
      <c r="Z16" s="9" cm="1">
        <f t="array" ref="Z16">IFERROR(MEDIAN(_xlfn.IFNA(_xlfn._xlws.FILTER($L$2:$L$1553, $H$2:$H$1553=V16),"")),NA())</f>
        <v>3.0000000000001492</v>
      </c>
      <c r="AA16" s="31"/>
      <c r="AH16" s="7" t="s">
        <v>155</v>
      </c>
      <c r="AI16" s="7">
        <v>189</v>
      </c>
      <c r="AJ16" s="10" cm="1">
        <f t="array" ref="AJ16">IFERROR(MEDIAN(_xlfn.IFNA(_xlfn._xlws.FILTER($L$2:$L$1553, $I$2:$I$1553=AH16),"")),NA())</f>
        <v>5.9999999999999787</v>
      </c>
      <c r="AL16" s="19"/>
      <c r="AM16" s="25"/>
    </row>
    <row r="17" spans="1:49" ht="13.8" thickBot="1" x14ac:dyDescent="0.3">
      <c r="A17" t="s">
        <v>78</v>
      </c>
      <c r="B17" t="s">
        <v>79</v>
      </c>
      <c r="C17" s="10">
        <v>-2</v>
      </c>
      <c r="D17" t="s">
        <v>80</v>
      </c>
      <c r="E17" s="2">
        <f t="shared" si="3"/>
        <v>46205</v>
      </c>
      <c r="F17" s="3">
        <f t="shared" si="4"/>
        <v>0.3833333333333333</v>
      </c>
      <c r="G17" t="s">
        <v>81</v>
      </c>
      <c r="H17" t="s">
        <v>82</v>
      </c>
      <c r="I17" t="s">
        <v>83</v>
      </c>
      <c r="J17" s="2">
        <v>46205</v>
      </c>
      <c r="K17" s="1">
        <v>0.40972222222222227</v>
      </c>
      <c r="L17" s="10">
        <f t="shared" si="5"/>
        <v>38.000000000000107</v>
      </c>
      <c r="M17" s="1" t="str">
        <f t="shared" si="6"/>
        <v>On Time</v>
      </c>
      <c r="N17" s="27" t="e">
        <f t="shared" si="0"/>
        <v>#N/A</v>
      </c>
      <c r="O17" s="3" t="s">
        <v>1385</v>
      </c>
      <c r="P17" s="20">
        <f t="shared" si="1"/>
        <v>9</v>
      </c>
      <c r="Q17" s="3" t="s">
        <v>1385</v>
      </c>
      <c r="R17" s="23" t="str">
        <f t="shared" si="2"/>
        <v>Thursday</v>
      </c>
      <c r="S17" s="3" t="s">
        <v>1385</v>
      </c>
      <c r="T17" s="23" t="s">
        <v>79</v>
      </c>
      <c r="U17" s="3" t="s">
        <v>1385</v>
      </c>
      <c r="V17" s="7" t="s">
        <v>342</v>
      </c>
      <c r="W17" s="11">
        <v>100000</v>
      </c>
      <c r="X17" s="11">
        <v>1298</v>
      </c>
      <c r="Y17" s="7">
        <v>68</v>
      </c>
      <c r="Z17" s="9" cm="1">
        <f t="array" ref="Z17">IFERROR(MEDIAN(_xlfn.IFNA(_xlfn._xlws.FILTER($L$2:$L$1553, $H$2:$H$1553=V17),"")),NA())</f>
        <v>13.000000000000114</v>
      </c>
      <c r="AA17" s="31"/>
      <c r="AH17" s="7" t="s">
        <v>158</v>
      </c>
      <c r="AI17" s="7">
        <v>76</v>
      </c>
      <c r="AJ17" s="10" cm="1">
        <f t="array" ref="AJ17">IFERROR(MEDIAN(_xlfn.IFNA(_xlfn._xlws.FILTER($L$2:$L$1553, $I$2:$I$1553=AH17),"")),NA())</f>
        <v>3.9999999999999956</v>
      </c>
      <c r="AL17" s="19"/>
      <c r="AM17" s="25"/>
      <c r="AO17" s="17"/>
      <c r="AP17" s="17" t="s">
        <v>1343</v>
      </c>
      <c r="AQ17" s="17" t="s">
        <v>1331</v>
      </c>
      <c r="AR17" s="17" t="s">
        <v>1344</v>
      </c>
      <c r="AS17" s="17" t="s">
        <v>1345</v>
      </c>
      <c r="AT17" s="17" t="s">
        <v>1346</v>
      </c>
      <c r="AU17" s="17" t="s">
        <v>1347</v>
      </c>
      <c r="AV17" s="17" t="s">
        <v>1348</v>
      </c>
      <c r="AW17" s="17" t="s">
        <v>1349</v>
      </c>
    </row>
    <row r="18" spans="1:49" ht="13.8" thickBot="1" x14ac:dyDescent="0.3">
      <c r="A18" t="s">
        <v>84</v>
      </c>
      <c r="B18" t="s">
        <v>85</v>
      </c>
      <c r="C18" s="10">
        <v>-133</v>
      </c>
      <c r="D18" t="s">
        <v>86</v>
      </c>
      <c r="E18" s="2">
        <f t="shared" si="3"/>
        <v>46205</v>
      </c>
      <c r="F18" s="3">
        <f t="shared" si="4"/>
        <v>0.48333333333333334</v>
      </c>
      <c r="G18" t="s">
        <v>87</v>
      </c>
      <c r="H18" t="s">
        <v>88</v>
      </c>
      <c r="I18" t="s">
        <v>89</v>
      </c>
      <c r="J18" s="2">
        <v>46205</v>
      </c>
      <c r="K18" s="1">
        <v>0.41319444444444442</v>
      </c>
      <c r="L18" s="10">
        <f t="shared" si="5"/>
        <v>-101.00000000000004</v>
      </c>
      <c r="M18" s="1" t="str">
        <f>IF(L18&gt;=-15, "On Time", "Delayed")</f>
        <v>Delayed</v>
      </c>
      <c r="N18" s="27" t="str">
        <f t="shared" si="0"/>
        <v>Ryanair</v>
      </c>
      <c r="O18" s="3" t="s">
        <v>1318</v>
      </c>
      <c r="P18" s="20">
        <f t="shared" si="1"/>
        <v>11</v>
      </c>
      <c r="Q18" s="3" t="s">
        <v>1318</v>
      </c>
      <c r="R18" s="23" t="str">
        <f t="shared" si="2"/>
        <v>Thursday</v>
      </c>
      <c r="S18" s="3" t="s">
        <v>1318</v>
      </c>
      <c r="T18" s="23" t="s">
        <v>85</v>
      </c>
      <c r="U18" s="3" t="s">
        <v>1318</v>
      </c>
      <c r="V18" s="7" t="s">
        <v>1019</v>
      </c>
      <c r="W18" s="11">
        <v>1500000</v>
      </c>
      <c r="X18" s="11">
        <v>988</v>
      </c>
      <c r="Y18" s="7">
        <v>140</v>
      </c>
      <c r="Z18" s="9" cm="1">
        <f t="array" ref="Z18">IFERROR(MEDIAN(_xlfn.IFNA(_xlfn._xlws.FILTER($L$2:$L$1553, $H$2:$H$1553=V18),"")),NA())</f>
        <v>21.999999999999922</v>
      </c>
      <c r="AA18" s="31"/>
      <c r="AH18" s="7" t="s">
        <v>162</v>
      </c>
      <c r="AI18" s="7">
        <v>197</v>
      </c>
      <c r="AJ18" s="10" cm="1">
        <f t="array" ref="AJ18">IFERROR(MEDIAN(_xlfn.IFNA(_xlfn._xlws.FILTER($L$2:$L$1553, $I$2:$I$1553=AH18),"")),NA())</f>
        <v>6.9999999999999751</v>
      </c>
      <c r="AL18" s="19"/>
      <c r="AM18" s="25"/>
      <c r="AO18" s="15" t="s">
        <v>1337</v>
      </c>
      <c r="AP18" s="15">
        <v>1.636462164753002</v>
      </c>
      <c r="AQ18" s="15">
        <v>3.0376945430133575</v>
      </c>
      <c r="AR18" s="15">
        <v>0.53871847270385875</v>
      </c>
      <c r="AS18" s="15">
        <v>0.59138229216611515</v>
      </c>
      <c r="AT18" s="15">
        <v>-4.396661402202942</v>
      </c>
      <c r="AU18" s="15">
        <v>7.6695857317089464</v>
      </c>
      <c r="AV18" s="15">
        <v>-4.396661402202942</v>
      </c>
      <c r="AW18" s="15">
        <v>7.6695857317089464</v>
      </c>
    </row>
    <row r="19" spans="1:49" ht="27" thickBot="1" x14ac:dyDescent="0.3">
      <c r="A19" t="s">
        <v>90</v>
      </c>
      <c r="B19" t="s">
        <v>19</v>
      </c>
      <c r="C19" s="10">
        <v>-122</v>
      </c>
      <c r="D19" t="s">
        <v>91</v>
      </c>
      <c r="E19" s="2">
        <f t="shared" si="3"/>
        <v>46205</v>
      </c>
      <c r="F19" s="3">
        <f t="shared" si="4"/>
        <v>0.44444444444444442</v>
      </c>
      <c r="G19" t="s">
        <v>21</v>
      </c>
      <c r="H19" t="s">
        <v>22</v>
      </c>
      <c r="I19" t="s">
        <v>92</v>
      </c>
      <c r="J19" s="2">
        <v>46205</v>
      </c>
      <c r="K19" s="1">
        <v>0.4201388888888889</v>
      </c>
      <c r="L19" s="10">
        <f t="shared" si="5"/>
        <v>-34.999999999999957</v>
      </c>
      <c r="M19" s="1" t="str">
        <f t="shared" ref="M19:M82" si="7">IF(L19&gt;=-15, "On Time", "Delayed")</f>
        <v>Delayed</v>
      </c>
      <c r="N19" s="27" t="str">
        <f t="shared" si="0"/>
        <v>LOT</v>
      </c>
      <c r="O19" s="3" t="s">
        <v>1318</v>
      </c>
      <c r="P19" s="20">
        <f t="shared" si="1"/>
        <v>10</v>
      </c>
      <c r="Q19" s="3" t="s">
        <v>1318</v>
      </c>
      <c r="R19" s="23" t="str">
        <f t="shared" si="2"/>
        <v>Thursday</v>
      </c>
      <c r="S19" s="3" t="s">
        <v>1318</v>
      </c>
      <c r="T19" s="23" t="s">
        <v>19</v>
      </c>
      <c r="U19" s="3" t="s">
        <v>1318</v>
      </c>
      <c r="V19" s="7" t="s">
        <v>244</v>
      </c>
      <c r="W19" s="11">
        <v>14600000</v>
      </c>
      <c r="X19" s="11">
        <v>929</v>
      </c>
      <c r="Y19" s="8">
        <v>1200</v>
      </c>
      <c r="Z19" s="9" cm="1">
        <f t="array" ref="Z19">IFERROR(MEDIAN(_xlfn.IFNA(_xlfn._xlws.FILTER($L$2:$L$1553, $H$2:$H$1553=V19),"")),NA())</f>
        <v>-51.999999999999972</v>
      </c>
      <c r="AA19" s="31"/>
      <c r="AH19" s="7" t="s">
        <v>174</v>
      </c>
      <c r="AI19" s="7">
        <v>5</v>
      </c>
      <c r="AJ19" s="10" cm="1">
        <f t="array" ref="AJ19">IFERROR(MEDIAN(_xlfn.IFNA(_xlfn._xlws.FILTER($L$2:$L$1553, $I$2:$I$1553=AH19),"")),NA())</f>
        <v>-0.99999999999983658</v>
      </c>
      <c r="AL19" s="19"/>
      <c r="AM19" s="25"/>
      <c r="AO19" s="16" t="s">
        <v>1350</v>
      </c>
      <c r="AP19" s="16">
        <v>-1.8808234693315341E-8</v>
      </c>
      <c r="AQ19" s="16">
        <v>1.4915254259188351E-7</v>
      </c>
      <c r="AR19" s="16">
        <v>-0.12610066423593663</v>
      </c>
      <c r="AS19" s="16">
        <v>0.89992741311541757</v>
      </c>
      <c r="AT19" s="16">
        <v>-3.1503805867352581E-7</v>
      </c>
      <c r="AU19" s="16">
        <v>2.7742158928689509E-7</v>
      </c>
      <c r="AV19" s="16">
        <v>-3.1503805867352581E-7</v>
      </c>
      <c r="AW19" s="16">
        <v>2.7742158928689509E-7</v>
      </c>
    </row>
    <row r="20" spans="1:49" ht="13.8" thickBot="1" x14ac:dyDescent="0.3">
      <c r="A20" t="s">
        <v>93</v>
      </c>
      <c r="B20" t="s">
        <v>7</v>
      </c>
      <c r="C20" s="10">
        <v>-63</v>
      </c>
      <c r="D20" t="s">
        <v>94</v>
      </c>
      <c r="E20" s="2">
        <f t="shared" si="3"/>
        <v>46205</v>
      </c>
      <c r="F20" s="3">
        <f t="shared" si="4"/>
        <v>0.48125000000000001</v>
      </c>
      <c r="G20" t="s">
        <v>76</v>
      </c>
      <c r="H20" t="s">
        <v>77</v>
      </c>
      <c r="I20" t="s">
        <v>11</v>
      </c>
      <c r="J20" s="2">
        <v>46205</v>
      </c>
      <c r="K20" s="1">
        <v>0.44791666666666669</v>
      </c>
      <c r="L20" s="10">
        <f t="shared" si="5"/>
        <v>-47.999999999999986</v>
      </c>
      <c r="M20" s="1" t="str">
        <f t="shared" si="7"/>
        <v>Delayed</v>
      </c>
      <c r="N20" s="27" t="str">
        <f t="shared" si="0"/>
        <v>airBaltic</v>
      </c>
      <c r="O20" s="3" t="s">
        <v>1318</v>
      </c>
      <c r="P20" s="20">
        <f t="shared" si="1"/>
        <v>11</v>
      </c>
      <c r="Q20" s="3" t="s">
        <v>1318</v>
      </c>
      <c r="R20" s="23" t="str">
        <f t="shared" si="2"/>
        <v>Thursday</v>
      </c>
      <c r="S20" s="3" t="s">
        <v>1318</v>
      </c>
      <c r="T20" s="23" t="s">
        <v>7</v>
      </c>
      <c r="U20" s="3" t="s">
        <v>1318</v>
      </c>
      <c r="V20" s="7" t="s">
        <v>330</v>
      </c>
      <c r="W20" s="11">
        <v>14700000</v>
      </c>
      <c r="X20" s="11">
        <v>916</v>
      </c>
      <c r="Y20" s="8">
        <v>1515</v>
      </c>
      <c r="Z20" s="9" cm="1">
        <f t="array" ref="Z20">IFERROR(MEDIAN(_xlfn.IFNA(_xlfn._xlws.FILTER($L$2:$L$1553, $H$2:$H$1553=V20),"")),NA())</f>
        <v>15.000000000000107</v>
      </c>
      <c r="AA20" s="31"/>
      <c r="AH20" s="7" t="s">
        <v>177</v>
      </c>
      <c r="AI20" s="7">
        <v>76</v>
      </c>
      <c r="AJ20" s="10" cm="1">
        <f t="array" ref="AJ20">IFERROR(MEDIAN(_xlfn.IFNA(_xlfn._xlws.FILTER($L$2:$L$1553, $I$2:$I$1553=AH20),"")),NA())</f>
        <v>0.99999999999983658</v>
      </c>
      <c r="AL20" s="19"/>
      <c r="AM20" s="25"/>
    </row>
    <row r="21" spans="1:49" ht="13.8" thickBot="1" x14ac:dyDescent="0.3">
      <c r="A21" t="s">
        <v>95</v>
      </c>
      <c r="B21" t="s">
        <v>96</v>
      </c>
      <c r="C21" s="10">
        <v>-18</v>
      </c>
      <c r="D21" t="s">
        <v>97</v>
      </c>
      <c r="E21" s="2">
        <f t="shared" si="3"/>
        <v>46205</v>
      </c>
      <c r="F21" s="3">
        <f t="shared" si="4"/>
        <v>0.43194444444444446</v>
      </c>
      <c r="G21" t="s">
        <v>98</v>
      </c>
      <c r="H21" t="s">
        <v>99</v>
      </c>
      <c r="I21" t="s">
        <v>17</v>
      </c>
      <c r="J21" s="2">
        <v>46205</v>
      </c>
      <c r="K21" s="1">
        <v>0.44791666666666669</v>
      </c>
      <c r="L21" s="10">
        <f t="shared" si="5"/>
        <v>23</v>
      </c>
      <c r="M21" s="1" t="str">
        <f t="shared" si="7"/>
        <v>On Time</v>
      </c>
      <c r="N21" s="27" t="str">
        <f t="shared" si="0"/>
        <v>Turkish Airlines</v>
      </c>
      <c r="O21" s="3" t="s">
        <v>1385</v>
      </c>
      <c r="P21" s="20">
        <f t="shared" si="1"/>
        <v>10</v>
      </c>
      <c r="Q21" s="3" t="s">
        <v>1385</v>
      </c>
      <c r="R21" s="23" t="str">
        <f t="shared" si="2"/>
        <v>Thursday</v>
      </c>
      <c r="S21" s="3" t="s">
        <v>1385</v>
      </c>
      <c r="T21" s="23" t="s">
        <v>96</v>
      </c>
      <c r="U21" s="3" t="s">
        <v>1385</v>
      </c>
      <c r="V21" s="7" t="s">
        <v>223</v>
      </c>
      <c r="W21" s="11">
        <v>1800000</v>
      </c>
      <c r="X21" s="11">
        <v>1289</v>
      </c>
      <c r="Y21" s="7">
        <v>250</v>
      </c>
      <c r="Z21" s="9" cm="1">
        <f t="array" ref="Z21">IFERROR(MEDIAN(_xlfn.IFNA(_xlfn._xlws.FILTER($L$2:$L$1553, $H$2:$H$1553=V21),"")),NA())</f>
        <v>14.999999999999947</v>
      </c>
      <c r="AA21" s="31"/>
      <c r="AH21" s="7" t="s">
        <v>188</v>
      </c>
      <c r="AI21" s="7">
        <v>178</v>
      </c>
      <c r="AJ21" s="10" cm="1">
        <f t="array" ref="AJ21">IFERROR(MEDIAN(_xlfn.IFNA(_xlfn._xlws.FILTER($L$2:$L$1553, $I$2:$I$1553=AH21),"")),NA())</f>
        <v>0</v>
      </c>
      <c r="AL21" s="19"/>
      <c r="AM21" s="25"/>
    </row>
    <row r="22" spans="1:49" ht="13.8" thickBot="1" x14ac:dyDescent="0.3">
      <c r="A22" t="s">
        <v>100</v>
      </c>
      <c r="B22" t="s">
        <v>85</v>
      </c>
      <c r="C22" s="10">
        <v>-20</v>
      </c>
      <c r="D22" t="s">
        <v>101</v>
      </c>
      <c r="E22" s="2">
        <f t="shared" si="3"/>
        <v>46205</v>
      </c>
      <c r="F22" s="3">
        <f t="shared" si="4"/>
        <v>0.49236111111111108</v>
      </c>
      <c r="G22" t="s">
        <v>102</v>
      </c>
      <c r="H22" t="s">
        <v>103</v>
      </c>
      <c r="I22" t="s">
        <v>89</v>
      </c>
      <c r="J22" s="2">
        <v>46205</v>
      </c>
      <c r="K22" s="1">
        <v>0.5</v>
      </c>
      <c r="L22" s="10">
        <f t="shared" si="5"/>
        <v>11.000000000000041</v>
      </c>
      <c r="M22" s="1" t="str">
        <f t="shared" si="7"/>
        <v>On Time</v>
      </c>
      <c r="N22" s="27" t="str">
        <f t="shared" si="0"/>
        <v>Ryanair</v>
      </c>
      <c r="O22" s="3" t="s">
        <v>1385</v>
      </c>
      <c r="P22" s="20">
        <f t="shared" si="1"/>
        <v>11</v>
      </c>
      <c r="Q22" s="3" t="s">
        <v>1385</v>
      </c>
      <c r="R22" s="23" t="str">
        <f t="shared" si="2"/>
        <v>Thursday</v>
      </c>
      <c r="S22" s="3" t="s">
        <v>1385</v>
      </c>
      <c r="T22" s="23" t="s">
        <v>85</v>
      </c>
      <c r="U22" s="3" t="s">
        <v>1385</v>
      </c>
      <c r="V22" s="7" t="s">
        <v>1249</v>
      </c>
      <c r="W22" s="9" t="e" cm="1">
        <f t="array" ref="W22">IFERROR(MEDIAN(_xlfn.IFNA(_xlfn._xlws.FILTER(#REF!, $H$2:$H$1553=T22),"")),NA())</f>
        <v>#N/A</v>
      </c>
      <c r="X22" s="11">
        <v>1811</v>
      </c>
      <c r="Y22" s="7">
        <v>115</v>
      </c>
      <c r="Z22" s="9" cm="1">
        <f t="array" ref="Z22">IFERROR(MEDIAN(_xlfn.IFNA(_xlfn._xlws.FILTER($L$2:$L$1553, $H$2:$H$1553=V22),"")),NA())</f>
        <v>-39.000000000000021</v>
      </c>
      <c r="AA22" s="31"/>
      <c r="AH22" s="7" t="s">
        <v>210</v>
      </c>
      <c r="AI22" s="7">
        <v>220</v>
      </c>
      <c r="AJ22" s="10" cm="1">
        <f t="array" ref="AJ22">IFERROR(MEDIAN(_xlfn.IFNA(_xlfn._xlws.FILTER($L$2:$L$1553, $I$2:$I$1553=AH22),"")),NA())</f>
        <v>5.9999999999999787</v>
      </c>
      <c r="AL22" s="19"/>
      <c r="AM22" s="25"/>
      <c r="AO22" t="s">
        <v>1387</v>
      </c>
    </row>
    <row r="23" spans="1:49" ht="13.8" thickBot="1" x14ac:dyDescent="0.3">
      <c r="A23" t="s">
        <v>104</v>
      </c>
      <c r="B23" t="s">
        <v>85</v>
      </c>
      <c r="C23" s="10">
        <v>-4</v>
      </c>
      <c r="D23" t="s">
        <v>105</v>
      </c>
      <c r="E23" s="2">
        <f t="shared" si="3"/>
        <v>46205</v>
      </c>
      <c r="F23" s="3">
        <f t="shared" si="4"/>
        <v>0.50208333333333333</v>
      </c>
      <c r="G23" t="s">
        <v>106</v>
      </c>
      <c r="H23" t="s">
        <v>107</v>
      </c>
      <c r="I23" t="s">
        <v>89</v>
      </c>
      <c r="J23" s="2">
        <v>46205</v>
      </c>
      <c r="K23" s="1">
        <v>0.52430555555555558</v>
      </c>
      <c r="L23" s="10">
        <f t="shared" si="5"/>
        <v>32.000000000000043</v>
      </c>
      <c r="M23" s="1" t="str">
        <f t="shared" si="7"/>
        <v>On Time</v>
      </c>
      <c r="N23" s="27" t="str">
        <f t="shared" si="0"/>
        <v>Ryanair</v>
      </c>
      <c r="O23" s="3" t="s">
        <v>1385</v>
      </c>
      <c r="P23" s="20">
        <f t="shared" si="1"/>
        <v>12</v>
      </c>
      <c r="Q23" s="3" t="s">
        <v>1385</v>
      </c>
      <c r="R23" s="23" t="str">
        <f t="shared" si="2"/>
        <v>Thursday</v>
      </c>
      <c r="S23" s="3" t="s">
        <v>1385</v>
      </c>
      <c r="T23" s="23" t="s">
        <v>85</v>
      </c>
      <c r="U23" s="3" t="s">
        <v>1385</v>
      </c>
      <c r="V23" s="7" t="s">
        <v>425</v>
      </c>
      <c r="W23" s="11">
        <v>10700000</v>
      </c>
      <c r="X23" s="11">
        <v>1939</v>
      </c>
      <c r="Y23" s="7">
        <v>220</v>
      </c>
      <c r="Z23" s="9" cm="1">
        <f t="array" ref="Z23">IFERROR(MEDIAN(_xlfn.IFNA(_xlfn._xlws.FILTER($L$2:$L$1553, $H$2:$H$1553=V23),"")),NA())</f>
        <v>13.000000000000032</v>
      </c>
      <c r="AA23" s="31"/>
      <c r="AH23" s="7" t="s">
        <v>237</v>
      </c>
      <c r="AI23" s="7">
        <v>100</v>
      </c>
      <c r="AJ23" s="10" cm="1">
        <f t="array" ref="AJ23">IFERROR(MEDIAN(_xlfn.IFNA(_xlfn._xlws.FILTER($L$2:$L$1553, $I$2:$I$1553=AH23),"")),NA())</f>
        <v>-3.9999999999999858</v>
      </c>
      <c r="AL23" s="19"/>
      <c r="AM23" s="25"/>
    </row>
    <row r="24" spans="1:49" ht="13.8" thickBot="1" x14ac:dyDescent="0.3">
      <c r="A24" t="s">
        <v>108</v>
      </c>
      <c r="B24" t="s">
        <v>190</v>
      </c>
      <c r="C24" s="10">
        <v>-61</v>
      </c>
      <c r="D24" t="s">
        <v>109</v>
      </c>
      <c r="E24" s="2">
        <f t="shared" si="3"/>
        <v>46205</v>
      </c>
      <c r="F24" s="3">
        <f t="shared" si="4"/>
        <v>0.55208333333333337</v>
      </c>
      <c r="G24" t="s">
        <v>110</v>
      </c>
      <c r="H24" t="s">
        <v>111</v>
      </c>
      <c r="I24" t="s">
        <v>112</v>
      </c>
      <c r="J24" s="2">
        <v>46205</v>
      </c>
      <c r="K24" s="1">
        <v>0.52777777777777779</v>
      </c>
      <c r="L24" s="10">
        <f t="shared" si="5"/>
        <v>-35.000000000000036</v>
      </c>
      <c r="M24" s="1" t="str">
        <f t="shared" si="7"/>
        <v>Delayed</v>
      </c>
      <c r="N24" s="27" t="str">
        <f t="shared" si="0"/>
        <v>Lufthansa</v>
      </c>
      <c r="O24" s="3" t="s">
        <v>1318</v>
      </c>
      <c r="P24" s="20">
        <f t="shared" si="1"/>
        <v>13</v>
      </c>
      <c r="Q24" s="3" t="s">
        <v>1318</v>
      </c>
      <c r="R24" s="23" t="str">
        <f t="shared" si="2"/>
        <v>Thursday</v>
      </c>
      <c r="S24" s="3" t="s">
        <v>1318</v>
      </c>
      <c r="T24" s="23" t="s">
        <v>190</v>
      </c>
      <c r="U24" s="3" t="s">
        <v>1318</v>
      </c>
      <c r="V24" s="7" t="s">
        <v>1101</v>
      </c>
      <c r="W24" s="11">
        <v>9800000</v>
      </c>
      <c r="X24" s="11">
        <v>1228</v>
      </c>
      <c r="Y24" s="8">
        <v>1000</v>
      </c>
      <c r="Z24" s="9" t="e" cm="1">
        <f t="array" ref="Z24">IFERROR(MEDIAN(_xlfn.IFNA(_xlfn._xlws.FILTER($L$2:$L$1553, $H$2:$H$1553=V24),"")),NA())</f>
        <v>#N/A</v>
      </c>
      <c r="AA24" s="31"/>
      <c r="AH24" s="7" t="s">
        <v>249</v>
      </c>
      <c r="AI24" s="7">
        <v>189</v>
      </c>
      <c r="AJ24" s="10" cm="1">
        <f t="array" ref="AJ24">IFERROR(MEDIAN(_xlfn.IFNA(_xlfn._xlws.FILTER($L$2:$L$1553, $I$2:$I$1553=AH24),"")),NA())</f>
        <v>5.0000000000000817</v>
      </c>
      <c r="AL24" s="19"/>
      <c r="AM24" s="25"/>
      <c r="AO24" s="18" t="s">
        <v>1327</v>
      </c>
      <c r="AP24" s="18"/>
    </row>
    <row r="25" spans="1:49" ht="13.8" thickBot="1" x14ac:dyDescent="0.3">
      <c r="A25" t="s">
        <v>113</v>
      </c>
      <c r="B25" t="s">
        <v>13</v>
      </c>
      <c r="C25" s="10">
        <v>-10</v>
      </c>
      <c r="D25" t="s">
        <v>114</v>
      </c>
      <c r="E25" s="2">
        <f t="shared" si="3"/>
        <v>46205</v>
      </c>
      <c r="F25" s="3">
        <f t="shared" si="4"/>
        <v>0.52013888888888882</v>
      </c>
      <c r="G25" t="s">
        <v>102</v>
      </c>
      <c r="H25" t="s">
        <v>115</v>
      </c>
      <c r="I25" t="s">
        <v>17</v>
      </c>
      <c r="J25" s="2">
        <v>46205</v>
      </c>
      <c r="K25" s="1">
        <v>0.53472222222222221</v>
      </c>
      <c r="L25" s="10">
        <f t="shared" si="5"/>
        <v>21.000000000000085</v>
      </c>
      <c r="M25" s="1" t="str">
        <f t="shared" si="7"/>
        <v>On Time</v>
      </c>
      <c r="N25" s="27" t="str">
        <f t="shared" si="0"/>
        <v>Wizz Air</v>
      </c>
      <c r="O25" s="3" t="s">
        <v>1385</v>
      </c>
      <c r="P25" s="20">
        <f t="shared" si="1"/>
        <v>12</v>
      </c>
      <c r="Q25" s="3" t="s">
        <v>1385</v>
      </c>
      <c r="R25" s="23" t="str">
        <f t="shared" si="2"/>
        <v>Thursday</v>
      </c>
      <c r="S25" s="3" t="s">
        <v>1385</v>
      </c>
      <c r="T25" s="23" t="s">
        <v>13</v>
      </c>
      <c r="U25" s="3" t="s">
        <v>1385</v>
      </c>
      <c r="V25" s="7" t="s">
        <v>44</v>
      </c>
      <c r="W25" s="11">
        <v>26800000</v>
      </c>
      <c r="X25" s="11">
        <v>811</v>
      </c>
      <c r="Y25" s="8">
        <v>1100</v>
      </c>
      <c r="Z25" s="9" cm="1">
        <f t="array" ref="Z25">IFERROR(MEDIAN(_xlfn.IFNA(_xlfn._xlws.FILTER($L$2:$L$1553, $H$2:$H$1553=V25),"")),NA())</f>
        <v>3.9999999999999956</v>
      </c>
      <c r="AA25" s="31"/>
      <c r="AH25" s="7" t="s">
        <v>260</v>
      </c>
      <c r="AI25" s="7">
        <v>220</v>
      </c>
      <c r="AJ25" s="10" cm="1">
        <f t="array" ref="AJ25">IFERROR(MEDIAN(_xlfn.IFNA(_xlfn._xlws.FILTER($L$2:$L$1553, $I$2:$I$1553=AH25),"")),NA())</f>
        <v>1.9999999999999929</v>
      </c>
      <c r="AL25" s="19"/>
      <c r="AM25" s="25"/>
      <c r="AO25" s="15" t="s">
        <v>1328</v>
      </c>
      <c r="AP25" s="15">
        <v>0.14835140419966164</v>
      </c>
    </row>
    <row r="26" spans="1:49" ht="13.8" thickBot="1" x14ac:dyDescent="0.3">
      <c r="A26" t="s">
        <v>116</v>
      </c>
      <c r="B26" t="s">
        <v>117</v>
      </c>
      <c r="C26" s="10">
        <v>-9</v>
      </c>
      <c r="D26" t="s">
        <v>118</v>
      </c>
      <c r="E26" s="2">
        <f t="shared" si="3"/>
        <v>46205</v>
      </c>
      <c r="F26" s="3">
        <f t="shared" si="4"/>
        <v>0.52569444444444446</v>
      </c>
      <c r="G26" t="s">
        <v>119</v>
      </c>
      <c r="H26" t="s">
        <v>120</v>
      </c>
      <c r="I26" t="s">
        <v>67</v>
      </c>
      <c r="J26" s="2">
        <v>46205</v>
      </c>
      <c r="K26" s="1">
        <v>0.53819444444444442</v>
      </c>
      <c r="L26" s="10">
        <f t="shared" si="5"/>
        <v>17.999999999999936</v>
      </c>
      <c r="M26" s="1" t="str">
        <f t="shared" si="7"/>
        <v>On Time</v>
      </c>
      <c r="N26" s="27" t="str">
        <f t="shared" si="0"/>
        <v>Heston Airlines</v>
      </c>
      <c r="O26" s="3" t="s">
        <v>1385</v>
      </c>
      <c r="P26" s="20">
        <f t="shared" si="1"/>
        <v>12</v>
      </c>
      <c r="Q26" s="3" t="s">
        <v>1385</v>
      </c>
      <c r="R26" s="23" t="str">
        <f t="shared" si="2"/>
        <v>Thursday</v>
      </c>
      <c r="S26" s="3" t="s">
        <v>1385</v>
      </c>
      <c r="T26" s="23" t="s">
        <v>117</v>
      </c>
      <c r="U26" s="3" t="s">
        <v>1385</v>
      </c>
      <c r="V26" s="7" t="s">
        <v>88</v>
      </c>
      <c r="W26" s="11">
        <v>3800000</v>
      </c>
      <c r="X26" s="11">
        <v>1684</v>
      </c>
      <c r="Y26" s="7">
        <v>80</v>
      </c>
      <c r="Z26" s="9" cm="1">
        <f t="array" ref="Z26">IFERROR(MEDIAN(_xlfn.IFNA(_xlfn._xlws.FILTER($L$2:$L$1553, $H$2:$H$1553=V26),"")),NA())</f>
        <v>7.4999999999999734</v>
      </c>
      <c r="AA26" s="31"/>
      <c r="AH26" s="7" t="s">
        <v>276</v>
      </c>
      <c r="AI26" s="7">
        <v>118</v>
      </c>
      <c r="AJ26" s="10" cm="1">
        <f t="array" ref="AJ26">IFERROR(MEDIAN(_xlfn.IFNA(_xlfn._xlws.FILTER($L$2:$L$1553, $I$2:$I$1553=AH26),"")),NA())</f>
        <v>-7.0000000000000551</v>
      </c>
      <c r="AL26" s="19"/>
      <c r="AM26" s="25"/>
      <c r="AO26" s="15" t="s">
        <v>1329</v>
      </c>
      <c r="AP26" s="15">
        <v>2.2008139128011386E-2</v>
      </c>
    </row>
    <row r="27" spans="1:49" ht="13.8" thickBot="1" x14ac:dyDescent="0.3">
      <c r="A27" t="s">
        <v>121</v>
      </c>
      <c r="B27" t="s">
        <v>69</v>
      </c>
      <c r="C27" s="10">
        <v>-6</v>
      </c>
      <c r="D27" t="s">
        <v>122</v>
      </c>
      <c r="E27" s="2">
        <f t="shared" si="3"/>
        <v>46205</v>
      </c>
      <c r="F27" s="3">
        <f t="shared" si="4"/>
        <v>0.55625000000000002</v>
      </c>
      <c r="G27" t="s">
        <v>71</v>
      </c>
      <c r="H27" t="s">
        <v>72</v>
      </c>
      <c r="I27" t="s">
        <v>73</v>
      </c>
      <c r="J27" s="2">
        <v>46205</v>
      </c>
      <c r="K27" s="1">
        <v>0.54166666666666663</v>
      </c>
      <c r="L27" s="10">
        <f t="shared" si="5"/>
        <v>-21.000000000000085</v>
      </c>
      <c r="M27" s="1" t="str">
        <f t="shared" si="7"/>
        <v>Delayed</v>
      </c>
      <c r="N27" s="27" t="str">
        <f t="shared" si="0"/>
        <v>Finnair</v>
      </c>
      <c r="O27" s="3" t="s">
        <v>1318</v>
      </c>
      <c r="P27" s="20">
        <f t="shared" si="1"/>
        <v>13</v>
      </c>
      <c r="Q27" s="3" t="s">
        <v>1318</v>
      </c>
      <c r="R27" s="23" t="str">
        <f t="shared" si="2"/>
        <v>Thursday</v>
      </c>
      <c r="S27" s="3" t="s">
        <v>1318</v>
      </c>
      <c r="T27" s="23" t="s">
        <v>69</v>
      </c>
      <c r="U27" s="3" t="s">
        <v>1318</v>
      </c>
      <c r="V27" s="7" t="s">
        <v>218</v>
      </c>
      <c r="W27" s="11">
        <v>3100000</v>
      </c>
      <c r="X27" s="11">
        <v>1180</v>
      </c>
      <c r="Y27" s="7">
        <v>126</v>
      </c>
      <c r="Z27" s="9" cm="1">
        <f t="array" ref="Z27">IFERROR(MEDIAN(_xlfn.IFNA(_xlfn._xlws.FILTER($L$2:$L$1553, $H$2:$H$1553=V27),"")),NA())</f>
        <v>12.499999999999876</v>
      </c>
      <c r="AA27" s="31"/>
      <c r="AH27" s="7" t="s">
        <v>282</v>
      </c>
      <c r="AI27" s="7">
        <v>220</v>
      </c>
      <c r="AJ27" s="10" cm="1">
        <f t="array" ref="AJ27">IFERROR(MEDIAN(_xlfn.IFNA(_xlfn._xlws.FILTER($L$2:$L$1553, $I$2:$I$1553=AH27),"")),NA())</f>
        <v>-25.999999999999986</v>
      </c>
      <c r="AL27" s="19"/>
      <c r="AM27" s="25"/>
      <c r="AO27" s="15" t="s">
        <v>1330</v>
      </c>
      <c r="AP27" s="15">
        <v>1.2228220519291502E-2</v>
      </c>
    </row>
    <row r="28" spans="1:49" ht="13.8" thickBot="1" x14ac:dyDescent="0.3">
      <c r="A28" t="s">
        <v>123</v>
      </c>
      <c r="B28" t="s">
        <v>124</v>
      </c>
      <c r="D28" t="s">
        <v>125</v>
      </c>
      <c r="E28" s="2">
        <f t="shared" si="3"/>
        <v>46205</v>
      </c>
      <c r="F28" s="3">
        <f t="shared" si="4"/>
        <v>0.55277777777777781</v>
      </c>
      <c r="G28" t="s">
        <v>119</v>
      </c>
      <c r="H28" t="s">
        <v>120</v>
      </c>
      <c r="I28" t="s">
        <v>126</v>
      </c>
      <c r="J28" s="2">
        <v>46205</v>
      </c>
      <c r="K28" s="1">
        <v>0.55069444444444449</v>
      </c>
      <c r="L28" s="10">
        <f t="shared" si="5"/>
        <v>-2.9999999999999893</v>
      </c>
      <c r="M28" s="1" t="str">
        <f t="shared" si="7"/>
        <v>On Time</v>
      </c>
      <c r="N28" s="27" t="str">
        <f t="shared" si="0"/>
        <v>GetJet Airlines</v>
      </c>
      <c r="O28" s="3" t="s">
        <v>1385</v>
      </c>
      <c r="P28" s="20">
        <f t="shared" si="1"/>
        <v>13</v>
      </c>
      <c r="Q28" s="3" t="s">
        <v>1385</v>
      </c>
      <c r="R28" s="23" t="str">
        <f t="shared" si="2"/>
        <v>Thursday</v>
      </c>
      <c r="S28" s="3" t="s">
        <v>1385</v>
      </c>
      <c r="T28" s="23" t="s">
        <v>124</v>
      </c>
      <c r="U28" s="3" t="s">
        <v>1385</v>
      </c>
      <c r="V28" s="7" t="s">
        <v>324</v>
      </c>
      <c r="W28" s="11">
        <v>32000000</v>
      </c>
      <c r="X28" s="11">
        <v>1968</v>
      </c>
      <c r="Y28" s="7">
        <v>670</v>
      </c>
      <c r="Z28" s="9" cm="1">
        <f t="array" ref="Z28">IFERROR(MEDIAN(_xlfn.IFNA(_xlfn._xlws.FILTER($L$2:$L$1553, $H$2:$H$1553=V28),"")),NA())</f>
        <v>10.999999999999961</v>
      </c>
      <c r="AA28" s="31"/>
      <c r="AH28" s="7" t="s">
        <v>295</v>
      </c>
      <c r="AI28" s="7">
        <v>100</v>
      </c>
      <c r="AJ28" s="10" cm="1">
        <f t="array" ref="AJ28">IFERROR(MEDIAN(_xlfn.IFNA(_xlfn._xlws.FILTER($L$2:$L$1553, $I$2:$I$1553=AH28),"")),NA())</f>
        <v>1.4999999999999147</v>
      </c>
      <c r="AL28" s="19"/>
      <c r="AM28" s="25"/>
      <c r="AO28" s="15" t="s">
        <v>1331</v>
      </c>
      <c r="AP28" s="15">
        <v>24.224509846192603</v>
      </c>
    </row>
    <row r="29" spans="1:49" ht="13.8" thickBot="1" x14ac:dyDescent="0.3">
      <c r="A29" t="s">
        <v>127</v>
      </c>
      <c r="B29" t="s">
        <v>85</v>
      </c>
      <c r="C29" s="10">
        <v>-12</v>
      </c>
      <c r="D29" t="s">
        <v>128</v>
      </c>
      <c r="E29" s="2">
        <f t="shared" si="3"/>
        <v>46205</v>
      </c>
      <c r="F29" s="3">
        <f t="shared" si="4"/>
        <v>0.54583333333333328</v>
      </c>
      <c r="G29" t="s">
        <v>129</v>
      </c>
      <c r="H29" t="s">
        <v>130</v>
      </c>
      <c r="I29" t="s">
        <v>89</v>
      </c>
      <c r="J29" s="2">
        <v>46205</v>
      </c>
      <c r="K29" s="1">
        <v>0.55555555555555558</v>
      </c>
      <c r="L29" s="10">
        <f t="shared" si="5"/>
        <v>14.00000000000011</v>
      </c>
      <c r="M29" s="1" t="str">
        <f t="shared" si="7"/>
        <v>On Time</v>
      </c>
      <c r="N29" s="27" t="str">
        <f t="shared" si="0"/>
        <v>Ryanair</v>
      </c>
      <c r="O29" s="3" t="s">
        <v>1385</v>
      </c>
      <c r="P29" s="20">
        <f t="shared" si="1"/>
        <v>13</v>
      </c>
      <c r="Q29" s="3" t="s">
        <v>1385</v>
      </c>
      <c r="R29" s="23" t="str">
        <f t="shared" si="2"/>
        <v>Thursday</v>
      </c>
      <c r="S29" s="3" t="s">
        <v>1385</v>
      </c>
      <c r="T29" s="23" t="s">
        <v>85</v>
      </c>
      <c r="U29" s="3" t="s">
        <v>1385</v>
      </c>
      <c r="V29" s="7" t="s">
        <v>207</v>
      </c>
      <c r="W29" s="11">
        <v>19100000</v>
      </c>
      <c r="X29" s="11">
        <v>1234</v>
      </c>
      <c r="Y29" s="7">
        <v>613</v>
      </c>
      <c r="Z29" s="9" cm="1">
        <f t="array" ref="Z29">IFERROR(MEDIAN(_xlfn.IFNA(_xlfn._xlws.FILTER($L$2:$L$1553, $H$2:$H$1553=V29),"")),NA())</f>
        <v>-5.0000000000001421</v>
      </c>
      <c r="AA29" s="31"/>
      <c r="AH29" s="7" t="s">
        <v>301</v>
      </c>
      <c r="AI29" s="7">
        <v>3</v>
      </c>
      <c r="AJ29" s="10" cm="1">
        <f t="array" ref="AJ29">IFERROR(MEDIAN(_xlfn.IFNA(_xlfn._xlws.FILTER($L$2:$L$1553, $I$2:$I$1553=AH29),"")),NA())</f>
        <v>-10.999999999999961</v>
      </c>
      <c r="AL29" s="19"/>
      <c r="AM29" s="25"/>
      <c r="AO29" s="16" t="s">
        <v>1332</v>
      </c>
      <c r="AP29" s="16">
        <v>102</v>
      </c>
    </row>
    <row r="30" spans="1:49" ht="13.8" thickBot="1" x14ac:dyDescent="0.3">
      <c r="A30" t="s">
        <v>131</v>
      </c>
      <c r="B30" t="s">
        <v>7</v>
      </c>
      <c r="C30" s="10">
        <v>-10</v>
      </c>
      <c r="D30" t="s">
        <v>132</v>
      </c>
      <c r="E30" s="2">
        <f t="shared" si="3"/>
        <v>46205</v>
      </c>
      <c r="F30" s="3">
        <f t="shared" si="4"/>
        <v>0.54305555555555551</v>
      </c>
      <c r="G30" t="s">
        <v>38</v>
      </c>
      <c r="H30" t="s">
        <v>39</v>
      </c>
      <c r="I30" t="s">
        <v>11</v>
      </c>
      <c r="J30" s="2">
        <v>46205</v>
      </c>
      <c r="K30" s="1">
        <v>0.55902777777777779</v>
      </c>
      <c r="L30" s="10">
        <f t="shared" si="5"/>
        <v>23.000000000000078</v>
      </c>
      <c r="M30" s="1" t="str">
        <f t="shared" si="7"/>
        <v>On Time</v>
      </c>
      <c r="N30" s="27" t="str">
        <f t="shared" si="0"/>
        <v>airBaltic</v>
      </c>
      <c r="O30" s="3" t="s">
        <v>1385</v>
      </c>
      <c r="P30" s="20">
        <f t="shared" si="1"/>
        <v>13</v>
      </c>
      <c r="Q30" s="3" t="s">
        <v>1385</v>
      </c>
      <c r="R30" s="23" t="str">
        <f t="shared" si="2"/>
        <v>Thursday</v>
      </c>
      <c r="S30" s="3" t="s">
        <v>1385</v>
      </c>
      <c r="T30" s="23" t="s">
        <v>7</v>
      </c>
      <c r="U30" s="3" t="s">
        <v>1385</v>
      </c>
      <c r="V30" s="7" t="s">
        <v>801</v>
      </c>
      <c r="W30" s="9" t="e" cm="1">
        <f t="array" ref="W30">IFERROR(MEDIAN(_xlfn.IFNA(_xlfn._xlws.FILTER(#REF!, $H$2:$H$1553=T30),"")),NA())</f>
        <v>#N/A</v>
      </c>
      <c r="X30" s="11">
        <v>1250</v>
      </c>
      <c r="Y30" s="7">
        <v>120</v>
      </c>
      <c r="Z30" s="9" cm="1">
        <f t="array" ref="Z30">IFERROR(MEDIAN(_xlfn.IFNA(_xlfn._xlws.FILTER($L$2:$L$1553, $H$2:$H$1553=V30),"")),NA())</f>
        <v>-16.99999999999994</v>
      </c>
      <c r="AA30" s="31"/>
      <c r="AH30" s="7" t="s">
        <v>303</v>
      </c>
      <c r="AI30" s="7">
        <v>100</v>
      </c>
      <c r="AJ30" s="10" cm="1">
        <f t="array" ref="AJ30">IFERROR(MEDIAN(_xlfn.IFNA(_xlfn._xlws.FILTER($L$2:$L$1553, $I$2:$I$1553=AH30),"")),NA())</f>
        <v>-3.0000000000001492</v>
      </c>
      <c r="AL30" s="19"/>
      <c r="AM30" s="20"/>
    </row>
    <row r="31" spans="1:49" ht="13.8" thickBot="1" x14ac:dyDescent="0.3">
      <c r="A31" t="s">
        <v>133</v>
      </c>
      <c r="B31" t="s">
        <v>7</v>
      </c>
      <c r="C31" s="10">
        <v>-28</v>
      </c>
      <c r="D31" t="s">
        <v>134</v>
      </c>
      <c r="E31" s="2">
        <f t="shared" si="3"/>
        <v>46205</v>
      </c>
      <c r="F31" s="3">
        <f t="shared" si="4"/>
        <v>0.56111111111111112</v>
      </c>
      <c r="G31" t="s">
        <v>135</v>
      </c>
      <c r="H31" t="s">
        <v>136</v>
      </c>
      <c r="I31" t="s">
        <v>11</v>
      </c>
      <c r="J31" s="2">
        <v>46205</v>
      </c>
      <c r="K31" s="1">
        <v>0.55902777777777779</v>
      </c>
      <c r="L31" s="10">
        <f t="shared" si="5"/>
        <v>-2.9999999999999893</v>
      </c>
      <c r="M31" s="1" t="str">
        <f t="shared" si="7"/>
        <v>On Time</v>
      </c>
      <c r="N31" s="27" t="str">
        <f t="shared" si="0"/>
        <v>airBaltic</v>
      </c>
      <c r="O31" s="3" t="s">
        <v>1385</v>
      </c>
      <c r="P31" s="20">
        <f t="shared" si="1"/>
        <v>13</v>
      </c>
      <c r="Q31" s="3" t="s">
        <v>1385</v>
      </c>
      <c r="R31" s="23" t="str">
        <f t="shared" si="2"/>
        <v>Thursday</v>
      </c>
      <c r="S31" s="3" t="s">
        <v>1385</v>
      </c>
      <c r="T31" s="23" t="s">
        <v>7</v>
      </c>
      <c r="U31" s="3" t="s">
        <v>1385</v>
      </c>
      <c r="V31" s="7" t="s">
        <v>369</v>
      </c>
      <c r="W31" s="11">
        <v>6800000</v>
      </c>
      <c r="X31" s="11">
        <v>1324</v>
      </c>
      <c r="Y31" s="7">
        <v>330</v>
      </c>
      <c r="Z31" s="9" cm="1">
        <f t="array" ref="Z31">IFERROR(MEDIAN(_xlfn.IFNA(_xlfn._xlws.FILTER($L$2:$L$1553, $H$2:$H$1553=V31),"")),NA())</f>
        <v>5.9999999999998188</v>
      </c>
      <c r="AA31" s="31"/>
      <c r="AH31" s="7" t="s">
        <v>305</v>
      </c>
      <c r="AI31" s="7">
        <v>189</v>
      </c>
      <c r="AJ31" s="10" cm="1">
        <f t="array" ref="AJ31">IFERROR(MEDIAN(_xlfn.IFNA(_xlfn._xlws.FILTER($L$2:$L$1553, $I$2:$I$1553=AH31),"")),NA())</f>
        <v>8.4999999999999698</v>
      </c>
      <c r="AL31" s="19"/>
      <c r="AM31" s="20"/>
      <c r="AO31" t="s">
        <v>1333</v>
      </c>
    </row>
    <row r="32" spans="1:49" ht="13.8" thickBot="1" x14ac:dyDescent="0.3">
      <c r="A32" t="s">
        <v>123</v>
      </c>
      <c r="B32" t="s">
        <v>124</v>
      </c>
      <c r="D32" t="s">
        <v>137</v>
      </c>
      <c r="E32" s="2">
        <f t="shared" si="3"/>
        <v>46205</v>
      </c>
      <c r="F32" s="3">
        <f t="shared" si="4"/>
        <v>0.56388888888888888</v>
      </c>
      <c r="G32" t="s">
        <v>138</v>
      </c>
      <c r="H32" t="s">
        <v>139</v>
      </c>
      <c r="I32" t="s">
        <v>140</v>
      </c>
      <c r="J32" s="2">
        <v>46205</v>
      </c>
      <c r="K32" s="1">
        <v>0.56874999999999998</v>
      </c>
      <c r="L32" s="10">
        <f t="shared" si="5"/>
        <v>6.9999999999999751</v>
      </c>
      <c r="M32" s="1" t="str">
        <f t="shared" si="7"/>
        <v>On Time</v>
      </c>
      <c r="N32" s="27" t="str">
        <f t="shared" si="0"/>
        <v>GetJet Airlines</v>
      </c>
      <c r="O32" s="3" t="s">
        <v>1385</v>
      </c>
      <c r="P32" s="20">
        <f t="shared" si="1"/>
        <v>13</v>
      </c>
      <c r="Q32" s="3" t="s">
        <v>1385</v>
      </c>
      <c r="R32" s="23" t="str">
        <f t="shared" si="2"/>
        <v>Thursday</v>
      </c>
      <c r="S32" s="3" t="s">
        <v>1385</v>
      </c>
      <c r="T32" s="23" t="s">
        <v>124</v>
      </c>
      <c r="U32" s="3" t="s">
        <v>1385</v>
      </c>
      <c r="V32" s="7" t="s">
        <v>630</v>
      </c>
      <c r="W32" s="11">
        <v>1500000</v>
      </c>
      <c r="X32" s="11">
        <v>2307</v>
      </c>
      <c r="Y32" s="8">
        <v>4300</v>
      </c>
      <c r="Z32" s="9" cm="1">
        <f t="array" ref="Z32">IFERROR(MEDIAN(_xlfn.IFNA(_xlfn._xlws.FILTER($L$2:$L$1553, $H$2:$H$1553=V32),"")),NA())</f>
        <v>6.9999999999999751</v>
      </c>
      <c r="AA32" s="31"/>
      <c r="AH32" s="7" t="s">
        <v>343</v>
      </c>
      <c r="AI32" s="7">
        <v>7</v>
      </c>
      <c r="AJ32" s="10" cm="1">
        <f t="array" ref="AJ32">IFERROR(MEDIAN(_xlfn.IFNA(_xlfn._xlws.FILTER($L$2:$L$1553, $I$2:$I$1553=AH32),"")),NA())</f>
        <v>13.000000000000114</v>
      </c>
      <c r="AL32" s="19"/>
      <c r="AM32" s="20"/>
      <c r="AO32" s="17"/>
      <c r="AP32" s="17" t="s">
        <v>1338</v>
      </c>
      <c r="AQ32" s="17" t="s">
        <v>1339</v>
      </c>
      <c r="AR32" s="17" t="s">
        <v>1340</v>
      </c>
      <c r="AS32" s="17" t="s">
        <v>1341</v>
      </c>
      <c r="AT32" s="17" t="s">
        <v>1342</v>
      </c>
    </row>
    <row r="33" spans="1:49" ht="13.8" thickBot="1" x14ac:dyDescent="0.3">
      <c r="A33" t="s">
        <v>141</v>
      </c>
      <c r="B33" t="s">
        <v>19</v>
      </c>
      <c r="C33" s="10">
        <v>-25</v>
      </c>
      <c r="D33" t="s">
        <v>142</v>
      </c>
      <c r="E33" s="2">
        <f t="shared" si="3"/>
        <v>46205</v>
      </c>
      <c r="F33" s="3">
        <f t="shared" si="4"/>
        <v>0.5756944444444444</v>
      </c>
      <c r="G33" t="s">
        <v>21</v>
      </c>
      <c r="H33" t="s">
        <v>22</v>
      </c>
      <c r="I33" t="s">
        <v>143</v>
      </c>
      <c r="J33" s="2">
        <v>46205</v>
      </c>
      <c r="K33" s="1">
        <v>0.57638888888888895</v>
      </c>
      <c r="L33" s="10">
        <f t="shared" si="5"/>
        <v>1.0000000000001563</v>
      </c>
      <c r="M33" s="1" t="str">
        <f t="shared" si="7"/>
        <v>On Time</v>
      </c>
      <c r="N33" s="27" t="str">
        <f t="shared" si="0"/>
        <v>LOT</v>
      </c>
      <c r="O33" s="3" t="s">
        <v>1385</v>
      </c>
      <c r="P33" s="20">
        <f t="shared" si="1"/>
        <v>13</v>
      </c>
      <c r="Q33" s="3" t="s">
        <v>1385</v>
      </c>
      <c r="R33" s="23" t="str">
        <f t="shared" si="2"/>
        <v>Thursday</v>
      </c>
      <c r="S33" s="3" t="s">
        <v>1385</v>
      </c>
      <c r="T33" s="23" t="s">
        <v>19</v>
      </c>
      <c r="U33" s="3" t="s">
        <v>1385</v>
      </c>
      <c r="V33" s="7" t="s">
        <v>1225</v>
      </c>
      <c r="W33" s="11">
        <v>1700000</v>
      </c>
      <c r="X33" s="11">
        <v>3365</v>
      </c>
      <c r="Y33" s="7">
        <v>150</v>
      </c>
      <c r="Z33" s="9" cm="1">
        <f t="array" ref="Z33">IFERROR(MEDIAN(_xlfn.IFNA(_xlfn._xlws.FILTER($L$2:$L$1553, $H$2:$H$1553=V33),"")),NA())</f>
        <v>26.999999999999904</v>
      </c>
      <c r="AA33" s="31"/>
      <c r="AH33" s="7" t="s">
        <v>361</v>
      </c>
      <c r="AI33" s="7">
        <v>9</v>
      </c>
      <c r="AJ33" s="10" cm="1">
        <f t="array" ref="AJ33">IFERROR(MEDIAN(_xlfn.IFNA(_xlfn._xlws.FILTER($L$2:$L$1553, $I$2:$I$1553=AH33),"")),NA())</f>
        <v>-9.5000000000000071</v>
      </c>
      <c r="AL33" s="19"/>
      <c r="AM33" s="20"/>
      <c r="AO33" s="15" t="s">
        <v>1334</v>
      </c>
      <c r="AP33" s="15">
        <v>1</v>
      </c>
      <c r="AQ33" s="15">
        <v>1320.5598201913308</v>
      </c>
      <c r="AR33" s="15">
        <v>1320.5598201913308</v>
      </c>
      <c r="AS33" s="15">
        <v>2.2503397020491231</v>
      </c>
      <c r="AT33" s="15">
        <v>0.13673576397200737</v>
      </c>
    </row>
    <row r="34" spans="1:49" ht="13.8" thickBot="1" x14ac:dyDescent="0.3">
      <c r="A34" t="s">
        <v>144</v>
      </c>
      <c r="B34" t="s">
        <v>13</v>
      </c>
      <c r="C34" s="10">
        <v>-12</v>
      </c>
      <c r="D34" t="s">
        <v>145</v>
      </c>
      <c r="E34" s="2">
        <f t="shared" si="3"/>
        <v>46205</v>
      </c>
      <c r="F34" s="3">
        <f t="shared" si="4"/>
        <v>0.58194444444444449</v>
      </c>
      <c r="G34" t="s">
        <v>146</v>
      </c>
      <c r="H34" t="s">
        <v>147</v>
      </c>
      <c r="I34" t="s">
        <v>17</v>
      </c>
      <c r="J34" s="2">
        <v>46205</v>
      </c>
      <c r="K34" s="1">
        <v>0.59027777777777779</v>
      </c>
      <c r="L34" s="10">
        <f t="shared" si="5"/>
        <v>11.999999999999957</v>
      </c>
      <c r="M34" s="1" t="str">
        <f t="shared" si="7"/>
        <v>On Time</v>
      </c>
      <c r="N34" s="27" t="str">
        <f t="shared" si="0"/>
        <v>Wizz Air</v>
      </c>
      <c r="O34" s="3" t="s">
        <v>1385</v>
      </c>
      <c r="P34" s="20">
        <f t="shared" si="1"/>
        <v>13</v>
      </c>
      <c r="Q34" s="3" t="s">
        <v>1385</v>
      </c>
      <c r="R34" s="23" t="str">
        <f t="shared" si="2"/>
        <v>Thursday</v>
      </c>
      <c r="S34" s="3" t="s">
        <v>1385</v>
      </c>
      <c r="T34" s="23" t="s">
        <v>13</v>
      </c>
      <c r="U34" s="3" t="s">
        <v>1385</v>
      </c>
      <c r="V34" s="7" t="s">
        <v>564</v>
      </c>
      <c r="W34" s="11">
        <v>130000</v>
      </c>
      <c r="X34" s="11">
        <v>1387</v>
      </c>
      <c r="Y34" s="7">
        <v>160</v>
      </c>
      <c r="Z34" s="9" cm="1">
        <f t="array" ref="Z34">IFERROR(MEDIAN(_xlfn.IFNA(_xlfn._xlws.FILTER($L$2:$L$1553, $H$2:$H$1553=V34),"")),NA())</f>
        <v>0.99999999999999645</v>
      </c>
      <c r="AA34" s="31"/>
      <c r="AH34" s="7" t="s">
        <v>390</v>
      </c>
      <c r="AI34" s="7">
        <v>396</v>
      </c>
      <c r="AJ34" s="10" cm="1">
        <f t="array" ref="AJ34">IFERROR(MEDIAN(_xlfn.IFNA(_xlfn._xlws.FILTER($L$2:$L$1553, $I$2:$I$1553=AH34),"")),NA())</f>
        <v>-5.4999999999999805</v>
      </c>
      <c r="AL34" s="19"/>
      <c r="AM34" s="20"/>
      <c r="AO34" s="15" t="s">
        <v>1335</v>
      </c>
      <c r="AP34" s="15">
        <v>100</v>
      </c>
      <c r="AQ34" s="15">
        <v>58682.687728828234</v>
      </c>
      <c r="AR34" s="15">
        <v>586.82687728828239</v>
      </c>
      <c r="AS34" s="15"/>
      <c r="AT34" s="15"/>
    </row>
    <row r="35" spans="1:49" ht="13.8" thickBot="1" x14ac:dyDescent="0.3">
      <c r="A35" t="s">
        <v>148</v>
      </c>
      <c r="B35" t="s">
        <v>7</v>
      </c>
      <c r="C35" s="10">
        <v>0</v>
      </c>
      <c r="D35" t="s">
        <v>149</v>
      </c>
      <c r="E35" s="2">
        <f t="shared" si="3"/>
        <v>46205</v>
      </c>
      <c r="F35" s="3">
        <f t="shared" si="4"/>
        <v>0.59861111111111109</v>
      </c>
      <c r="G35" t="s">
        <v>9</v>
      </c>
      <c r="H35" t="s">
        <v>10</v>
      </c>
      <c r="I35" t="s">
        <v>11</v>
      </c>
      <c r="J35" s="2">
        <v>46205</v>
      </c>
      <c r="K35" s="1">
        <v>0.60763888888888895</v>
      </c>
      <c r="L35" s="10">
        <f t="shared" si="5"/>
        <v>13.000000000000114</v>
      </c>
      <c r="M35" s="1" t="str">
        <f t="shared" si="7"/>
        <v>On Time</v>
      </c>
      <c r="N35" s="27" t="str">
        <f t="shared" si="0"/>
        <v>airBaltic</v>
      </c>
      <c r="O35" s="3" t="s">
        <v>1385</v>
      </c>
      <c r="P35" s="20">
        <f t="shared" si="1"/>
        <v>14</v>
      </c>
      <c r="Q35" s="3" t="s">
        <v>1385</v>
      </c>
      <c r="R35" s="23" t="str">
        <f t="shared" si="2"/>
        <v>Thursday</v>
      </c>
      <c r="S35" s="3" t="s">
        <v>1385</v>
      </c>
      <c r="T35" s="23" t="s">
        <v>7</v>
      </c>
      <c r="U35" s="3" t="s">
        <v>1385</v>
      </c>
      <c r="V35" s="7" t="s">
        <v>111</v>
      </c>
      <c r="W35" s="11">
        <v>59400000</v>
      </c>
      <c r="X35" s="11">
        <v>1182</v>
      </c>
      <c r="Y35" s="8">
        <v>2300</v>
      </c>
      <c r="Z35" s="9" cm="1">
        <f t="array" ref="Z35">IFERROR(MEDIAN(_xlfn.IFNA(_xlfn._xlws.FILTER($L$2:$L$1553, $H$2:$H$1553=V35),"")),NA())</f>
        <v>1.9999999999999929</v>
      </c>
      <c r="AA35" s="31"/>
      <c r="AH35" s="7" t="s">
        <v>557</v>
      </c>
      <c r="AI35" s="7">
        <v>100</v>
      </c>
      <c r="AJ35" s="10" cm="1">
        <f t="array" ref="AJ35">IFERROR(MEDIAN(_xlfn.IFNA(_xlfn._xlws.FILTER($L$2:$L$1553, $I$2:$I$1553=AH35),"")),NA())</f>
        <v>4.4999999999999991</v>
      </c>
      <c r="AL35" s="19"/>
      <c r="AM35" s="20"/>
      <c r="AO35" s="16" t="s">
        <v>1336</v>
      </c>
      <c r="AP35" s="16">
        <v>101</v>
      </c>
      <c r="AQ35" s="16">
        <v>60003.247549019565</v>
      </c>
      <c r="AR35" s="16"/>
      <c r="AS35" s="16"/>
      <c r="AT35" s="16"/>
    </row>
    <row r="36" spans="1:49" ht="13.8" thickBot="1" x14ac:dyDescent="0.3">
      <c r="A36" t="s">
        <v>150</v>
      </c>
      <c r="B36" t="s">
        <v>151</v>
      </c>
      <c r="C36" s="10">
        <v>-21</v>
      </c>
      <c r="D36" t="s">
        <v>152</v>
      </c>
      <c r="E36" s="2">
        <f t="shared" si="3"/>
        <v>46205</v>
      </c>
      <c r="F36" s="3">
        <f t="shared" si="4"/>
        <v>0.625</v>
      </c>
      <c r="G36" t="s">
        <v>153</v>
      </c>
      <c r="H36" t="s">
        <v>154</v>
      </c>
      <c r="I36" t="s">
        <v>155</v>
      </c>
      <c r="J36" s="2">
        <v>46205</v>
      </c>
      <c r="K36" s="1">
        <v>0.62847222222222221</v>
      </c>
      <c r="L36" s="10">
        <f t="shared" si="5"/>
        <v>4.9999999999999822</v>
      </c>
      <c r="M36" s="1" t="str">
        <f t="shared" si="7"/>
        <v>On Time</v>
      </c>
      <c r="N36" s="27" t="e">
        <f t="shared" si="0"/>
        <v>#N/A</v>
      </c>
      <c r="O36" s="3" t="s">
        <v>1385</v>
      </c>
      <c r="P36" s="20">
        <f t="shared" si="1"/>
        <v>15</v>
      </c>
      <c r="Q36" s="3" t="s">
        <v>1385</v>
      </c>
      <c r="R36" s="23" t="str">
        <f t="shared" si="2"/>
        <v>Thursday</v>
      </c>
      <c r="S36" s="3" t="s">
        <v>1385</v>
      </c>
      <c r="T36" s="23" t="s">
        <v>151</v>
      </c>
      <c r="U36" s="3" t="s">
        <v>1385</v>
      </c>
      <c r="V36" s="7" t="s">
        <v>521</v>
      </c>
      <c r="W36" s="11">
        <v>1700000</v>
      </c>
      <c r="X36" s="11">
        <v>1273</v>
      </c>
      <c r="Y36" s="7">
        <v>560</v>
      </c>
      <c r="Z36" s="9" cm="1">
        <f t="array" ref="Z36">IFERROR(MEDIAN(_xlfn.IFNA(_xlfn._xlws.FILTER($L$2:$L$1553, $H$2:$H$1553=V36),"")),NA())</f>
        <v>17.999999999999936</v>
      </c>
      <c r="AA36" s="31"/>
      <c r="AH36" s="7" t="s">
        <v>594</v>
      </c>
      <c r="AI36" s="7">
        <v>132</v>
      </c>
      <c r="AJ36" s="10" cm="1">
        <f t="array" ref="AJ36">IFERROR(MEDIAN(_xlfn.IFNA(_xlfn._xlws.FILTER($L$2:$L$1553, $I$2:$I$1553=AH36),"")),NA())</f>
        <v>-14.00000000000011</v>
      </c>
      <c r="AL36" s="19"/>
      <c r="AM36" s="20"/>
    </row>
    <row r="37" spans="1:49" ht="13.8" thickBot="1" x14ac:dyDescent="0.3">
      <c r="A37" t="s">
        <v>156</v>
      </c>
      <c r="B37" t="s">
        <v>41</v>
      </c>
      <c r="C37" s="10">
        <v>-2</v>
      </c>
      <c r="D37" t="s">
        <v>157</v>
      </c>
      <c r="E37" s="2">
        <f t="shared" si="3"/>
        <v>46205</v>
      </c>
      <c r="F37" s="3">
        <f t="shared" si="4"/>
        <v>0.62986111111111109</v>
      </c>
      <c r="G37" t="s">
        <v>43</v>
      </c>
      <c r="H37" t="s">
        <v>44</v>
      </c>
      <c r="I37" t="s">
        <v>158</v>
      </c>
      <c r="J37" s="2">
        <v>46205</v>
      </c>
      <c r="K37" s="1">
        <v>0.63541666666666663</v>
      </c>
      <c r="L37" s="10">
        <f t="shared" si="5"/>
        <v>7.9999999999999716</v>
      </c>
      <c r="M37" s="1" t="str">
        <f t="shared" si="7"/>
        <v>On Time</v>
      </c>
      <c r="N37" s="27" t="str">
        <f t="shared" si="0"/>
        <v>SAS</v>
      </c>
      <c r="O37" s="3" t="s">
        <v>1385</v>
      </c>
      <c r="P37" s="20">
        <f t="shared" si="1"/>
        <v>15</v>
      </c>
      <c r="Q37" s="3" t="s">
        <v>1385</v>
      </c>
      <c r="R37" s="23" t="str">
        <f t="shared" si="2"/>
        <v>Thursday</v>
      </c>
      <c r="S37" s="3" t="s">
        <v>1385</v>
      </c>
      <c r="T37" s="23" t="s">
        <v>41</v>
      </c>
      <c r="U37" s="3" t="s">
        <v>1385</v>
      </c>
      <c r="V37" s="7" t="s">
        <v>641</v>
      </c>
      <c r="W37" s="11">
        <v>4800000</v>
      </c>
      <c r="X37" s="11">
        <v>3923</v>
      </c>
      <c r="Y37" s="7">
        <v>100</v>
      </c>
      <c r="Z37" s="9" cm="1">
        <f t="array" ref="Z37">IFERROR(MEDIAN(_xlfn.IFNA(_xlfn._xlws.FILTER($L$2:$L$1553, $H$2:$H$1553=V37),"")),NA())</f>
        <v>5.0000000000000222</v>
      </c>
      <c r="AA37" s="31"/>
      <c r="AH37" s="7" t="s">
        <v>614</v>
      </c>
      <c r="AI37" s="7">
        <v>4</v>
      </c>
      <c r="AJ37" s="10" cm="1">
        <f t="array" ref="AJ37">IFERROR(MEDIAN(_xlfn.IFNA(_xlfn._xlws.FILTER($L$2:$L$1553, $I$2:$I$1553=AH37),"")),NA())</f>
        <v>-2.9999999999999893</v>
      </c>
      <c r="AL37" s="19"/>
      <c r="AM37" s="20"/>
      <c r="AO37" s="17"/>
      <c r="AP37" s="17" t="s">
        <v>1343</v>
      </c>
      <c r="AQ37" s="17" t="s">
        <v>1331</v>
      </c>
      <c r="AR37" s="17" t="s">
        <v>1344</v>
      </c>
      <c r="AS37" s="17" t="s">
        <v>1345</v>
      </c>
      <c r="AT37" s="17" t="s">
        <v>1346</v>
      </c>
      <c r="AU37" s="17" t="s">
        <v>1347</v>
      </c>
      <c r="AV37" s="17" t="s">
        <v>1348</v>
      </c>
      <c r="AW37" s="17" t="s">
        <v>1349</v>
      </c>
    </row>
    <row r="38" spans="1:49" ht="13.8" thickBot="1" x14ac:dyDescent="0.3">
      <c r="A38" t="s">
        <v>159</v>
      </c>
      <c r="B38" t="s">
        <v>85</v>
      </c>
      <c r="C38" s="10">
        <v>-62</v>
      </c>
      <c r="D38" t="s">
        <v>160</v>
      </c>
      <c r="E38" s="2">
        <f t="shared" si="3"/>
        <v>46205</v>
      </c>
      <c r="F38" s="3">
        <f t="shared" si="4"/>
        <v>0.67291666666666661</v>
      </c>
      <c r="G38" t="s">
        <v>34</v>
      </c>
      <c r="H38" t="s">
        <v>161</v>
      </c>
      <c r="I38" t="s">
        <v>162</v>
      </c>
      <c r="J38" s="2">
        <v>46205</v>
      </c>
      <c r="K38" s="1">
        <v>0.64583333333333337</v>
      </c>
      <c r="L38" s="10">
        <f t="shared" si="5"/>
        <v>-38.999999999999858</v>
      </c>
      <c r="M38" s="1" t="str">
        <f t="shared" si="7"/>
        <v>Delayed</v>
      </c>
      <c r="N38" s="27" t="str">
        <f t="shared" si="0"/>
        <v>Ryanair</v>
      </c>
      <c r="O38" s="3" t="s">
        <v>1318</v>
      </c>
      <c r="P38" s="20">
        <f t="shared" si="1"/>
        <v>16</v>
      </c>
      <c r="Q38" s="3" t="s">
        <v>1318</v>
      </c>
      <c r="R38" s="23" t="str">
        <f t="shared" si="2"/>
        <v>Thursday</v>
      </c>
      <c r="S38" s="3" t="s">
        <v>1318</v>
      </c>
      <c r="T38" s="23" t="s">
        <v>85</v>
      </c>
      <c r="U38" s="3" t="s">
        <v>1318</v>
      </c>
      <c r="V38" s="7" t="s">
        <v>199</v>
      </c>
      <c r="W38" s="11">
        <v>5900000</v>
      </c>
      <c r="X38" s="11">
        <v>428</v>
      </c>
      <c r="Y38" s="7">
        <v>240</v>
      </c>
      <c r="Z38" s="9" cm="1">
        <f t="array" ref="Z38">IFERROR(MEDIAN(_xlfn.IFNA(_xlfn._xlws.FILTER($L$2:$L$1553, $H$2:$H$1553=V38),"")),NA())</f>
        <v>12.500000000000036</v>
      </c>
      <c r="AA38" s="31"/>
      <c r="AH38" s="7" t="s">
        <v>619</v>
      </c>
      <c r="AI38" s="7">
        <v>5</v>
      </c>
      <c r="AJ38" s="10" t="e" cm="1">
        <f t="array" ref="AJ38">IFERROR(MEDIAN(_xlfn.IFNA(_xlfn._xlws.FILTER($L$2:$L$1553, $I$2:$I$1553=AH38),"")),NA())</f>
        <v>#N/A</v>
      </c>
      <c r="AL38" s="19"/>
      <c r="AM38" s="20"/>
      <c r="AO38" s="15" t="s">
        <v>1337</v>
      </c>
      <c r="AP38" s="15">
        <v>-7.2752570164792596</v>
      </c>
      <c r="AQ38" s="15">
        <v>5.2151834810606932</v>
      </c>
      <c r="AR38" s="15">
        <v>-1.3950145844148856</v>
      </c>
      <c r="AS38" s="15">
        <v>0.16610217264347896</v>
      </c>
      <c r="AT38" s="15">
        <v>-17.622032506778204</v>
      </c>
      <c r="AU38" s="15">
        <v>3.0715184738196859</v>
      </c>
      <c r="AV38" s="15">
        <v>-17.622032506778204</v>
      </c>
      <c r="AW38" s="15">
        <v>3.0715184738196859</v>
      </c>
    </row>
    <row r="39" spans="1:49" ht="13.8" thickBot="1" x14ac:dyDescent="0.3">
      <c r="A39" t="s">
        <v>163</v>
      </c>
      <c r="B39" t="s">
        <v>13</v>
      </c>
      <c r="C39" s="10">
        <v>-24</v>
      </c>
      <c r="D39" t="s">
        <v>164</v>
      </c>
      <c r="E39" s="2">
        <f t="shared" si="3"/>
        <v>46205</v>
      </c>
      <c r="F39" s="3">
        <f t="shared" si="4"/>
        <v>0.64166666666666672</v>
      </c>
      <c r="G39" t="s">
        <v>165</v>
      </c>
      <c r="H39" t="s">
        <v>166</v>
      </c>
      <c r="I39" t="s">
        <v>17</v>
      </c>
      <c r="J39" s="2">
        <v>46205</v>
      </c>
      <c r="K39" s="1">
        <v>0.64583333333333337</v>
      </c>
      <c r="L39" s="10">
        <f t="shared" si="5"/>
        <v>5.9999999999999787</v>
      </c>
      <c r="M39" s="1" t="str">
        <f t="shared" si="7"/>
        <v>On Time</v>
      </c>
      <c r="N39" s="27" t="str">
        <f t="shared" si="0"/>
        <v>Wizz Air</v>
      </c>
      <c r="O39" s="3" t="s">
        <v>1385</v>
      </c>
      <c r="P39" s="20">
        <f t="shared" si="1"/>
        <v>15</v>
      </c>
      <c r="Q39" s="3" t="s">
        <v>1385</v>
      </c>
      <c r="R39" s="23" t="str">
        <f t="shared" si="2"/>
        <v>Thursday</v>
      </c>
      <c r="S39" s="3" t="s">
        <v>1385</v>
      </c>
      <c r="T39" s="23" t="s">
        <v>13</v>
      </c>
      <c r="U39" s="3" t="s">
        <v>1385</v>
      </c>
      <c r="V39" s="7" t="s">
        <v>870</v>
      </c>
      <c r="W39" s="11">
        <v>1300000</v>
      </c>
      <c r="X39" s="11">
        <v>1570</v>
      </c>
      <c r="Y39" s="7">
        <v>145</v>
      </c>
      <c r="Z39" s="9" cm="1">
        <f t="array" ref="Z39">IFERROR(MEDIAN(_xlfn.IFNA(_xlfn._xlws.FILTER($L$2:$L$1553, $H$2:$H$1553=V39),"")),NA())</f>
        <v>-3.0000000000001492</v>
      </c>
      <c r="AA39" s="31"/>
      <c r="AH39" s="7" t="s">
        <v>677</v>
      </c>
      <c r="AI39" s="7">
        <v>8</v>
      </c>
      <c r="AJ39" s="10" cm="1">
        <f t="array" ref="AJ39">IFERROR(MEDIAN(_xlfn.IFNA(_xlfn._xlws.FILTER($L$2:$L$1553, $I$2:$I$1553=AH39),"")),NA())</f>
        <v>-15.500000000000025</v>
      </c>
      <c r="AL39" s="19"/>
      <c r="AM39" s="20"/>
      <c r="AO39" s="16" t="s">
        <v>1350</v>
      </c>
      <c r="AP39" s="16">
        <v>4.7282229244492236E-3</v>
      </c>
      <c r="AQ39" s="16">
        <v>3.1519106896084489E-3</v>
      </c>
      <c r="AR39" s="16">
        <v>1.5001132297427484</v>
      </c>
      <c r="AS39" s="16">
        <v>0.13673576397199946</v>
      </c>
      <c r="AT39" s="16">
        <v>-1.5250781126638783E-3</v>
      </c>
      <c r="AU39" s="16">
        <v>1.0981523961562326E-2</v>
      </c>
      <c r="AV39" s="16">
        <v>-1.5250781126638783E-3</v>
      </c>
      <c r="AW39" s="16">
        <v>1.0981523961562326E-2</v>
      </c>
    </row>
    <row r="40" spans="1:49" ht="13.8" thickBot="1" x14ac:dyDescent="0.3">
      <c r="A40" t="s">
        <v>167</v>
      </c>
      <c r="B40" t="s">
        <v>7</v>
      </c>
      <c r="C40" s="10">
        <v>-62</v>
      </c>
      <c r="D40" t="s">
        <v>168</v>
      </c>
      <c r="E40" s="2">
        <f t="shared" si="3"/>
        <v>46205</v>
      </c>
      <c r="F40" s="3">
        <f t="shared" si="4"/>
        <v>0.69236111111111109</v>
      </c>
      <c r="G40" t="s">
        <v>169</v>
      </c>
      <c r="H40" t="s">
        <v>170</v>
      </c>
      <c r="I40" t="s">
        <v>11</v>
      </c>
      <c r="J40" s="2">
        <v>46205</v>
      </c>
      <c r="K40" s="1">
        <v>0.66666666666666663</v>
      </c>
      <c r="L40" s="10">
        <f t="shared" si="5"/>
        <v>-37.000000000000028</v>
      </c>
      <c r="M40" s="1" t="str">
        <f t="shared" si="7"/>
        <v>Delayed</v>
      </c>
      <c r="N40" s="27" t="str">
        <f t="shared" si="0"/>
        <v>airBaltic</v>
      </c>
      <c r="O40" s="3" t="s">
        <v>1318</v>
      </c>
      <c r="P40" s="20">
        <f t="shared" si="1"/>
        <v>16</v>
      </c>
      <c r="Q40" s="3" t="s">
        <v>1318</v>
      </c>
      <c r="R40" s="23" t="str">
        <f t="shared" si="2"/>
        <v>Thursday</v>
      </c>
      <c r="S40" s="3" t="s">
        <v>1318</v>
      </c>
      <c r="T40" s="23" t="s">
        <v>7</v>
      </c>
      <c r="U40" s="3" t="s">
        <v>1318</v>
      </c>
      <c r="V40" s="7" t="s">
        <v>170</v>
      </c>
      <c r="W40" s="11">
        <v>13600000</v>
      </c>
      <c r="X40" s="11">
        <v>884</v>
      </c>
      <c r="Y40" s="7">
        <v>570</v>
      </c>
      <c r="Z40" s="9" cm="1">
        <f t="array" ref="Z40">IFERROR(MEDIAN(_xlfn.IFNA(_xlfn._xlws.FILTER($L$2:$L$1553, $H$2:$H$1553=V40),"")),NA())</f>
        <v>10.999999999999961</v>
      </c>
      <c r="AA40" s="31"/>
      <c r="AH40" s="7" t="s">
        <v>701</v>
      </c>
      <c r="AI40" s="7">
        <v>14</v>
      </c>
      <c r="AJ40" s="10" cm="1">
        <f t="array" ref="AJ40">IFERROR(MEDIAN(_xlfn.IFNA(_xlfn._xlws.FILTER($L$2:$L$1553, $I$2:$I$1553=AH40),"")),NA())</f>
        <v>7.0000000000000551</v>
      </c>
      <c r="AL40" s="19"/>
      <c r="AM40" s="20"/>
    </row>
    <row r="41" spans="1:49" ht="13.8" thickBot="1" x14ac:dyDescent="0.3">
      <c r="A41" t="s">
        <v>123</v>
      </c>
      <c r="B41" t="s">
        <v>123</v>
      </c>
      <c r="D41" t="s">
        <v>171</v>
      </c>
      <c r="E41" s="2">
        <f t="shared" si="3"/>
        <v>46205</v>
      </c>
      <c r="F41" s="3">
        <f t="shared" si="4"/>
        <v>0.67499999999999993</v>
      </c>
      <c r="G41" t="s">
        <v>172</v>
      </c>
      <c r="H41" t="s">
        <v>173</v>
      </c>
      <c r="I41" t="s">
        <v>174</v>
      </c>
      <c r="J41" s="2">
        <v>46205</v>
      </c>
      <c r="K41" s="1">
        <v>0.6743055555555556</v>
      </c>
      <c r="L41" s="10">
        <f t="shared" si="5"/>
        <v>-0.99999999999983658</v>
      </c>
      <c r="M41" s="1" t="str">
        <f t="shared" si="7"/>
        <v>On Time</v>
      </c>
      <c r="N41" s="27" t="e">
        <f t="shared" si="0"/>
        <v>#N/A</v>
      </c>
      <c r="O41" s="3" t="s">
        <v>1385</v>
      </c>
      <c r="P41" s="20">
        <f t="shared" si="1"/>
        <v>16</v>
      </c>
      <c r="Q41" s="3" t="s">
        <v>1385</v>
      </c>
      <c r="R41" s="23" t="str">
        <f t="shared" si="2"/>
        <v>Thursday</v>
      </c>
      <c r="S41" s="3" t="s">
        <v>1385</v>
      </c>
      <c r="T41" s="23" t="s">
        <v>123</v>
      </c>
      <c r="U41" s="3" t="s">
        <v>1385</v>
      </c>
      <c r="V41" s="7" t="s">
        <v>248</v>
      </c>
      <c r="W41" s="11">
        <v>8700000</v>
      </c>
      <c r="X41" s="11">
        <v>2126</v>
      </c>
      <c r="Y41" s="7">
        <v>210</v>
      </c>
      <c r="Z41" s="9" cm="1">
        <f t="array" ref="Z41">IFERROR(MEDIAN(_xlfn.IFNA(_xlfn._xlws.FILTER($L$2:$L$1553, $H$2:$H$1553=V41),"")),NA())</f>
        <v>-6.9999999999999751</v>
      </c>
      <c r="AA41" s="31"/>
      <c r="AH41" s="7" t="s">
        <v>707</v>
      </c>
      <c r="AI41" s="7">
        <v>180</v>
      </c>
      <c r="AJ41" s="10" cm="1">
        <f t="array" ref="AJ41">IFERROR(MEDIAN(_xlfn.IFNA(_xlfn._xlws.FILTER($L$2:$L$1553, $I$2:$I$1553=AH41),"")),NA())</f>
        <v>-21.999999999999922</v>
      </c>
      <c r="AL41" s="19"/>
      <c r="AM41" s="20"/>
    </row>
    <row r="42" spans="1:49" ht="13.8" thickBot="1" x14ac:dyDescent="0.3">
      <c r="A42" t="s">
        <v>175</v>
      </c>
      <c r="B42" t="s">
        <v>19</v>
      </c>
      <c r="C42" s="10">
        <v>-12</v>
      </c>
      <c r="D42" t="s">
        <v>176</v>
      </c>
      <c r="E42" s="2">
        <f t="shared" si="3"/>
        <v>46205</v>
      </c>
      <c r="F42" s="3">
        <f t="shared" si="4"/>
        <v>0.67083333333333339</v>
      </c>
      <c r="G42" t="s">
        <v>21</v>
      </c>
      <c r="H42" t="s">
        <v>22</v>
      </c>
      <c r="I42" t="s">
        <v>177</v>
      </c>
      <c r="J42" s="2">
        <v>46205</v>
      </c>
      <c r="K42" s="1">
        <v>0.68055555555555547</v>
      </c>
      <c r="L42" s="10">
        <f t="shared" si="5"/>
        <v>13.99999999999979</v>
      </c>
      <c r="M42" s="1" t="str">
        <f t="shared" si="7"/>
        <v>On Time</v>
      </c>
      <c r="N42" s="27" t="str">
        <f t="shared" si="0"/>
        <v>LOT</v>
      </c>
      <c r="O42" s="3" t="s">
        <v>1385</v>
      </c>
      <c r="P42" s="20">
        <f t="shared" si="1"/>
        <v>16</v>
      </c>
      <c r="Q42" s="3" t="s">
        <v>1385</v>
      </c>
      <c r="R42" s="23" t="str">
        <f t="shared" si="2"/>
        <v>Thursday</v>
      </c>
      <c r="S42" s="3" t="s">
        <v>1385</v>
      </c>
      <c r="T42" s="23" t="s">
        <v>19</v>
      </c>
      <c r="U42" s="3" t="s">
        <v>1385</v>
      </c>
      <c r="V42" s="7" t="s">
        <v>72</v>
      </c>
      <c r="W42" s="11">
        <v>15300000</v>
      </c>
      <c r="X42" s="11">
        <v>627</v>
      </c>
      <c r="Y42" s="8">
        <v>1800</v>
      </c>
      <c r="Z42" s="9" cm="1">
        <f t="array" ref="Z42">IFERROR(MEDIAN(_xlfn.IFNA(_xlfn._xlws.FILTER($L$2:$L$1553, $H$2:$H$1553=V42),"")),NA())</f>
        <v>0</v>
      </c>
      <c r="AA42" s="31"/>
      <c r="AH42" s="7" t="s">
        <v>733</v>
      </c>
      <c r="AI42" s="7">
        <v>19</v>
      </c>
      <c r="AJ42" s="10" cm="1">
        <f t="array" ref="AJ42">IFERROR(MEDIAN(_xlfn.IFNA(_xlfn._xlws.FILTER($L$2:$L$1553, $I$2:$I$1553=AH42),"")),NA())</f>
        <v>-59.999999999999943</v>
      </c>
      <c r="AL42" s="19"/>
      <c r="AM42" s="20"/>
      <c r="AO42" t="s">
        <v>1388</v>
      </c>
    </row>
    <row r="43" spans="1:49" ht="13.8" thickBot="1" x14ac:dyDescent="0.3">
      <c r="A43" t="s">
        <v>178</v>
      </c>
      <c r="B43" t="s">
        <v>85</v>
      </c>
      <c r="C43" s="10">
        <v>-7</v>
      </c>
      <c r="D43" t="s">
        <v>179</v>
      </c>
      <c r="E43" s="2">
        <f t="shared" si="3"/>
        <v>46205</v>
      </c>
      <c r="F43" s="3">
        <f t="shared" si="4"/>
        <v>0.69791666666666663</v>
      </c>
      <c r="G43" t="s">
        <v>180</v>
      </c>
      <c r="H43" t="s">
        <v>181</v>
      </c>
      <c r="I43" t="s">
        <v>89</v>
      </c>
      <c r="J43" s="2">
        <v>46205</v>
      </c>
      <c r="K43" s="1">
        <v>0.71180555555555547</v>
      </c>
      <c r="L43" s="10">
        <f t="shared" si="5"/>
        <v>19.999999999999929</v>
      </c>
      <c r="M43" s="1" t="str">
        <f t="shared" si="7"/>
        <v>On Time</v>
      </c>
      <c r="N43" s="27" t="str">
        <f t="shared" si="0"/>
        <v>Ryanair</v>
      </c>
      <c r="O43" s="3" t="s">
        <v>1385</v>
      </c>
      <c r="P43" s="20">
        <f t="shared" si="1"/>
        <v>16</v>
      </c>
      <c r="Q43" s="3" t="s">
        <v>1385</v>
      </c>
      <c r="R43" s="23" t="str">
        <f t="shared" si="2"/>
        <v>Thursday</v>
      </c>
      <c r="S43" s="3" t="s">
        <v>1385</v>
      </c>
      <c r="T43" s="23" t="s">
        <v>85</v>
      </c>
      <c r="U43" s="3" t="s">
        <v>1385</v>
      </c>
      <c r="V43" s="7" t="s">
        <v>658</v>
      </c>
      <c r="W43" s="11">
        <v>8000000</v>
      </c>
      <c r="X43" s="11">
        <v>2987</v>
      </c>
      <c r="Y43" s="8">
        <v>1200</v>
      </c>
      <c r="Z43" s="9" cm="1">
        <f t="array" ref="Z43">IFERROR(MEDIAN(_xlfn.IFNA(_xlfn._xlws.FILTER($L$2:$L$1553, $H$2:$H$1553=V43),"")),NA())</f>
        <v>123.99999999999996</v>
      </c>
      <c r="AA43" s="31"/>
      <c r="AH43" s="7" t="s">
        <v>775</v>
      </c>
      <c r="AI43" s="7">
        <v>189</v>
      </c>
      <c r="AJ43" s="10" cm="1">
        <f t="array" ref="AJ43">IFERROR(MEDIAN(_xlfn.IFNA(_xlfn._xlws.FILTER($L$2:$L$1553, $I$2:$I$1553=AH43),"")),NA())</f>
        <v>-2.4999999999999893</v>
      </c>
      <c r="AL43" s="19"/>
      <c r="AM43" s="20"/>
    </row>
    <row r="44" spans="1:49" ht="13.8" thickBot="1" x14ac:dyDescent="0.3">
      <c r="A44" t="s">
        <v>182</v>
      </c>
      <c r="B44" t="s">
        <v>69</v>
      </c>
      <c r="C44" s="10">
        <v>-10</v>
      </c>
      <c r="D44" t="s">
        <v>183</v>
      </c>
      <c r="E44" s="2">
        <f t="shared" si="3"/>
        <v>46205</v>
      </c>
      <c r="F44" s="3">
        <f t="shared" si="4"/>
        <v>0.74513888888888891</v>
      </c>
      <c r="G44" t="s">
        <v>71</v>
      </c>
      <c r="H44" t="s">
        <v>72</v>
      </c>
      <c r="I44" t="s">
        <v>73</v>
      </c>
      <c r="J44" s="2">
        <v>46205</v>
      </c>
      <c r="K44" s="1">
        <v>0.74652777777777779</v>
      </c>
      <c r="L44" s="10">
        <f t="shared" si="5"/>
        <v>1.9999999999999929</v>
      </c>
      <c r="M44" s="1" t="str">
        <f t="shared" si="7"/>
        <v>On Time</v>
      </c>
      <c r="N44" s="27" t="str">
        <f t="shared" si="0"/>
        <v>Finnair</v>
      </c>
      <c r="O44" s="3" t="s">
        <v>1385</v>
      </c>
      <c r="P44" s="20">
        <f t="shared" si="1"/>
        <v>17</v>
      </c>
      <c r="Q44" s="3" t="s">
        <v>1385</v>
      </c>
      <c r="R44" s="23" t="str">
        <f t="shared" si="2"/>
        <v>Thursday</v>
      </c>
      <c r="S44" s="3" t="s">
        <v>1385</v>
      </c>
      <c r="T44" s="23" t="s">
        <v>69</v>
      </c>
      <c r="U44" s="3" t="s">
        <v>1385</v>
      </c>
      <c r="V44" s="7" t="s">
        <v>1150</v>
      </c>
      <c r="W44" s="9" t="e" cm="1">
        <f t="array" ref="W44">IFERROR(MEDIAN(_xlfn.IFNA(_xlfn._xlws.FILTER(#REF!, $H$2:$H$1553=T44),"")),NA())</f>
        <v>#N/A</v>
      </c>
      <c r="X44" s="11">
        <v>1061</v>
      </c>
      <c r="Y44" s="7">
        <v>360</v>
      </c>
      <c r="Z44" s="9" cm="1">
        <f t="array" ref="Z44">IFERROR(MEDIAN(_xlfn.IFNA(_xlfn._xlws.FILTER($L$2:$L$1553, $H$2:$H$1553=V44),"")),NA())</f>
        <v>-4.0000000000001457</v>
      </c>
      <c r="AA44" s="31"/>
      <c r="AH44" s="7" t="s">
        <v>783</v>
      </c>
      <c r="AI44" s="7">
        <v>12</v>
      </c>
      <c r="AJ44" s="10" cm="1">
        <f t="array" ref="AJ44">IFERROR(MEDIAN(_xlfn.IFNA(_xlfn._xlws.FILTER($L$2:$L$1553, $I$2:$I$1553=AH44),"")),NA())</f>
        <v>-28.000000000000139</v>
      </c>
      <c r="AL44" s="19"/>
      <c r="AM44" s="20"/>
      <c r="AO44" s="18" t="s">
        <v>1327</v>
      </c>
      <c r="AP44" s="18"/>
    </row>
    <row r="45" spans="1:49" ht="13.8" thickBot="1" x14ac:dyDescent="0.3">
      <c r="A45" t="s">
        <v>184</v>
      </c>
      <c r="B45" t="s">
        <v>85</v>
      </c>
      <c r="C45" s="10">
        <v>-17</v>
      </c>
      <c r="D45" t="s">
        <v>185</v>
      </c>
      <c r="E45" s="2">
        <f t="shared" si="3"/>
        <v>46205</v>
      </c>
      <c r="F45" s="3">
        <f t="shared" si="4"/>
        <v>0.76597222222222217</v>
      </c>
      <c r="G45" t="s">
        <v>153</v>
      </c>
      <c r="H45" t="s">
        <v>154</v>
      </c>
      <c r="I45" t="s">
        <v>89</v>
      </c>
      <c r="J45" s="2">
        <v>46205</v>
      </c>
      <c r="K45" s="1">
        <v>0.77083333333333337</v>
      </c>
      <c r="L45" s="10">
        <f t="shared" si="5"/>
        <v>7.000000000000135</v>
      </c>
      <c r="M45" s="1" t="str">
        <f t="shared" si="7"/>
        <v>On Time</v>
      </c>
      <c r="N45" s="27" t="str">
        <f t="shared" si="0"/>
        <v>Ryanair</v>
      </c>
      <c r="O45" s="3" t="s">
        <v>1385</v>
      </c>
      <c r="P45" s="20">
        <f t="shared" si="1"/>
        <v>18</v>
      </c>
      <c r="Q45" s="3" t="s">
        <v>1385</v>
      </c>
      <c r="R45" s="23" t="str">
        <f t="shared" si="2"/>
        <v>Thursday</v>
      </c>
      <c r="S45" s="3" t="s">
        <v>1385</v>
      </c>
      <c r="T45" s="23" t="s">
        <v>85</v>
      </c>
      <c r="U45" s="3" t="s">
        <v>1385</v>
      </c>
      <c r="V45" s="7" t="s">
        <v>99</v>
      </c>
      <c r="W45" s="11">
        <v>80000000</v>
      </c>
      <c r="X45" s="11">
        <v>1380</v>
      </c>
      <c r="Y45" s="8">
        <v>7650</v>
      </c>
      <c r="Z45" s="9" cm="1">
        <f t="array" ref="Z45">IFERROR(MEDIAN(_xlfn.IFNA(_xlfn._xlws.FILTER($L$2:$L$1553, $H$2:$H$1553=V45),"")),NA())</f>
        <v>7.9999999999999716</v>
      </c>
      <c r="AA45" s="31"/>
      <c r="AH45" s="7" t="s">
        <v>802</v>
      </c>
      <c r="AI45" s="7">
        <v>9</v>
      </c>
      <c r="AJ45" s="10" cm="1">
        <f t="array" ref="AJ45">IFERROR(MEDIAN(_xlfn.IFNA(_xlfn._xlws.FILTER($L$2:$L$1553, $I$2:$I$1553=AH45),"")),NA())</f>
        <v>-10.499999999999963</v>
      </c>
      <c r="AL45" s="19"/>
      <c r="AM45" s="20"/>
      <c r="AO45" s="15" t="s">
        <v>1328</v>
      </c>
      <c r="AP45" s="15">
        <v>2.8158319946077988E-2</v>
      </c>
    </row>
    <row r="46" spans="1:49" ht="13.8" thickBot="1" x14ac:dyDescent="0.3">
      <c r="A46" t="s">
        <v>186</v>
      </c>
      <c r="B46" t="s">
        <v>19</v>
      </c>
      <c r="C46" s="10">
        <v>-22</v>
      </c>
      <c r="D46" t="s">
        <v>187</v>
      </c>
      <c r="E46" s="2">
        <f t="shared" si="3"/>
        <v>46205</v>
      </c>
      <c r="F46" s="3">
        <f t="shared" si="4"/>
        <v>0.77430555555555547</v>
      </c>
      <c r="G46" t="s">
        <v>21</v>
      </c>
      <c r="H46" t="s">
        <v>22</v>
      </c>
      <c r="I46" t="s">
        <v>188</v>
      </c>
      <c r="J46" s="2">
        <v>46205</v>
      </c>
      <c r="K46" s="1">
        <v>0.77430555555555547</v>
      </c>
      <c r="L46" s="10">
        <f t="shared" si="5"/>
        <v>0</v>
      </c>
      <c r="M46" s="1" t="str">
        <f t="shared" si="7"/>
        <v>On Time</v>
      </c>
      <c r="N46" s="27" t="str">
        <f t="shared" si="0"/>
        <v>LOT</v>
      </c>
      <c r="O46" s="3" t="s">
        <v>1385</v>
      </c>
      <c r="P46" s="20">
        <f t="shared" si="1"/>
        <v>18</v>
      </c>
      <c r="Q46" s="3" t="s">
        <v>1385</v>
      </c>
      <c r="R46" s="23" t="str">
        <f t="shared" si="2"/>
        <v>Thursday</v>
      </c>
      <c r="S46" s="3" t="s">
        <v>1385</v>
      </c>
      <c r="T46" s="23" t="s">
        <v>19</v>
      </c>
      <c r="U46" s="3" t="s">
        <v>1385</v>
      </c>
      <c r="V46" s="7" t="s">
        <v>893</v>
      </c>
      <c r="W46" s="11">
        <v>5600000</v>
      </c>
      <c r="X46" s="11">
        <v>622</v>
      </c>
      <c r="Y46" s="7">
        <v>460</v>
      </c>
      <c r="Z46" s="9" cm="1">
        <f t="array" ref="Z46">IFERROR(MEDIAN(_xlfn.IFNA(_xlfn._xlws.FILTER($L$2:$L$1553, $H$2:$H$1553=V46),"")),NA())</f>
        <v>-18.999999999999932</v>
      </c>
      <c r="AA46" s="31"/>
      <c r="AH46" s="7" t="s">
        <v>1102</v>
      </c>
      <c r="AI46" s="7">
        <v>6</v>
      </c>
      <c r="AJ46" s="10" t="e" cm="1">
        <f t="array" ref="AJ46">IFERROR(MEDIAN(_xlfn.IFNA(_xlfn._xlws.FILTER($L$2:$L$1553, $I$2:$I$1553=AH46),"")),NA())</f>
        <v>#N/A</v>
      </c>
      <c r="AL46" s="19"/>
      <c r="AM46" s="20"/>
      <c r="AO46" s="15" t="s">
        <v>1329</v>
      </c>
      <c r="AP46" s="15">
        <v>7.9289098218569354E-4</v>
      </c>
    </row>
    <row r="47" spans="1:49" ht="13.8" thickBot="1" x14ac:dyDescent="0.3">
      <c r="A47" t="s">
        <v>189</v>
      </c>
      <c r="B47" t="s">
        <v>190</v>
      </c>
      <c r="C47" s="10">
        <v>-23</v>
      </c>
      <c r="D47" t="s">
        <v>191</v>
      </c>
      <c r="E47" s="2">
        <f t="shared" si="3"/>
        <v>46205</v>
      </c>
      <c r="F47" s="3">
        <f t="shared" si="4"/>
        <v>0.78402777777777777</v>
      </c>
      <c r="G47" t="s">
        <v>110</v>
      </c>
      <c r="H47" t="s">
        <v>111</v>
      </c>
      <c r="I47" t="s">
        <v>67</v>
      </c>
      <c r="J47" s="2">
        <v>46205</v>
      </c>
      <c r="K47" s="1">
        <v>0.78472222222222221</v>
      </c>
      <c r="L47" s="10">
        <f t="shared" si="5"/>
        <v>0.99999999999999645</v>
      </c>
      <c r="M47" s="1" t="str">
        <f t="shared" si="7"/>
        <v>On Time</v>
      </c>
      <c r="N47" s="27" t="str">
        <f t="shared" si="0"/>
        <v>Lufthansa</v>
      </c>
      <c r="O47" s="3" t="s">
        <v>1385</v>
      </c>
      <c r="P47" s="20">
        <f t="shared" si="1"/>
        <v>18</v>
      </c>
      <c r="Q47" s="3" t="s">
        <v>1385</v>
      </c>
      <c r="R47" s="23" t="str">
        <f t="shared" si="2"/>
        <v>Thursday</v>
      </c>
      <c r="S47" s="3" t="s">
        <v>1385</v>
      </c>
      <c r="T47" s="23" t="s">
        <v>190</v>
      </c>
      <c r="U47" s="3" t="s">
        <v>1385</v>
      </c>
      <c r="V47" s="7" t="s">
        <v>1192</v>
      </c>
      <c r="W47" s="11">
        <v>1300000</v>
      </c>
      <c r="X47" s="11">
        <v>85</v>
      </c>
      <c r="Y47" s="7">
        <v>280</v>
      </c>
      <c r="Z47" s="9" cm="1">
        <f t="array" ref="Z47">IFERROR(MEDIAN(_xlfn.IFNA(_xlfn._xlws.FILTER($L$2:$L$1553, $H$2:$H$1553=V47),"")),NA())</f>
        <v>-8.999999999999968</v>
      </c>
      <c r="AA47" s="31"/>
      <c r="AH47" s="7" t="s">
        <v>876</v>
      </c>
      <c r="AI47" s="7">
        <v>215</v>
      </c>
      <c r="AJ47" s="10" cm="1">
        <f t="array" ref="AJ47">IFERROR(MEDIAN(_xlfn.IFNA(_xlfn._xlws.FILTER($L$2:$L$1553, $I$2:$I$1553=AH47),"")),NA())</f>
        <v>11.999999999999957</v>
      </c>
      <c r="AL47" s="19"/>
      <c r="AM47" s="20"/>
      <c r="AO47" s="15" t="s">
        <v>1330</v>
      </c>
      <c r="AP47" s="15">
        <v>-9.1991801079924496E-3</v>
      </c>
    </row>
    <row r="48" spans="1:49" ht="13.8" thickBot="1" x14ac:dyDescent="0.3">
      <c r="A48" t="s">
        <v>192</v>
      </c>
      <c r="B48" t="s">
        <v>13</v>
      </c>
      <c r="C48" s="10">
        <v>-12</v>
      </c>
      <c r="D48" t="s">
        <v>193</v>
      </c>
      <c r="E48" s="2">
        <f t="shared" si="3"/>
        <v>46205</v>
      </c>
      <c r="F48" s="3">
        <f t="shared" si="4"/>
        <v>0.78263888888888899</v>
      </c>
      <c r="G48" t="s">
        <v>194</v>
      </c>
      <c r="H48" t="s">
        <v>195</v>
      </c>
      <c r="I48" t="s">
        <v>17</v>
      </c>
      <c r="J48" s="2">
        <v>46205</v>
      </c>
      <c r="K48" s="1">
        <v>0.78472222222222221</v>
      </c>
      <c r="L48" s="10">
        <f t="shared" si="5"/>
        <v>2.9999999999998295</v>
      </c>
      <c r="M48" s="1" t="str">
        <f t="shared" si="7"/>
        <v>On Time</v>
      </c>
      <c r="N48" s="27" t="str">
        <f t="shared" si="0"/>
        <v>Wizz Air</v>
      </c>
      <c r="O48" s="3" t="s">
        <v>1385</v>
      </c>
      <c r="P48" s="20">
        <f t="shared" si="1"/>
        <v>18</v>
      </c>
      <c r="Q48" s="3" t="s">
        <v>1385</v>
      </c>
      <c r="R48" s="23" t="str">
        <f t="shared" si="2"/>
        <v>Thursday</v>
      </c>
      <c r="S48" s="3" t="s">
        <v>1385</v>
      </c>
      <c r="T48" s="23" t="s">
        <v>13</v>
      </c>
      <c r="U48" s="3" t="s">
        <v>1385</v>
      </c>
      <c r="V48" s="7" t="s">
        <v>1221</v>
      </c>
      <c r="W48" s="9" t="e" cm="1">
        <f t="array" ref="W48">IFERROR(MEDIAN(_xlfn.IFNA(_xlfn._xlws.FILTER(#REF!, $H$2:$H$1553=T48),"")),NA())</f>
        <v>#N/A</v>
      </c>
      <c r="X48" s="11">
        <v>88</v>
      </c>
      <c r="Y48" s="7">
        <v>112</v>
      </c>
      <c r="Z48" s="9" cm="1">
        <f t="array" ref="Z48">IFERROR(MEDIAN(_xlfn.IFNA(_xlfn._xlws.FILTER($L$2:$L$1553, $H$2:$H$1553=V48),"")),NA())</f>
        <v>-94.999999999999829</v>
      </c>
      <c r="AA48" s="31"/>
      <c r="AH48" s="7" t="s">
        <v>1002</v>
      </c>
      <c r="AI48" s="7">
        <v>134</v>
      </c>
      <c r="AJ48" s="10" cm="1">
        <f t="array" ref="AJ48">IFERROR(MEDIAN(_xlfn.IFNA(_xlfn._xlws.FILTER($L$2:$L$1553, $I$2:$I$1553=AH48),"")),NA())</f>
        <v>0.49999999999999822</v>
      </c>
      <c r="AL48" s="19"/>
      <c r="AM48" s="20"/>
      <c r="AO48" s="15" t="s">
        <v>1331</v>
      </c>
      <c r="AP48" s="15">
        <v>24.485847241853016</v>
      </c>
    </row>
    <row r="49" spans="1:49" ht="13.8" thickBot="1" x14ac:dyDescent="0.3">
      <c r="A49" t="s">
        <v>196</v>
      </c>
      <c r="B49" t="s">
        <v>13</v>
      </c>
      <c r="C49" s="10">
        <v>-8</v>
      </c>
      <c r="D49" t="s">
        <v>197</v>
      </c>
      <c r="E49" s="2">
        <f t="shared" si="3"/>
        <v>46205</v>
      </c>
      <c r="F49" s="3">
        <f t="shared" si="4"/>
        <v>0.7895833333333333</v>
      </c>
      <c r="G49" t="s">
        <v>198</v>
      </c>
      <c r="H49" t="s">
        <v>199</v>
      </c>
      <c r="I49" t="s">
        <v>17</v>
      </c>
      <c r="J49" s="2">
        <v>46205</v>
      </c>
      <c r="K49" s="1">
        <v>0.79861111111111116</v>
      </c>
      <c r="L49" s="10">
        <f t="shared" si="5"/>
        <v>13.000000000000114</v>
      </c>
      <c r="M49" s="1" t="str">
        <f t="shared" si="7"/>
        <v>On Time</v>
      </c>
      <c r="N49" s="27" t="str">
        <f t="shared" si="0"/>
        <v>Wizz Air</v>
      </c>
      <c r="O49" s="3" t="s">
        <v>1385</v>
      </c>
      <c r="P49" s="20">
        <f t="shared" si="1"/>
        <v>18</v>
      </c>
      <c r="Q49" s="3" t="s">
        <v>1385</v>
      </c>
      <c r="R49" s="23" t="str">
        <f t="shared" si="2"/>
        <v>Thursday</v>
      </c>
      <c r="S49" s="3" t="s">
        <v>1385</v>
      </c>
      <c r="T49" s="23" t="s">
        <v>13</v>
      </c>
      <c r="U49" s="3" t="s">
        <v>1385</v>
      </c>
      <c r="V49" s="7" t="s">
        <v>166</v>
      </c>
      <c r="W49" s="11">
        <v>7800000</v>
      </c>
      <c r="X49" s="11">
        <v>2803</v>
      </c>
      <c r="Y49" s="8">
        <v>2500</v>
      </c>
      <c r="Z49" s="9" cm="1">
        <f t="array" ref="Z49">IFERROR(MEDIAN(_xlfn.IFNA(_xlfn._xlws.FILTER($L$2:$L$1553, $H$2:$H$1553=V49),"")),NA())</f>
        <v>6.4999999999999867</v>
      </c>
      <c r="AA49" s="31"/>
      <c r="AH49" s="7" t="s">
        <v>836</v>
      </c>
      <c r="AI49" s="7">
        <v>70</v>
      </c>
      <c r="AJ49" s="10" cm="1">
        <f t="array" ref="AJ49">IFERROR(MEDIAN(_xlfn.IFNA(_xlfn._xlws.FILTER($L$2:$L$1553, $I$2:$I$1553=AH49),"")),NA())</f>
        <v>1.4999999999999147</v>
      </c>
      <c r="AL49" s="19"/>
      <c r="AM49" s="20"/>
      <c r="AO49" s="16" t="s">
        <v>1332</v>
      </c>
      <c r="AP49" s="16">
        <v>102</v>
      </c>
    </row>
    <row r="50" spans="1:49" ht="13.8" thickBot="1" x14ac:dyDescent="0.3">
      <c r="A50" t="s">
        <v>200</v>
      </c>
      <c r="B50" t="s">
        <v>13</v>
      </c>
      <c r="C50" s="10">
        <v>-66</v>
      </c>
      <c r="D50" t="s">
        <v>201</v>
      </c>
      <c r="E50" s="2">
        <f t="shared" si="3"/>
        <v>46205</v>
      </c>
      <c r="F50" s="3">
        <f t="shared" si="4"/>
        <v>0.82430555555555562</v>
      </c>
      <c r="G50" t="s">
        <v>202</v>
      </c>
      <c r="H50" t="s">
        <v>203</v>
      </c>
      <c r="I50" t="s">
        <v>17</v>
      </c>
      <c r="J50" s="2">
        <v>46205</v>
      </c>
      <c r="K50" s="1">
        <v>0.79861111111111116</v>
      </c>
      <c r="L50" s="10">
        <f t="shared" si="5"/>
        <v>-37.000000000000028</v>
      </c>
      <c r="M50" s="1" t="str">
        <f t="shared" si="7"/>
        <v>Delayed</v>
      </c>
      <c r="N50" s="27" t="str">
        <f t="shared" si="0"/>
        <v>Wizz Air</v>
      </c>
      <c r="O50" s="3" t="s">
        <v>1318</v>
      </c>
      <c r="P50" s="20">
        <f t="shared" si="1"/>
        <v>19</v>
      </c>
      <c r="Q50" s="3" t="s">
        <v>1318</v>
      </c>
      <c r="R50" s="23" t="str">
        <f t="shared" si="2"/>
        <v>Thursday</v>
      </c>
      <c r="S50" s="3" t="s">
        <v>1318</v>
      </c>
      <c r="T50" s="23" t="s">
        <v>13</v>
      </c>
      <c r="U50" s="3" t="s">
        <v>1318</v>
      </c>
      <c r="V50" s="7" t="s">
        <v>294</v>
      </c>
      <c r="W50" s="11">
        <v>9300000</v>
      </c>
      <c r="X50" s="11">
        <v>632</v>
      </c>
      <c r="Y50" s="7">
        <v>310</v>
      </c>
      <c r="Z50" s="9" cm="1">
        <f t="array" ref="Z50">IFERROR(MEDIAN(_xlfn.IFNA(_xlfn._xlws.FILTER($L$2:$L$1553, $H$2:$H$1553=V50),"")),NA())</f>
        <v>10.500000000000043</v>
      </c>
      <c r="AA50" s="31"/>
      <c r="AH50" s="7" t="s">
        <v>1020</v>
      </c>
      <c r="AI50" s="7">
        <v>6</v>
      </c>
      <c r="AJ50" s="10" cm="1">
        <f t="array" ref="AJ50">IFERROR(MEDIAN(_xlfn.IFNA(_xlfn._xlws.FILTER($L$2:$L$1553, $I$2:$I$1553=AH50),"")),NA())</f>
        <v>21.999999999999922</v>
      </c>
      <c r="AL50" s="19"/>
      <c r="AM50" s="20"/>
    </row>
    <row r="51" spans="1:49" ht="13.8" thickBot="1" x14ac:dyDescent="0.3">
      <c r="A51" t="s">
        <v>204</v>
      </c>
      <c r="B51" t="s">
        <v>7</v>
      </c>
      <c r="C51" s="10">
        <v>-37</v>
      </c>
      <c r="D51" t="s">
        <v>205</v>
      </c>
      <c r="E51" s="2">
        <f t="shared" si="3"/>
        <v>46205</v>
      </c>
      <c r="F51" s="3">
        <f t="shared" si="4"/>
        <v>0.80486111111111114</v>
      </c>
      <c r="G51" t="s">
        <v>206</v>
      </c>
      <c r="H51" t="s">
        <v>207</v>
      </c>
      <c r="I51" t="s">
        <v>11</v>
      </c>
      <c r="J51" s="2">
        <v>46205</v>
      </c>
      <c r="K51" s="1">
        <v>0.80555555555555547</v>
      </c>
      <c r="L51" s="10">
        <f t="shared" si="5"/>
        <v>0.99999999999983658</v>
      </c>
      <c r="M51" s="1" t="str">
        <f t="shared" si="7"/>
        <v>On Time</v>
      </c>
      <c r="N51" s="27" t="str">
        <f t="shared" si="0"/>
        <v>airBaltic</v>
      </c>
      <c r="O51" s="3" t="s">
        <v>1385</v>
      </c>
      <c r="P51" s="20">
        <f t="shared" si="1"/>
        <v>19</v>
      </c>
      <c r="Q51" s="3" t="s">
        <v>1385</v>
      </c>
      <c r="R51" s="23" t="str">
        <f t="shared" si="2"/>
        <v>Thursday</v>
      </c>
      <c r="S51" s="3" t="s">
        <v>1385</v>
      </c>
      <c r="T51" s="23" t="s">
        <v>7</v>
      </c>
      <c r="U51" s="3" t="s">
        <v>1385</v>
      </c>
      <c r="V51" s="7" t="s">
        <v>195</v>
      </c>
      <c r="W51" s="11">
        <v>1700000</v>
      </c>
      <c r="X51" s="11">
        <v>1894</v>
      </c>
      <c r="Y51" s="7">
        <v>220</v>
      </c>
      <c r="Z51" s="9" cm="1">
        <f t="array" ref="Z51">IFERROR(MEDIAN(_xlfn.IFNA(_xlfn._xlws.FILTER($L$2:$L$1553, $H$2:$H$1553=V51),"")),NA())</f>
        <v>15.000000000000107</v>
      </c>
      <c r="AA51" s="31"/>
      <c r="AH51" s="7" t="s">
        <v>944</v>
      </c>
      <c r="AI51" s="7">
        <v>7</v>
      </c>
      <c r="AJ51" s="10" cm="1">
        <f t="array" ref="AJ51">IFERROR(MEDIAN(_xlfn.IFNA(_xlfn._xlws.FILTER($L$2:$L$1553, $I$2:$I$1553=AH51),"")),NA())</f>
        <v>5.9999999999999787</v>
      </c>
      <c r="AL51" s="19"/>
      <c r="AM51" s="20"/>
      <c r="AO51" t="s">
        <v>1333</v>
      </c>
    </row>
    <row r="52" spans="1:49" ht="13.8" thickBot="1" x14ac:dyDescent="0.3">
      <c r="A52" t="s">
        <v>208</v>
      </c>
      <c r="B52" t="s">
        <v>96</v>
      </c>
      <c r="C52" s="10">
        <v>-16</v>
      </c>
      <c r="D52" t="s">
        <v>209</v>
      </c>
      <c r="E52" s="2">
        <f t="shared" si="3"/>
        <v>46205</v>
      </c>
      <c r="F52" s="3">
        <f t="shared" si="4"/>
        <v>0.79999999999999993</v>
      </c>
      <c r="G52" t="s">
        <v>98</v>
      </c>
      <c r="H52" t="s">
        <v>99</v>
      </c>
      <c r="I52" t="s">
        <v>210</v>
      </c>
      <c r="J52" s="2">
        <v>46205</v>
      </c>
      <c r="K52" s="1">
        <v>0.8125</v>
      </c>
      <c r="L52" s="10">
        <f t="shared" si="5"/>
        <v>18.000000000000096</v>
      </c>
      <c r="M52" s="1" t="str">
        <f t="shared" si="7"/>
        <v>On Time</v>
      </c>
      <c r="N52" s="27" t="str">
        <f t="shared" si="0"/>
        <v>Turkish Airlines</v>
      </c>
      <c r="O52" s="3" t="s">
        <v>1385</v>
      </c>
      <c r="P52" s="20">
        <f t="shared" si="1"/>
        <v>19</v>
      </c>
      <c r="Q52" s="3" t="s">
        <v>1385</v>
      </c>
      <c r="R52" s="23" t="str">
        <f t="shared" si="2"/>
        <v>Thursday</v>
      </c>
      <c r="S52" s="3" t="s">
        <v>1385</v>
      </c>
      <c r="T52" s="23" t="s">
        <v>96</v>
      </c>
      <c r="U52" s="3" t="s">
        <v>1385</v>
      </c>
      <c r="V52" s="7" t="s">
        <v>509</v>
      </c>
      <c r="W52" s="11">
        <v>2800000</v>
      </c>
      <c r="X52" s="11">
        <v>1828</v>
      </c>
      <c r="Y52" s="7">
        <v>140</v>
      </c>
      <c r="Z52" s="9" cm="1">
        <f t="array" ref="Z52">IFERROR(MEDIAN(_xlfn.IFNA(_xlfn._xlws.FILTER($L$2:$L$1553, $H$2:$H$1553=V52),"")),NA())</f>
        <v>30.50000000000005</v>
      </c>
      <c r="AA52" s="31"/>
      <c r="AH52" s="7" t="s">
        <v>983</v>
      </c>
      <c r="AI52" s="7">
        <v>189</v>
      </c>
      <c r="AJ52" s="10" cm="1">
        <f t="array" ref="AJ52">IFERROR(MEDIAN(_xlfn.IFNA(_xlfn._xlws.FILTER($L$2:$L$1553, $I$2:$I$1553=AH52),"")),NA())</f>
        <v>-33</v>
      </c>
      <c r="AL52" s="19"/>
      <c r="AM52" s="20"/>
      <c r="AO52" s="17"/>
      <c r="AP52" s="17" t="s">
        <v>1338</v>
      </c>
      <c r="AQ52" s="17" t="s">
        <v>1339</v>
      </c>
      <c r="AR52" s="17" t="s">
        <v>1340</v>
      </c>
      <c r="AS52" s="17" t="s">
        <v>1341</v>
      </c>
      <c r="AT52" s="17" t="s">
        <v>1342</v>
      </c>
    </row>
    <row r="53" spans="1:49" ht="13.8" thickBot="1" x14ac:dyDescent="0.3">
      <c r="A53" t="s">
        <v>211</v>
      </c>
      <c r="B53" t="s">
        <v>7</v>
      </c>
      <c r="C53" s="10">
        <v>-19</v>
      </c>
      <c r="D53" t="s">
        <v>212</v>
      </c>
      <c r="E53" s="2">
        <f t="shared" si="3"/>
        <v>46205</v>
      </c>
      <c r="F53" s="3">
        <f t="shared" si="4"/>
        <v>0.81736111111111109</v>
      </c>
      <c r="G53" t="s">
        <v>135</v>
      </c>
      <c r="H53" t="s">
        <v>136</v>
      </c>
      <c r="I53" t="s">
        <v>11</v>
      </c>
      <c r="J53" s="2">
        <v>46205</v>
      </c>
      <c r="K53" s="1">
        <v>0.82638888888888884</v>
      </c>
      <c r="L53" s="10">
        <f t="shared" si="5"/>
        <v>12.999999999999954</v>
      </c>
      <c r="M53" s="1" t="str">
        <f t="shared" si="7"/>
        <v>On Time</v>
      </c>
      <c r="N53" s="27" t="str">
        <f t="shared" si="0"/>
        <v>airBaltic</v>
      </c>
      <c r="O53" s="3" t="s">
        <v>1385</v>
      </c>
      <c r="P53" s="20">
        <f t="shared" si="1"/>
        <v>19</v>
      </c>
      <c r="Q53" s="3" t="s">
        <v>1385</v>
      </c>
      <c r="R53" s="23" t="str">
        <f t="shared" si="2"/>
        <v>Thursday</v>
      </c>
      <c r="S53" s="3" t="s">
        <v>1385</v>
      </c>
      <c r="T53" s="23" t="s">
        <v>7</v>
      </c>
      <c r="U53" s="3" t="s">
        <v>1385</v>
      </c>
      <c r="V53" s="7" t="s">
        <v>405</v>
      </c>
      <c r="W53" s="11">
        <v>8100000</v>
      </c>
      <c r="X53" s="11">
        <v>2284</v>
      </c>
      <c r="Y53" s="7">
        <v>520</v>
      </c>
      <c r="Z53" s="9" cm="1">
        <f t="array" ref="Z53">IFERROR(MEDIAN(_xlfn.IFNA(_xlfn._xlws.FILTER($L$2:$L$1553, $H$2:$H$1553=V53),"")),NA())</f>
        <v>14</v>
      </c>
      <c r="AA53" s="31"/>
      <c r="AH53" s="7" t="s">
        <v>1072</v>
      </c>
      <c r="AI53" s="7">
        <v>189</v>
      </c>
      <c r="AJ53" s="10" cm="1">
        <f t="array" ref="AJ53">IFERROR(MEDIAN(_xlfn.IFNA(_xlfn._xlws.FILTER($L$2:$L$1553, $I$2:$I$1553=AH53),"")),NA())</f>
        <v>-7.5000000000000142</v>
      </c>
      <c r="AL53" s="19"/>
      <c r="AM53" s="20"/>
      <c r="AO53" s="15" t="s">
        <v>1334</v>
      </c>
      <c r="AP53" s="15">
        <v>1</v>
      </c>
      <c r="AQ53" s="15">
        <v>47.576033883473428</v>
      </c>
      <c r="AR53" s="15">
        <v>47.576033883473428</v>
      </c>
      <c r="AS53" s="15">
        <v>7.935201571624903E-2</v>
      </c>
      <c r="AT53" s="15">
        <v>0.77875958030954351</v>
      </c>
    </row>
    <row r="54" spans="1:49" ht="13.8" thickBot="1" x14ac:dyDescent="0.3">
      <c r="A54" t="s">
        <v>213</v>
      </c>
      <c r="B54" t="s">
        <v>85</v>
      </c>
      <c r="C54" s="10">
        <v>-52</v>
      </c>
      <c r="D54" t="s">
        <v>214</v>
      </c>
      <c r="E54" s="2">
        <f t="shared" si="3"/>
        <v>46205</v>
      </c>
      <c r="F54" s="3">
        <f t="shared" si="4"/>
        <v>0.84861111111111109</v>
      </c>
      <c r="G54" t="s">
        <v>102</v>
      </c>
      <c r="H54" t="s">
        <v>115</v>
      </c>
      <c r="I54" t="s">
        <v>162</v>
      </c>
      <c r="J54" s="2">
        <v>46205</v>
      </c>
      <c r="K54" s="1">
        <v>0.84027777777777779</v>
      </c>
      <c r="L54" s="10">
        <f t="shared" si="5"/>
        <v>-11.999999999999957</v>
      </c>
      <c r="M54" s="1" t="str">
        <f t="shared" si="7"/>
        <v>On Time</v>
      </c>
      <c r="N54" s="27" t="str">
        <f t="shared" si="0"/>
        <v>Ryanair</v>
      </c>
      <c r="O54" s="3" t="s">
        <v>1385</v>
      </c>
      <c r="P54" s="20">
        <f t="shared" si="1"/>
        <v>20</v>
      </c>
      <c r="Q54" s="3" t="s">
        <v>1385</v>
      </c>
      <c r="R54" s="23" t="str">
        <f t="shared" si="2"/>
        <v>Thursday</v>
      </c>
      <c r="S54" s="3" t="s">
        <v>1385</v>
      </c>
      <c r="T54" s="23" t="s">
        <v>85</v>
      </c>
      <c r="U54" s="3" t="s">
        <v>1385</v>
      </c>
      <c r="V54" s="7" t="s">
        <v>58</v>
      </c>
      <c r="W54" s="11">
        <v>2100000</v>
      </c>
      <c r="X54" s="11">
        <v>933</v>
      </c>
      <c r="Y54" s="8">
        <v>1400</v>
      </c>
      <c r="Z54" s="9" cm="1">
        <f t="array" ref="Z54">IFERROR(MEDIAN(_xlfn.IFNA(_xlfn._xlws.FILTER($L$2:$L$1553, $H$2:$H$1553=V54),"")),NA())</f>
        <v>-0.99999999999991651</v>
      </c>
      <c r="AA54" s="31"/>
      <c r="AH54" s="7" t="s">
        <v>958</v>
      </c>
      <c r="AI54" s="7">
        <v>189</v>
      </c>
      <c r="AJ54" s="10" cm="1">
        <f t="array" ref="AJ54">IFERROR(MEDIAN(_xlfn.IFNA(_xlfn._xlws.FILTER($L$2:$L$1553, $I$2:$I$1553=AH54),"")),NA())</f>
        <v>0.99999999999983658</v>
      </c>
      <c r="AL54" s="19"/>
      <c r="AM54" s="20"/>
      <c r="AO54" s="15" t="s">
        <v>1335</v>
      </c>
      <c r="AP54" s="15">
        <v>100</v>
      </c>
      <c r="AQ54" s="15">
        <v>59955.671515136091</v>
      </c>
      <c r="AR54" s="15">
        <v>599.55671515136089</v>
      </c>
      <c r="AS54" s="15"/>
      <c r="AT54" s="15"/>
    </row>
    <row r="55" spans="1:49" ht="13.8" thickBot="1" x14ac:dyDescent="0.3">
      <c r="A55" t="s">
        <v>215</v>
      </c>
      <c r="B55" t="s">
        <v>13</v>
      </c>
      <c r="C55" s="10">
        <v>-4</v>
      </c>
      <c r="D55" t="s">
        <v>216</v>
      </c>
      <c r="E55" s="2">
        <f t="shared" si="3"/>
        <v>46205</v>
      </c>
      <c r="F55" s="3">
        <f t="shared" si="4"/>
        <v>0.82708333333333339</v>
      </c>
      <c r="G55" t="s">
        <v>217</v>
      </c>
      <c r="H55" t="s">
        <v>218</v>
      </c>
      <c r="I55" t="s">
        <v>17</v>
      </c>
      <c r="J55" s="2">
        <v>46205</v>
      </c>
      <c r="K55" s="1">
        <v>0.84375</v>
      </c>
      <c r="L55" s="10">
        <f t="shared" si="5"/>
        <v>23.999999999999915</v>
      </c>
      <c r="M55" s="1" t="str">
        <f t="shared" si="7"/>
        <v>On Time</v>
      </c>
      <c r="N55" s="27" t="str">
        <f t="shared" si="0"/>
        <v>Wizz Air</v>
      </c>
      <c r="O55" s="3" t="s">
        <v>1385</v>
      </c>
      <c r="P55" s="20">
        <f t="shared" si="1"/>
        <v>19</v>
      </c>
      <c r="Q55" s="3" t="s">
        <v>1385</v>
      </c>
      <c r="R55" s="23" t="str">
        <f t="shared" si="2"/>
        <v>Thursday</v>
      </c>
      <c r="S55" s="3" t="s">
        <v>1385</v>
      </c>
      <c r="T55" s="23" t="s">
        <v>13</v>
      </c>
      <c r="U55" s="3" t="s">
        <v>1385</v>
      </c>
      <c r="V55" s="7" t="s">
        <v>1077</v>
      </c>
      <c r="W55" s="11">
        <v>10000</v>
      </c>
      <c r="X55" s="11">
        <v>262</v>
      </c>
      <c r="Y55" s="7">
        <v>212</v>
      </c>
      <c r="Z55" s="9" cm="1">
        <f t="array" ref="Z55">IFERROR(MEDIAN(_xlfn.IFNA(_xlfn._xlws.FILTER($L$2:$L$1553, $H$2:$H$1553=V55),"")),NA())</f>
        <v>12.000000000000117</v>
      </c>
      <c r="AA55" s="31"/>
      <c r="AH55" s="7" t="s">
        <v>469</v>
      </c>
      <c r="AI55" s="7">
        <v>240</v>
      </c>
      <c r="AJ55" s="10" cm="1">
        <f t="array" ref="AJ55">IFERROR(MEDIAN(_xlfn.IFNA(_xlfn._xlws.FILTER($L$2:$L$1553, $I$2:$I$1553=AH55),"")),NA())</f>
        <v>13.000000000000034</v>
      </c>
      <c r="AL55" s="19"/>
      <c r="AM55" s="20"/>
      <c r="AO55" s="16" t="s">
        <v>1336</v>
      </c>
      <c r="AP55" s="16">
        <v>101</v>
      </c>
      <c r="AQ55" s="16">
        <v>60003.247549019565</v>
      </c>
      <c r="AR55" s="16"/>
      <c r="AS55" s="16"/>
      <c r="AT55" s="16"/>
    </row>
    <row r="56" spans="1:49" ht="13.8" thickBot="1" x14ac:dyDescent="0.3">
      <c r="A56" t="s">
        <v>219</v>
      </c>
      <c r="B56" t="s">
        <v>7</v>
      </c>
      <c r="C56" s="10">
        <v>-36</v>
      </c>
      <c r="D56" t="s">
        <v>220</v>
      </c>
      <c r="E56" s="2">
        <f t="shared" si="3"/>
        <v>46205</v>
      </c>
      <c r="F56" s="3">
        <f t="shared" si="4"/>
        <v>0.88263888888888886</v>
      </c>
      <c r="G56" t="s">
        <v>9</v>
      </c>
      <c r="H56" t="s">
        <v>10</v>
      </c>
      <c r="I56" t="s">
        <v>11</v>
      </c>
      <c r="J56" s="2">
        <v>46205</v>
      </c>
      <c r="K56" s="1">
        <v>0.86805555555555547</v>
      </c>
      <c r="L56" s="10">
        <f t="shared" si="5"/>
        <v>-21.000000000000085</v>
      </c>
      <c r="M56" s="1" t="str">
        <f t="shared" si="7"/>
        <v>Delayed</v>
      </c>
      <c r="N56" s="27" t="str">
        <f t="shared" si="0"/>
        <v>airBaltic</v>
      </c>
      <c r="O56" s="3" t="s">
        <v>1318</v>
      </c>
      <c r="P56" s="20">
        <f t="shared" si="1"/>
        <v>21</v>
      </c>
      <c r="Q56" s="3" t="s">
        <v>1318</v>
      </c>
      <c r="R56" s="23" t="str">
        <f t="shared" si="2"/>
        <v>Thursday</v>
      </c>
      <c r="S56" s="3" t="s">
        <v>1318</v>
      </c>
      <c r="T56" s="23" t="s">
        <v>7</v>
      </c>
      <c r="U56" s="3" t="s">
        <v>1318</v>
      </c>
      <c r="V56" s="7" t="s">
        <v>486</v>
      </c>
      <c r="W56" s="11">
        <v>33600000</v>
      </c>
      <c r="X56" s="11">
        <v>3121</v>
      </c>
      <c r="Y56" s="7">
        <v>500</v>
      </c>
      <c r="Z56" s="9" cm="1">
        <f t="array" ref="Z56">IFERROR(MEDIAN(_xlfn.IFNA(_xlfn._xlws.FILTER($L$2:$L$1553, $H$2:$H$1553=V56),"")),NA())</f>
        <v>6.4999999999999769</v>
      </c>
      <c r="AA56" s="31"/>
      <c r="AH56" s="7" t="s">
        <v>725</v>
      </c>
      <c r="AI56" s="7">
        <v>180</v>
      </c>
      <c r="AJ56" s="10" cm="1">
        <f t="array" ref="AJ56">IFERROR(MEDIAN(_xlfn.IFNA(_xlfn._xlws.FILTER($L$2:$L$1553, $I$2:$I$1553=AH56),"")),NA())</f>
        <v>-6.4999999999999769</v>
      </c>
      <c r="AL56" s="19"/>
      <c r="AM56" s="20"/>
    </row>
    <row r="57" spans="1:49" ht="13.8" thickBot="1" x14ac:dyDescent="0.3">
      <c r="A57" t="s">
        <v>123</v>
      </c>
      <c r="B57" t="s">
        <v>124</v>
      </c>
      <c r="D57" t="s">
        <v>221</v>
      </c>
      <c r="E57" s="2">
        <f t="shared" si="3"/>
        <v>46205</v>
      </c>
      <c r="F57" s="3">
        <f t="shared" si="4"/>
        <v>0.87291666666666667</v>
      </c>
      <c r="G57" t="s">
        <v>222</v>
      </c>
      <c r="H57" t="s">
        <v>223</v>
      </c>
      <c r="I57" t="s">
        <v>126</v>
      </c>
      <c r="J57" s="2">
        <v>46205</v>
      </c>
      <c r="K57" s="1">
        <v>0.86805555555555547</v>
      </c>
      <c r="L57" s="10">
        <f t="shared" si="5"/>
        <v>-7.000000000000135</v>
      </c>
      <c r="M57" s="1" t="str">
        <f t="shared" si="7"/>
        <v>On Time</v>
      </c>
      <c r="N57" s="27" t="str">
        <f t="shared" si="0"/>
        <v>GetJet Airlines</v>
      </c>
      <c r="O57" s="3" t="s">
        <v>1385</v>
      </c>
      <c r="P57" s="20">
        <f t="shared" si="1"/>
        <v>20</v>
      </c>
      <c r="Q57" s="3" t="s">
        <v>1385</v>
      </c>
      <c r="R57" s="23" t="str">
        <f t="shared" si="2"/>
        <v>Thursday</v>
      </c>
      <c r="S57" s="3" t="s">
        <v>1385</v>
      </c>
      <c r="T57" s="23" t="s">
        <v>124</v>
      </c>
      <c r="U57" s="3" t="s">
        <v>1385</v>
      </c>
      <c r="V57" s="7" t="s">
        <v>1268</v>
      </c>
      <c r="W57" s="9" t="e" cm="1">
        <f t="array" ref="W57">IFERROR(MEDIAN(_xlfn.IFNA(_xlfn._xlws.FILTER(#REF!, $H$2:$H$1553=T57),"")),NA())</f>
        <v>#N/A</v>
      </c>
      <c r="X57" s="11">
        <v>1732</v>
      </c>
      <c r="Y57" s="7">
        <v>200</v>
      </c>
      <c r="Z57" s="9" cm="1">
        <f t="array" ref="Z57">IFERROR(MEDIAN(_xlfn.IFNA(_xlfn._xlws.FILTER($L$2:$L$1553, $H$2:$H$1553=V57),"")),NA())</f>
        <v>1.9999999999999929</v>
      </c>
      <c r="AA57" s="31"/>
      <c r="AH57" s="7" t="s">
        <v>1124</v>
      </c>
      <c r="AI57" s="7">
        <v>9</v>
      </c>
      <c r="AJ57" s="10" cm="1">
        <f t="array" ref="AJ57">IFERROR(MEDIAN(_xlfn.IFNA(_xlfn._xlws.FILTER($L$2:$L$1553, $I$2:$I$1553=AH57),"")),NA())</f>
        <v>-18.999999999999932</v>
      </c>
      <c r="AL57" s="19"/>
      <c r="AM57" s="20"/>
      <c r="AO57" s="17"/>
      <c r="AP57" s="17" t="s">
        <v>1343</v>
      </c>
      <c r="AQ57" s="17" t="s">
        <v>1331</v>
      </c>
      <c r="AR57" s="17" t="s">
        <v>1344</v>
      </c>
      <c r="AS57" s="17" t="s">
        <v>1345</v>
      </c>
      <c r="AT57" s="17" t="s">
        <v>1346</v>
      </c>
      <c r="AU57" s="17" t="s">
        <v>1347</v>
      </c>
      <c r="AV57" s="17" t="s">
        <v>1348</v>
      </c>
      <c r="AW57" s="17" t="s">
        <v>1349</v>
      </c>
    </row>
    <row r="58" spans="1:49" ht="13.8" thickBot="1" x14ac:dyDescent="0.3">
      <c r="A58" t="s">
        <v>224</v>
      </c>
      <c r="B58" t="s">
        <v>151</v>
      </c>
      <c r="C58" s="10">
        <v>0</v>
      </c>
      <c r="D58" t="s">
        <v>225</v>
      </c>
      <c r="E58" s="2">
        <f t="shared" si="3"/>
        <v>46205</v>
      </c>
      <c r="F58" s="3">
        <f t="shared" si="4"/>
        <v>0.86388888888888893</v>
      </c>
      <c r="G58" t="s">
        <v>226</v>
      </c>
      <c r="H58" t="s">
        <v>227</v>
      </c>
      <c r="I58" t="s">
        <v>188</v>
      </c>
      <c r="J58" s="2">
        <v>46205</v>
      </c>
      <c r="K58" s="1">
        <v>0.875</v>
      </c>
      <c r="L58" s="10">
        <f t="shared" si="5"/>
        <v>15.999999999999943</v>
      </c>
      <c r="M58" s="1" t="str">
        <f t="shared" si="7"/>
        <v>On Time</v>
      </c>
      <c r="N58" s="27" t="e">
        <f t="shared" si="0"/>
        <v>#N/A</v>
      </c>
      <c r="O58" s="3" t="s">
        <v>1385</v>
      </c>
      <c r="P58" s="20">
        <f t="shared" si="1"/>
        <v>20</v>
      </c>
      <c r="Q58" s="3" t="s">
        <v>1385</v>
      </c>
      <c r="R58" s="23" t="str">
        <f t="shared" si="2"/>
        <v>Thursday</v>
      </c>
      <c r="S58" s="3" t="s">
        <v>1385</v>
      </c>
      <c r="T58" s="23" t="s">
        <v>151</v>
      </c>
      <c r="U58" s="3" t="s">
        <v>1385</v>
      </c>
      <c r="V58" s="7" t="s">
        <v>115</v>
      </c>
      <c r="W58" s="11">
        <v>16200000</v>
      </c>
      <c r="X58" s="11">
        <v>1731</v>
      </c>
      <c r="Y58" s="7">
        <v>225</v>
      </c>
      <c r="Z58" s="9" cm="1">
        <f t="array" ref="Z58">IFERROR(MEDIAN(_xlfn.IFNA(_xlfn._xlws.FILTER($L$2:$L$1553, $H$2:$H$1553=V58),"")),NA())</f>
        <v>4.9999999999999822</v>
      </c>
      <c r="AA58" s="31"/>
      <c r="AH58" s="7" t="s">
        <v>1151</v>
      </c>
      <c r="AI58" s="7">
        <v>6</v>
      </c>
      <c r="AJ58" s="10" cm="1">
        <f t="array" ref="AJ58">IFERROR(MEDIAN(_xlfn.IFNA(_xlfn._xlws.FILTER($L$2:$L$1553, $I$2:$I$1553=AH58),"")),NA())</f>
        <v>-4.0000000000001457</v>
      </c>
      <c r="AL58" s="19"/>
      <c r="AM58" s="20"/>
      <c r="AO58" s="15" t="s">
        <v>1337</v>
      </c>
      <c r="AP58" s="15">
        <v>-0.81837409719330267</v>
      </c>
      <c r="AQ58" s="15">
        <v>2.9837992133944815</v>
      </c>
      <c r="AR58" s="15">
        <v>-0.2742725091955131</v>
      </c>
      <c r="AS58" s="15">
        <v>0.7844409864749331</v>
      </c>
      <c r="AT58" s="15">
        <v>-6.7381467535609429</v>
      </c>
      <c r="AU58" s="15">
        <v>5.1013985591743376</v>
      </c>
      <c r="AV58" s="15">
        <v>-6.7381467535609429</v>
      </c>
      <c r="AW58" s="15">
        <v>5.1013985591743376</v>
      </c>
    </row>
    <row r="59" spans="1:49" ht="13.8" thickBot="1" x14ac:dyDescent="0.3">
      <c r="A59" t="s">
        <v>228</v>
      </c>
      <c r="B59" t="s">
        <v>69</v>
      </c>
      <c r="C59" s="10">
        <v>-17</v>
      </c>
      <c r="D59" t="s">
        <v>229</v>
      </c>
      <c r="E59" s="2">
        <f t="shared" si="3"/>
        <v>46205</v>
      </c>
      <c r="F59" s="3">
        <f t="shared" si="4"/>
        <v>0.89097222222222217</v>
      </c>
      <c r="G59" t="s">
        <v>71</v>
      </c>
      <c r="H59" t="s">
        <v>72</v>
      </c>
      <c r="I59" t="s">
        <v>73</v>
      </c>
      <c r="J59" s="2">
        <v>46205</v>
      </c>
      <c r="K59" s="1">
        <v>0.88194444444444453</v>
      </c>
      <c r="L59" s="10">
        <f t="shared" si="5"/>
        <v>-12.999999999999794</v>
      </c>
      <c r="M59" s="1" t="str">
        <f t="shared" si="7"/>
        <v>On Time</v>
      </c>
      <c r="N59" s="27" t="str">
        <f t="shared" si="0"/>
        <v>Finnair</v>
      </c>
      <c r="O59" s="3" t="s">
        <v>1385</v>
      </c>
      <c r="P59" s="20">
        <f t="shared" si="1"/>
        <v>21</v>
      </c>
      <c r="Q59" s="3" t="s">
        <v>1385</v>
      </c>
      <c r="R59" s="23" t="str">
        <f t="shared" si="2"/>
        <v>Thursday</v>
      </c>
      <c r="S59" s="3" t="s">
        <v>1385</v>
      </c>
      <c r="T59" s="23" t="s">
        <v>69</v>
      </c>
      <c r="U59" s="3" t="s">
        <v>1385</v>
      </c>
      <c r="V59" s="7" t="s">
        <v>103</v>
      </c>
      <c r="W59" s="11">
        <v>29700000</v>
      </c>
      <c r="X59" s="11">
        <v>1682</v>
      </c>
      <c r="Y59" s="7">
        <v>950</v>
      </c>
      <c r="Z59" s="9" cm="1">
        <f t="array" ref="Z59">IFERROR(MEDIAN(_xlfn.IFNA(_xlfn._xlws.FILTER($L$2:$L$1553, $H$2:$H$1553=V59),"")),NA())</f>
        <v>6.4999999999999769</v>
      </c>
      <c r="AA59" s="31"/>
      <c r="AH59" s="7" t="s">
        <v>1160</v>
      </c>
      <c r="AI59" s="7">
        <v>193</v>
      </c>
      <c r="AJ59" s="10" cm="1">
        <f t="array" ref="AJ59">IFERROR(MEDIAN(_xlfn.IFNA(_xlfn._xlws.FILTER($L$2:$L$1553, $I$2:$I$1553=AH59),"")),NA())</f>
        <v>18.000000000000096</v>
      </c>
      <c r="AL59" s="19"/>
      <c r="AM59" s="20"/>
      <c r="AO59" s="16" t="s">
        <v>1350</v>
      </c>
      <c r="AP59" s="16">
        <v>6.5949849442722714E-4</v>
      </c>
      <c r="AQ59" s="16">
        <v>2.3411801152838298E-3</v>
      </c>
      <c r="AR59" s="16">
        <v>0.28169489827879979</v>
      </c>
      <c r="AS59" s="16">
        <v>0.77875958030946979</v>
      </c>
      <c r="AT59" s="16">
        <v>-3.9853361740295858E-3</v>
      </c>
      <c r="AU59" s="16">
        <v>5.3043331628840401E-3</v>
      </c>
      <c r="AV59" s="16">
        <v>-3.9853361740295858E-3</v>
      </c>
      <c r="AW59" s="16">
        <v>5.3043331628840401E-3</v>
      </c>
    </row>
    <row r="60" spans="1:49" ht="13.8" thickBot="1" x14ac:dyDescent="0.3">
      <c r="A60" t="s">
        <v>230</v>
      </c>
      <c r="B60" t="s">
        <v>231</v>
      </c>
      <c r="C60" s="10">
        <v>-23</v>
      </c>
      <c r="D60" t="s">
        <v>232</v>
      </c>
      <c r="E60" s="2">
        <f t="shared" si="3"/>
        <v>46205</v>
      </c>
      <c r="F60" s="3">
        <f t="shared" si="4"/>
        <v>0.88055555555555554</v>
      </c>
      <c r="G60" t="s">
        <v>81</v>
      </c>
      <c r="H60" t="s">
        <v>82</v>
      </c>
      <c r="I60" t="s">
        <v>83</v>
      </c>
      <c r="J60" s="2">
        <v>46205</v>
      </c>
      <c r="K60" s="1">
        <v>0.88541666666666663</v>
      </c>
      <c r="L60" s="10">
        <f t="shared" si="5"/>
        <v>6.9999999999999751</v>
      </c>
      <c r="M60" s="1" t="str">
        <f t="shared" si="7"/>
        <v>On Time</v>
      </c>
      <c r="N60" s="27" t="e">
        <f t="shared" si="0"/>
        <v>#N/A</v>
      </c>
      <c r="O60" s="3" t="s">
        <v>1385</v>
      </c>
      <c r="P60" s="20">
        <f t="shared" si="1"/>
        <v>21</v>
      </c>
      <c r="Q60" s="3" t="s">
        <v>1385</v>
      </c>
      <c r="R60" s="23" t="str">
        <f t="shared" si="2"/>
        <v>Thursday</v>
      </c>
      <c r="S60" s="3" t="s">
        <v>1385</v>
      </c>
      <c r="T60" s="23" t="s">
        <v>231</v>
      </c>
      <c r="U60" s="3" t="s">
        <v>1385</v>
      </c>
      <c r="V60" s="7" t="s">
        <v>618</v>
      </c>
      <c r="W60" s="11">
        <v>4800000</v>
      </c>
      <c r="X60" s="11">
        <v>1329</v>
      </c>
      <c r="Y60" s="7">
        <v>400</v>
      </c>
      <c r="Z60" s="9" t="e" cm="1">
        <f t="array" ref="Z60">IFERROR(MEDIAN(_xlfn.IFNA(_xlfn._xlws.FILTER($L$2:$L$1553, $H$2:$H$1553=V60),"")),NA())</f>
        <v>#N/A</v>
      </c>
      <c r="AA60" s="31"/>
      <c r="AH60" s="7" t="s">
        <v>1233</v>
      </c>
      <c r="AI60" s="7">
        <v>8</v>
      </c>
      <c r="AJ60" s="10" cm="1">
        <f t="array" ref="AJ60">IFERROR(MEDIAN(_xlfn.IFNA(_xlfn._xlws.FILTER($L$2:$L$1553, $I$2:$I$1553=AH60),"")),NA())</f>
        <v>-58.000000000000114</v>
      </c>
      <c r="AL60" s="19"/>
      <c r="AM60" s="20"/>
    </row>
    <row r="61" spans="1:49" ht="13.8" thickBot="1" x14ac:dyDescent="0.3">
      <c r="A61" t="s">
        <v>233</v>
      </c>
      <c r="B61" t="s">
        <v>7</v>
      </c>
      <c r="C61" s="10">
        <v>-216</v>
      </c>
      <c r="D61" t="s">
        <v>234</v>
      </c>
      <c r="E61" s="2">
        <f t="shared" si="3"/>
        <v>46205</v>
      </c>
      <c r="F61" s="3" t="e">
        <f t="shared" si="4"/>
        <v>#N/A</v>
      </c>
      <c r="G61" t="s">
        <v>76</v>
      </c>
      <c r="H61" t="s">
        <v>77</v>
      </c>
      <c r="I61" t="s">
        <v>11</v>
      </c>
      <c r="J61" s="2">
        <v>46205</v>
      </c>
      <c r="K61" s="1">
        <v>0.90625</v>
      </c>
      <c r="L61" s="10" t="e">
        <f t="shared" si="5"/>
        <v>#N/A</v>
      </c>
      <c r="M61" s="1" t="e">
        <f t="shared" si="7"/>
        <v>#N/A</v>
      </c>
      <c r="N61" s="27" t="str">
        <f t="shared" si="0"/>
        <v>airBaltic</v>
      </c>
      <c r="O61" s="3" t="e">
        <v>#N/A</v>
      </c>
      <c r="P61" s="20" t="e">
        <f t="shared" si="1"/>
        <v>#N/A</v>
      </c>
      <c r="Q61" s="3" t="e">
        <v>#N/A</v>
      </c>
      <c r="R61" s="23" t="str">
        <f t="shared" si="2"/>
        <v>Thursday</v>
      </c>
      <c r="S61" s="3" t="e">
        <v>#N/A</v>
      </c>
      <c r="T61" s="23" t="s">
        <v>7</v>
      </c>
      <c r="V61" s="7" t="s">
        <v>350</v>
      </c>
      <c r="W61" s="11">
        <v>22300000</v>
      </c>
      <c r="X61" s="11">
        <v>2984</v>
      </c>
      <c r="Y61" s="7">
        <v>600</v>
      </c>
      <c r="Z61" s="9" cm="1">
        <f t="array" ref="Z61">IFERROR(MEDIAN(_xlfn.IFNA(_xlfn._xlws.FILTER($L$2:$L$1553, $H$2:$H$1553=V61),"")),NA())</f>
        <v>4.0000000000000657</v>
      </c>
      <c r="AA61" s="31"/>
      <c r="AD61" s="3"/>
      <c r="AH61" s="7" t="s">
        <v>1250</v>
      </c>
      <c r="AI61" s="7">
        <v>9</v>
      </c>
      <c r="AJ61" s="10" cm="1">
        <f t="array" ref="AJ61">IFERROR(MEDIAN(_xlfn.IFNA(_xlfn._xlws.FILTER($L$2:$L$1553, $I$2:$I$1553=AH61),"")),NA())</f>
        <v>-39.000000000000021</v>
      </c>
      <c r="AL61" s="19"/>
      <c r="AM61" s="20"/>
    </row>
    <row r="62" spans="1:49" ht="13.8" thickBot="1" x14ac:dyDescent="0.3">
      <c r="A62" t="s">
        <v>235</v>
      </c>
      <c r="B62" t="s">
        <v>19</v>
      </c>
      <c r="C62" s="10">
        <v>-41</v>
      </c>
      <c r="D62" t="s">
        <v>236</v>
      </c>
      <c r="E62" s="2">
        <f t="shared" si="3"/>
        <v>46205</v>
      </c>
      <c r="F62" s="3">
        <f t="shared" si="4"/>
        <v>0.94305555555555554</v>
      </c>
      <c r="G62" t="s">
        <v>21</v>
      </c>
      <c r="H62" t="s">
        <v>22</v>
      </c>
      <c r="I62" t="s">
        <v>237</v>
      </c>
      <c r="J62" s="2">
        <v>46205</v>
      </c>
      <c r="K62" s="1">
        <v>0.93055555555555547</v>
      </c>
      <c r="L62" s="10">
        <f t="shared" si="5"/>
        <v>-18.000000000000096</v>
      </c>
      <c r="M62" s="1" t="str">
        <f t="shared" si="7"/>
        <v>Delayed</v>
      </c>
      <c r="N62" s="27" t="str">
        <f t="shared" si="0"/>
        <v>LOT</v>
      </c>
      <c r="O62" s="3" t="s">
        <v>1318</v>
      </c>
      <c r="P62" s="20">
        <f t="shared" si="1"/>
        <v>22</v>
      </c>
      <c r="Q62" s="3" t="s">
        <v>1318</v>
      </c>
      <c r="R62" s="23" t="str">
        <f t="shared" si="2"/>
        <v>Thursday</v>
      </c>
      <c r="S62" s="3" t="s">
        <v>1318</v>
      </c>
      <c r="T62" s="23" t="s">
        <v>19</v>
      </c>
      <c r="U62" s="3" t="s">
        <v>1318</v>
      </c>
      <c r="V62" s="7" t="s">
        <v>130</v>
      </c>
      <c r="W62" s="11">
        <v>7800000</v>
      </c>
      <c r="X62" s="11">
        <v>2201</v>
      </c>
      <c r="Y62" s="7">
        <v>310</v>
      </c>
      <c r="Z62" s="9" cm="1">
        <f t="array" ref="Z62">IFERROR(MEDIAN(_xlfn.IFNA(_xlfn._xlws.FILTER($L$2:$L$1553, $H$2:$H$1553=V62),"")),NA())</f>
        <v>10.999999999999961</v>
      </c>
      <c r="AA62" s="31"/>
      <c r="AH62" s="7" t="s">
        <v>1308</v>
      </c>
      <c r="AI62" s="7">
        <v>13</v>
      </c>
      <c r="AJ62" s="10" cm="1">
        <f t="array" ref="AJ62">IFERROR(MEDIAN(_xlfn.IFNA(_xlfn._xlws.FILTER($L$2:$L$1553, $I$2:$I$1553=AH62),"")),NA())</f>
        <v>-12.999999999999794</v>
      </c>
      <c r="AL62" s="19"/>
      <c r="AM62" s="20"/>
      <c r="AO62" t="s">
        <v>1390</v>
      </c>
    </row>
    <row r="63" spans="1:49" ht="27" thickBot="1" x14ac:dyDescent="0.3">
      <c r="A63" t="s">
        <v>238</v>
      </c>
      <c r="B63" t="s">
        <v>239</v>
      </c>
      <c r="C63" s="10">
        <v>-11</v>
      </c>
      <c r="D63" t="s">
        <v>240</v>
      </c>
      <c r="E63" s="2">
        <f t="shared" si="3"/>
        <v>46205</v>
      </c>
      <c r="F63" s="3">
        <f t="shared" si="4"/>
        <v>0.9194444444444444</v>
      </c>
      <c r="G63" t="s">
        <v>119</v>
      </c>
      <c r="H63" t="s">
        <v>120</v>
      </c>
      <c r="I63" t="s">
        <v>83</v>
      </c>
      <c r="J63" s="2">
        <v>46205</v>
      </c>
      <c r="K63" s="1">
        <v>0.94097222222222221</v>
      </c>
      <c r="L63" s="10">
        <f t="shared" si="5"/>
        <v>31.00000000000005</v>
      </c>
      <c r="M63" s="1" t="str">
        <f t="shared" si="7"/>
        <v>On Time</v>
      </c>
      <c r="N63" s="27" t="str">
        <f t="shared" si="0"/>
        <v>Eurowings</v>
      </c>
      <c r="O63" s="3" t="s">
        <v>1385</v>
      </c>
      <c r="P63" s="20">
        <f t="shared" si="1"/>
        <v>22</v>
      </c>
      <c r="Q63" s="3" t="s">
        <v>1385</v>
      </c>
      <c r="R63" s="23" t="str">
        <f t="shared" si="2"/>
        <v>Thursday</v>
      </c>
      <c r="S63" s="3" t="s">
        <v>1385</v>
      </c>
      <c r="T63" s="23" t="s">
        <v>239</v>
      </c>
      <c r="U63" s="3" t="s">
        <v>1385</v>
      </c>
      <c r="V63" s="7" t="s">
        <v>161</v>
      </c>
      <c r="W63" s="11">
        <v>16000000</v>
      </c>
      <c r="X63" s="11">
        <v>1402</v>
      </c>
      <c r="Y63" s="7">
        <v>350</v>
      </c>
      <c r="Z63" s="9" cm="1">
        <f t="array" ref="Z63">IFERROR(MEDIAN(_xlfn.IFNA(_xlfn._xlws.FILTER($L$2:$L$1553, $H$2:$H$1553=V63),"")),NA())</f>
        <v>2.9999999999999893</v>
      </c>
      <c r="AA63" s="31"/>
      <c r="AH63" s="13"/>
      <c r="AI63" s="8"/>
      <c r="AL63" s="19"/>
      <c r="AM63" s="20"/>
    </row>
    <row r="64" spans="1:49" ht="13.8" thickBot="1" x14ac:dyDescent="0.3">
      <c r="A64" t="s">
        <v>241</v>
      </c>
      <c r="B64" t="s">
        <v>96</v>
      </c>
      <c r="C64" s="10" t="e">
        <f>NA()</f>
        <v>#N/A</v>
      </c>
      <c r="D64" t="s">
        <v>242</v>
      </c>
      <c r="E64" s="2">
        <f t="shared" si="3"/>
        <v>46205</v>
      </c>
      <c r="F64" s="3" t="e">
        <f t="shared" si="4"/>
        <v>#N/A</v>
      </c>
      <c r="G64" t="s">
        <v>243</v>
      </c>
      <c r="H64" t="s">
        <v>244</v>
      </c>
      <c r="I64" t="s">
        <v>123</v>
      </c>
      <c r="J64" s="2">
        <v>46205</v>
      </c>
      <c r="K64" s="1">
        <v>0.94444444444444453</v>
      </c>
      <c r="L64" s="10" t="e">
        <f t="shared" si="5"/>
        <v>#N/A</v>
      </c>
      <c r="M64" s="1" t="e">
        <f t="shared" si="7"/>
        <v>#N/A</v>
      </c>
      <c r="N64" s="27" t="str">
        <f t="shared" si="0"/>
        <v>Turkish Airlines</v>
      </c>
      <c r="O64" s="3" t="e">
        <v>#N/A</v>
      </c>
      <c r="P64" s="20" t="e">
        <f t="shared" si="1"/>
        <v>#N/A</v>
      </c>
      <c r="Q64" s="3" t="e">
        <v>#N/A</v>
      </c>
      <c r="R64" s="23" t="str">
        <f t="shared" si="2"/>
        <v>Thursday</v>
      </c>
      <c r="S64" s="3" t="e">
        <v>#N/A</v>
      </c>
      <c r="T64" s="23" t="s">
        <v>96</v>
      </c>
      <c r="V64" s="7" t="s">
        <v>35</v>
      </c>
      <c r="W64" s="11">
        <v>26100000</v>
      </c>
      <c r="X64" s="11">
        <v>1470</v>
      </c>
      <c r="Y64" s="8">
        <v>1220</v>
      </c>
      <c r="Z64" s="9" cm="1">
        <f t="array" ref="Z64">IFERROR(MEDIAN(_xlfn.IFNA(_xlfn._xlws.FILTER($L$2:$L$1553, $H$2:$H$1553=V64),"")),NA())</f>
        <v>-8.4999999999999858</v>
      </c>
      <c r="AA64" s="31"/>
      <c r="AD64" s="3"/>
      <c r="AH64" s="13"/>
      <c r="AI64" s="8">
        <f>IF(OR(ISNA(AI2), ISNA(AJ2)), "", AI2)</f>
        <v>145</v>
      </c>
      <c r="AJ64" s="10">
        <f>IF(OR(ISNA(AI2), ISNA(AJ2)), "", AJ2)</f>
        <v>-2.9999999999999893</v>
      </c>
      <c r="AL64" s="19"/>
      <c r="AM64" s="20"/>
      <c r="AO64" s="18" t="s">
        <v>1327</v>
      </c>
      <c r="AP64" s="18"/>
    </row>
    <row r="65" spans="1:49" ht="13.8" thickBot="1" x14ac:dyDescent="0.3">
      <c r="A65" t="s">
        <v>245</v>
      </c>
      <c r="B65" t="s">
        <v>124</v>
      </c>
      <c r="D65" t="s">
        <v>246</v>
      </c>
      <c r="E65" s="2">
        <f t="shared" si="3"/>
        <v>46205</v>
      </c>
      <c r="F65" s="3">
        <f t="shared" si="4"/>
        <v>0.99930555555555556</v>
      </c>
      <c r="G65" t="s">
        <v>247</v>
      </c>
      <c r="H65" t="s">
        <v>248</v>
      </c>
      <c r="I65" t="s">
        <v>249</v>
      </c>
      <c r="J65" s="2">
        <v>46205</v>
      </c>
      <c r="K65" s="1">
        <v>0.95000000000000007</v>
      </c>
      <c r="L65" s="10">
        <f t="shared" si="5"/>
        <v>-70.999999999999915</v>
      </c>
      <c r="M65" s="1" t="str">
        <f t="shared" si="7"/>
        <v>Delayed</v>
      </c>
      <c r="N65" s="27" t="str">
        <f t="shared" si="0"/>
        <v>GetJet Airlines</v>
      </c>
      <c r="O65" s="3" t="s">
        <v>1318</v>
      </c>
      <c r="P65" s="20">
        <f t="shared" si="1"/>
        <v>23</v>
      </c>
      <c r="Q65" s="3" t="s">
        <v>1318</v>
      </c>
      <c r="R65" s="23" t="str">
        <f t="shared" si="2"/>
        <v>Thursday</v>
      </c>
      <c r="S65" s="3" t="s">
        <v>1318</v>
      </c>
      <c r="T65" s="23" t="s">
        <v>124</v>
      </c>
      <c r="U65" s="3" t="s">
        <v>1318</v>
      </c>
      <c r="V65" s="7" t="s">
        <v>27</v>
      </c>
      <c r="W65" s="11">
        <v>37000000</v>
      </c>
      <c r="X65" s="11">
        <v>1098</v>
      </c>
      <c r="Y65" s="8">
        <v>1560</v>
      </c>
      <c r="Z65" s="9" cm="1">
        <f t="array" ref="Z65">IFERROR(MEDIAN(_xlfn.IFNA(_xlfn._xlws.FILTER($L$2:$L$1553, $H$2:$H$1553=V65),"")),NA())</f>
        <v>0</v>
      </c>
      <c r="AA65" s="31"/>
      <c r="AH65" s="13"/>
      <c r="AI65" s="8">
        <f>IF(OR(ISNA(AI3), ISNA(AJ3)), "", AI3)</f>
        <v>240</v>
      </c>
      <c r="AJ65" s="10">
        <f t="shared" ref="AJ65:AJ99" si="8">IF(OR(ISNA(AI3), ISNA(AJ3)), "", AJ3)</f>
        <v>10.999999999999961</v>
      </c>
      <c r="AL65" s="19"/>
      <c r="AM65" s="20"/>
      <c r="AO65" s="15" t="s">
        <v>1328</v>
      </c>
      <c r="AP65" s="15">
        <v>0.29578366421502855</v>
      </c>
    </row>
    <row r="66" spans="1:49" ht="13.8" thickBot="1" x14ac:dyDescent="0.3">
      <c r="A66" t="s">
        <v>250</v>
      </c>
      <c r="B66" t="s">
        <v>7</v>
      </c>
      <c r="C66" s="10">
        <v>-52</v>
      </c>
      <c r="D66" t="s">
        <v>251</v>
      </c>
      <c r="E66" s="2">
        <f t="shared" si="3"/>
        <v>46205</v>
      </c>
      <c r="F66" s="3">
        <f t="shared" si="4"/>
        <v>0.97569444444444453</v>
      </c>
      <c r="G66" t="s">
        <v>252</v>
      </c>
      <c r="H66" t="s">
        <v>253</v>
      </c>
      <c r="I66" t="s">
        <v>11</v>
      </c>
      <c r="J66" s="2">
        <v>46205</v>
      </c>
      <c r="K66" s="1">
        <v>0.96180555555555547</v>
      </c>
      <c r="L66" s="10">
        <f t="shared" ref="L66:L129" si="9">IF(J66&gt;E66,(K66+1-F66)*1440,IF(J66&lt;E66,-(F66+1-K66)*1440,(K66-F66)*1440))</f>
        <v>-20.000000000000249</v>
      </c>
      <c r="M66" s="1" t="str">
        <f t="shared" si="7"/>
        <v>Delayed</v>
      </c>
      <c r="N66" s="27" t="str">
        <f t="shared" ref="N66:N129" si="10">IF(COUNTIFS($B$2:$B$1553,B66,$M$2:$M$1553,"&lt;&gt;#N/A")&gt;=30,B66,NA())</f>
        <v>airBaltic</v>
      </c>
      <c r="O66" s="3" t="s">
        <v>1318</v>
      </c>
      <c r="P66" s="20">
        <f t="shared" ref="P66:P129" si="11">HOUR(F66)</f>
        <v>23</v>
      </c>
      <c r="Q66" s="3" t="s">
        <v>1318</v>
      </c>
      <c r="R66" s="23" t="str">
        <f t="shared" ref="R66:R129" si="12">TEXT(E66, "dddd")</f>
        <v>Thursday</v>
      </c>
      <c r="S66" s="3" t="s">
        <v>1318</v>
      </c>
      <c r="T66" s="23" t="s">
        <v>7</v>
      </c>
      <c r="U66" s="3" t="s">
        <v>1318</v>
      </c>
      <c r="V66" s="7" t="s">
        <v>482</v>
      </c>
      <c r="W66" s="11">
        <v>14200000</v>
      </c>
      <c r="X66" s="11">
        <v>1805</v>
      </c>
      <c r="Y66" s="7">
        <v>370</v>
      </c>
      <c r="Z66" s="9" cm="1">
        <f t="array" ref="Z66">IFERROR(MEDIAN(_xlfn.IFNA(_xlfn._xlws.FILTER($L$2:$L$1553, $H$2:$H$1553=V66),"")),NA())</f>
        <v>1.5000000000000147</v>
      </c>
      <c r="AA66" s="31"/>
      <c r="AH66" s="13"/>
      <c r="AI66" s="8">
        <f t="shared" ref="AI66:AI99" si="13">IF(OR(ISNA(AI4), ISNA(AJ4)), "", AI4)</f>
        <v>189</v>
      </c>
      <c r="AJ66" s="10">
        <f t="shared" si="8"/>
        <v>-14.999999999999947</v>
      </c>
      <c r="AL66" s="19"/>
      <c r="AM66" s="20"/>
      <c r="AO66" s="15" t="s">
        <v>1329</v>
      </c>
      <c r="AP66" s="15">
        <v>8.7487976016468766E-2</v>
      </c>
    </row>
    <row r="67" spans="1:49" ht="13.8" thickBot="1" x14ac:dyDescent="0.3">
      <c r="A67" t="s">
        <v>254</v>
      </c>
      <c r="B67" t="s">
        <v>85</v>
      </c>
      <c r="C67" s="10">
        <v>4</v>
      </c>
      <c r="D67" t="s">
        <v>255</v>
      </c>
      <c r="E67" s="2">
        <f t="shared" ref="E67:E68" si="14">J67</f>
        <v>46205</v>
      </c>
      <c r="F67" s="3">
        <f t="shared" ref="F67:F130" si="15">IF(ISNUMBER(SEARCH("Landed", D67)), TIMEVALUE(_xlfn.TEXTAFTER(D67, " ")), NA())</f>
        <v>0.95277777777777783</v>
      </c>
      <c r="G67" t="s">
        <v>256</v>
      </c>
      <c r="H67" t="s">
        <v>257</v>
      </c>
      <c r="I67" t="s">
        <v>89</v>
      </c>
      <c r="J67" s="2">
        <v>46205</v>
      </c>
      <c r="K67" s="1">
        <v>0.97569444444444453</v>
      </c>
      <c r="L67" s="10">
        <f t="shared" si="9"/>
        <v>33.000000000000043</v>
      </c>
      <c r="M67" s="1" t="str">
        <f t="shared" si="7"/>
        <v>On Time</v>
      </c>
      <c r="N67" s="27" t="str">
        <f t="shared" si="10"/>
        <v>Ryanair</v>
      </c>
      <c r="O67" s="3" t="s">
        <v>1385</v>
      </c>
      <c r="P67" s="20">
        <f t="shared" si="11"/>
        <v>22</v>
      </c>
      <c r="Q67" s="3" t="s">
        <v>1385</v>
      </c>
      <c r="R67" s="23" t="str">
        <f t="shared" si="12"/>
        <v>Thursday</v>
      </c>
      <c r="S67" s="3" t="s">
        <v>1385</v>
      </c>
      <c r="T67" s="23" t="s">
        <v>85</v>
      </c>
      <c r="U67" s="3" t="s">
        <v>1385</v>
      </c>
      <c r="V67" s="7" t="s">
        <v>1232</v>
      </c>
      <c r="W67" s="11">
        <v>4000000</v>
      </c>
      <c r="X67" s="11">
        <v>1757</v>
      </c>
      <c r="Y67" s="7">
        <v>425</v>
      </c>
      <c r="Z67" s="9" cm="1">
        <f t="array" ref="Z67">IFERROR(MEDIAN(_xlfn.IFNA(_xlfn._xlws.FILTER($L$2:$L$1553, $H$2:$H$1553=V67),"")),NA())</f>
        <v>-58.000000000000114</v>
      </c>
      <c r="AA67" s="31"/>
      <c r="AH67" s="13"/>
      <c r="AI67" s="8">
        <f t="shared" si="13"/>
        <v>76</v>
      </c>
      <c r="AJ67" s="10">
        <f t="shared" si="8"/>
        <v>2.0000000000000027</v>
      </c>
      <c r="AL67" s="19"/>
      <c r="AM67" s="20"/>
      <c r="AO67" s="15" t="s">
        <v>1330</v>
      </c>
      <c r="AP67" s="15">
        <v>7.1478993139564712E-2</v>
      </c>
    </row>
    <row r="68" spans="1:49" ht="13.8" thickBot="1" x14ac:dyDescent="0.3">
      <c r="A68" t="s">
        <v>258</v>
      </c>
      <c r="B68" t="s">
        <v>190</v>
      </c>
      <c r="C68" s="10">
        <v>-17</v>
      </c>
      <c r="D68" t="s">
        <v>259</v>
      </c>
      <c r="E68" s="2">
        <f t="shared" si="14"/>
        <v>46205</v>
      </c>
      <c r="F68" s="3">
        <f t="shared" si="15"/>
        <v>0.97291666666666676</v>
      </c>
      <c r="G68" t="s">
        <v>110</v>
      </c>
      <c r="H68" t="s">
        <v>111</v>
      </c>
      <c r="I68" t="s">
        <v>260</v>
      </c>
      <c r="J68" s="2">
        <v>46205</v>
      </c>
      <c r="K68" s="1">
        <v>0.98263888888888884</v>
      </c>
      <c r="L68" s="10">
        <f t="shared" si="9"/>
        <v>13.99999999999979</v>
      </c>
      <c r="M68" s="1" t="str">
        <f t="shared" si="7"/>
        <v>On Time</v>
      </c>
      <c r="N68" s="27" t="str">
        <f t="shared" si="10"/>
        <v>Lufthansa</v>
      </c>
      <c r="O68" s="3" t="s">
        <v>1385</v>
      </c>
      <c r="P68" s="20">
        <f t="shared" si="11"/>
        <v>23</v>
      </c>
      <c r="Q68" s="3" t="s">
        <v>1385</v>
      </c>
      <c r="R68" s="23" t="str">
        <f t="shared" si="12"/>
        <v>Thursday</v>
      </c>
      <c r="S68" s="3" t="s">
        <v>1385</v>
      </c>
      <c r="T68" s="23" t="s">
        <v>190</v>
      </c>
      <c r="U68" s="3" t="s">
        <v>1385</v>
      </c>
      <c r="V68" s="7" t="s">
        <v>420</v>
      </c>
      <c r="W68" s="11">
        <v>3900000</v>
      </c>
      <c r="X68" s="11">
        <v>1029</v>
      </c>
      <c r="Y68" s="7">
        <v>519</v>
      </c>
      <c r="Z68" s="9" cm="1">
        <f t="array" ref="Z68">IFERROR(MEDIAN(_xlfn.IFNA(_xlfn._xlws.FILTER($L$2:$L$1553, $H$2:$H$1553=V68),"")),NA())</f>
        <v>17.500000000000014</v>
      </c>
      <c r="AA68" s="31"/>
      <c r="AH68" s="13"/>
      <c r="AI68" s="8">
        <f t="shared" si="13"/>
        <v>189</v>
      </c>
      <c r="AJ68" s="10">
        <f t="shared" si="8"/>
        <v>-1.0000000000000764</v>
      </c>
      <c r="AL68" s="19"/>
      <c r="AM68" s="20"/>
      <c r="AO68" s="15" t="s">
        <v>1331</v>
      </c>
      <c r="AP68" s="15">
        <v>85.675540706056594</v>
      </c>
    </row>
    <row r="69" spans="1:49" ht="13.8" thickBot="1" x14ac:dyDescent="0.3">
      <c r="A69" t="s">
        <v>261</v>
      </c>
      <c r="B69" t="s">
        <v>85</v>
      </c>
      <c r="C69" s="10">
        <v>-18</v>
      </c>
      <c r="D69" t="s">
        <v>262</v>
      </c>
      <c r="E69" s="2">
        <f>J69</f>
        <v>46205</v>
      </c>
      <c r="F69" s="3">
        <f t="shared" si="15"/>
        <v>0.9916666666666667</v>
      </c>
      <c r="G69" t="s">
        <v>263</v>
      </c>
      <c r="H69" t="s">
        <v>264</v>
      </c>
      <c r="I69" t="s">
        <v>89</v>
      </c>
      <c r="J69" s="2">
        <v>46205</v>
      </c>
      <c r="K69" s="1">
        <v>0.99652777777777779</v>
      </c>
      <c r="L69" s="10">
        <f t="shared" si="9"/>
        <v>6.9999999999999751</v>
      </c>
      <c r="M69" s="1" t="str">
        <f t="shared" si="7"/>
        <v>On Time</v>
      </c>
      <c r="N69" s="27" t="str">
        <f t="shared" si="10"/>
        <v>Ryanair</v>
      </c>
      <c r="O69" s="3" t="s">
        <v>1385</v>
      </c>
      <c r="P69" s="20">
        <f t="shared" si="11"/>
        <v>23</v>
      </c>
      <c r="Q69" s="3" t="s">
        <v>1385</v>
      </c>
      <c r="R69" s="23" t="str">
        <f t="shared" si="12"/>
        <v>Thursday</v>
      </c>
      <c r="S69" s="3" t="s">
        <v>1385</v>
      </c>
      <c r="T69" s="23" t="s">
        <v>85</v>
      </c>
      <c r="U69" s="3" t="s">
        <v>1385</v>
      </c>
      <c r="V69" s="7" t="s">
        <v>139</v>
      </c>
      <c r="W69" s="11">
        <v>3300000</v>
      </c>
      <c r="X69" s="11">
        <v>1765</v>
      </c>
      <c r="Y69" s="7">
        <v>170</v>
      </c>
      <c r="Z69" s="9" cm="1">
        <f t="array" ref="Z69">IFERROR(MEDIAN(_xlfn.IFNA(_xlfn._xlws.FILTER($L$2:$L$1553, $H$2:$H$1553=V69),"")),NA())</f>
        <v>3.9999999999999858</v>
      </c>
      <c r="AA69" s="31"/>
      <c r="AH69" s="13"/>
      <c r="AI69" s="8">
        <f t="shared" si="13"/>
        <v>180</v>
      </c>
      <c r="AJ69" s="10">
        <f t="shared" si="8"/>
        <v>0.99999999999999645</v>
      </c>
      <c r="AL69" s="19"/>
      <c r="AM69" s="20"/>
      <c r="AO69" s="16" t="s">
        <v>1332</v>
      </c>
      <c r="AP69" s="16">
        <v>59</v>
      </c>
    </row>
    <row r="70" spans="1:49" ht="13.8" thickBot="1" x14ac:dyDescent="0.3">
      <c r="A70" t="s">
        <v>265</v>
      </c>
      <c r="B70" t="s">
        <v>7</v>
      </c>
      <c r="C70" s="10">
        <v>0</v>
      </c>
      <c r="D70" t="s">
        <v>266</v>
      </c>
      <c r="E70" s="2">
        <v>46205</v>
      </c>
      <c r="F70" s="3">
        <f t="shared" si="15"/>
        <v>0.99444444444444446</v>
      </c>
      <c r="G70" t="s">
        <v>180</v>
      </c>
      <c r="H70" t="s">
        <v>181</v>
      </c>
      <c r="I70" t="s">
        <v>11</v>
      </c>
      <c r="J70" s="2">
        <v>46206</v>
      </c>
      <c r="K70" s="1">
        <v>1.0416666666666666E-2</v>
      </c>
      <c r="L70" s="10">
        <f t="shared" si="9"/>
        <v>23.000000000000078</v>
      </c>
      <c r="M70" s="1" t="str">
        <f t="shared" si="7"/>
        <v>On Time</v>
      </c>
      <c r="N70" s="27" t="str">
        <f t="shared" si="10"/>
        <v>airBaltic</v>
      </c>
      <c r="O70" s="3" t="s">
        <v>1385</v>
      </c>
      <c r="P70" s="20">
        <f t="shared" si="11"/>
        <v>23</v>
      </c>
      <c r="Q70" s="3" t="s">
        <v>1385</v>
      </c>
      <c r="R70" s="23" t="str">
        <f t="shared" si="12"/>
        <v>Thursday</v>
      </c>
      <c r="S70" s="3" t="s">
        <v>1385</v>
      </c>
      <c r="T70" s="23" t="s">
        <v>7</v>
      </c>
      <c r="U70" s="3" t="s">
        <v>1385</v>
      </c>
      <c r="V70" s="7" t="s">
        <v>154</v>
      </c>
      <c r="W70" s="11">
        <v>25100000</v>
      </c>
      <c r="X70" s="11">
        <v>1003</v>
      </c>
      <c r="Y70" s="8">
        <v>1300</v>
      </c>
      <c r="Z70" s="9" cm="1">
        <f t="array" ref="Z70">IFERROR(MEDIAN(_xlfn.IFNA(_xlfn._xlws.FILTER($L$2:$L$1553, $H$2:$H$1553=V70),"")),NA())</f>
        <v>12.999999999999954</v>
      </c>
      <c r="AA70" s="31"/>
      <c r="AH70" s="13"/>
      <c r="AI70" s="8">
        <f t="shared" si="13"/>
        <v>72</v>
      </c>
      <c r="AJ70" s="10">
        <f t="shared" si="8"/>
        <v>-0.49999999999999822</v>
      </c>
      <c r="AL70" s="19"/>
      <c r="AM70" s="20"/>
    </row>
    <row r="71" spans="1:49" ht="13.8" thickBot="1" x14ac:dyDescent="0.3">
      <c r="A71" t="s">
        <v>267</v>
      </c>
      <c r="B71" t="s">
        <v>13</v>
      </c>
      <c r="C71" s="10">
        <v>0</v>
      </c>
      <c r="D71" t="s">
        <v>268</v>
      </c>
      <c r="E71" s="2">
        <v>46205</v>
      </c>
      <c r="F71" s="3">
        <f t="shared" si="15"/>
        <v>0.99652777777777779</v>
      </c>
      <c r="G71" t="s">
        <v>269</v>
      </c>
      <c r="H71" t="s">
        <v>270</v>
      </c>
      <c r="I71" t="s">
        <v>17</v>
      </c>
      <c r="J71" s="2">
        <v>46206</v>
      </c>
      <c r="K71" s="1">
        <v>1.0416666666666666E-2</v>
      </c>
      <c r="L71" s="10">
        <f t="shared" si="9"/>
        <v>20.000000000000089</v>
      </c>
      <c r="M71" s="1" t="str">
        <f t="shared" si="7"/>
        <v>On Time</v>
      </c>
      <c r="N71" s="27" t="str">
        <f t="shared" si="10"/>
        <v>Wizz Air</v>
      </c>
      <c r="O71" s="3" t="s">
        <v>1385</v>
      </c>
      <c r="P71" s="20">
        <f t="shared" si="11"/>
        <v>23</v>
      </c>
      <c r="Q71" s="3" t="s">
        <v>1385</v>
      </c>
      <c r="R71" s="23" t="str">
        <f t="shared" si="12"/>
        <v>Thursday</v>
      </c>
      <c r="S71" s="3" t="s">
        <v>1385</v>
      </c>
      <c r="T71" s="23" t="s">
        <v>13</v>
      </c>
      <c r="U71" s="3" t="s">
        <v>1385</v>
      </c>
      <c r="V71" s="7" t="s">
        <v>914</v>
      </c>
      <c r="W71" s="11">
        <v>350000</v>
      </c>
      <c r="X71" s="11">
        <v>699</v>
      </c>
      <c r="Y71" s="7">
        <v>260</v>
      </c>
      <c r="Z71" s="9" cm="1">
        <f t="array" ref="Z71">IFERROR(MEDIAN(_xlfn.IFNA(_xlfn._xlws.FILTER($L$2:$L$1553, $H$2:$H$1553=V71),"")),NA())</f>
        <v>-23.000000000000238</v>
      </c>
      <c r="AA71" s="31"/>
      <c r="AH71" s="13"/>
      <c r="AI71" s="8">
        <f t="shared" si="13"/>
        <v>180</v>
      </c>
      <c r="AJ71" s="10">
        <f t="shared" si="8"/>
        <v>-1.9999999999999929</v>
      </c>
      <c r="AL71" s="19"/>
      <c r="AM71" s="20"/>
      <c r="AO71" t="s">
        <v>1333</v>
      </c>
    </row>
    <row r="72" spans="1:49" ht="13.8" thickBot="1" x14ac:dyDescent="0.3">
      <c r="A72" t="s">
        <v>6</v>
      </c>
      <c r="B72" t="s">
        <v>7</v>
      </c>
      <c r="C72" s="10">
        <v>-34</v>
      </c>
      <c r="D72" t="s">
        <v>271</v>
      </c>
      <c r="E72" s="2">
        <f t="shared" ref="E72:E135" si="16">J72</f>
        <v>46206</v>
      </c>
      <c r="F72" s="3">
        <f t="shared" si="15"/>
        <v>3.1944444444444449E-2</v>
      </c>
      <c r="G72" t="s">
        <v>9</v>
      </c>
      <c r="H72" t="s">
        <v>10</v>
      </c>
      <c r="I72" t="s">
        <v>11</v>
      </c>
      <c r="J72" s="2">
        <v>46206</v>
      </c>
      <c r="K72" s="1">
        <v>2.0833333333333332E-2</v>
      </c>
      <c r="L72" s="10">
        <f t="shared" si="9"/>
        <v>-16.000000000000007</v>
      </c>
      <c r="M72" s="1" t="str">
        <f t="shared" si="7"/>
        <v>Delayed</v>
      </c>
      <c r="N72" s="27" t="str">
        <f t="shared" si="10"/>
        <v>airBaltic</v>
      </c>
      <c r="O72" s="3" t="s">
        <v>1318</v>
      </c>
      <c r="P72" s="20">
        <f t="shared" si="11"/>
        <v>0</v>
      </c>
      <c r="Q72" s="3" t="s">
        <v>1318</v>
      </c>
      <c r="R72" s="23" t="str">
        <f t="shared" si="12"/>
        <v>Friday</v>
      </c>
      <c r="S72" s="3" t="s">
        <v>1318</v>
      </c>
      <c r="T72" s="23" t="s">
        <v>7</v>
      </c>
      <c r="U72" s="3" t="s">
        <v>1318</v>
      </c>
      <c r="V72" s="7" t="s">
        <v>300</v>
      </c>
      <c r="W72" s="11">
        <v>310000</v>
      </c>
      <c r="X72" s="11">
        <v>271</v>
      </c>
      <c r="Y72" s="7">
        <v>176</v>
      </c>
      <c r="Z72" s="9" cm="1">
        <f t="array" ref="Z72">IFERROR(MEDIAN(_xlfn.IFNA(_xlfn._xlws.FILTER($L$2:$L$1553, $H$2:$H$1553=V72),"")),NA())</f>
        <v>-17.499999999999936</v>
      </c>
      <c r="AA72" s="31"/>
      <c r="AH72" s="13"/>
      <c r="AI72" s="8">
        <f t="shared" si="13"/>
        <v>189</v>
      </c>
      <c r="AJ72" s="10">
        <f t="shared" si="8"/>
        <v>11.999999999999957</v>
      </c>
      <c r="AL72" s="19"/>
      <c r="AM72" s="20"/>
      <c r="AO72" s="17"/>
      <c r="AP72" s="17" t="s">
        <v>1338</v>
      </c>
      <c r="AQ72" s="17" t="s">
        <v>1339</v>
      </c>
      <c r="AR72" s="17" t="s">
        <v>1340</v>
      </c>
      <c r="AS72" s="17" t="s">
        <v>1341</v>
      </c>
      <c r="AT72" s="17" t="s">
        <v>1342</v>
      </c>
    </row>
    <row r="73" spans="1:49" ht="13.8" thickBot="1" x14ac:dyDescent="0.3">
      <c r="A73" t="s">
        <v>12</v>
      </c>
      <c r="B73" t="s">
        <v>13</v>
      </c>
      <c r="C73" s="10">
        <v>-18</v>
      </c>
      <c r="D73" t="s">
        <v>272</v>
      </c>
      <c r="E73" s="2">
        <f t="shared" si="16"/>
        <v>46206</v>
      </c>
      <c r="F73" s="3">
        <f t="shared" si="15"/>
        <v>9.0277777777777787E-3</v>
      </c>
      <c r="G73" t="s">
        <v>15</v>
      </c>
      <c r="H73" t="s">
        <v>16</v>
      </c>
      <c r="I73" t="s">
        <v>17</v>
      </c>
      <c r="J73" s="2">
        <v>46206</v>
      </c>
      <c r="K73" s="1">
        <v>2.0833333333333332E-2</v>
      </c>
      <c r="L73" s="10">
        <f t="shared" si="9"/>
        <v>16.999999999999996</v>
      </c>
      <c r="M73" s="1" t="str">
        <f t="shared" si="7"/>
        <v>On Time</v>
      </c>
      <c r="N73" s="27" t="str">
        <f t="shared" si="10"/>
        <v>Wizz Air</v>
      </c>
      <c r="O73" s="3" t="s">
        <v>1385</v>
      </c>
      <c r="P73" s="20">
        <f t="shared" si="11"/>
        <v>0</v>
      </c>
      <c r="Q73" s="3" t="s">
        <v>1385</v>
      </c>
      <c r="R73" s="23" t="str">
        <f t="shared" si="12"/>
        <v>Friday</v>
      </c>
      <c r="S73" s="3" t="s">
        <v>1385</v>
      </c>
      <c r="T73" s="23" t="s">
        <v>13</v>
      </c>
      <c r="U73" s="3" t="s">
        <v>1385</v>
      </c>
      <c r="V73" s="7" t="s">
        <v>490</v>
      </c>
      <c r="W73" s="11">
        <v>31100000</v>
      </c>
      <c r="X73" s="11">
        <v>2339</v>
      </c>
      <c r="Y73" s="7">
        <v>630</v>
      </c>
      <c r="Z73" s="9" cm="1">
        <f t="array" ref="Z73">IFERROR(MEDIAN(_xlfn.IFNA(_xlfn._xlws.FILTER($L$2:$L$1553, $H$2:$H$1553=V73),"")),NA())</f>
        <v>3.4999999999999876</v>
      </c>
      <c r="AA73" s="31"/>
      <c r="AH73" s="13"/>
      <c r="AI73" s="8">
        <f t="shared" si="13"/>
        <v>118</v>
      </c>
      <c r="AJ73" s="10">
        <f t="shared" si="8"/>
        <v>-6.0000000000001386</v>
      </c>
      <c r="AL73" s="19"/>
      <c r="AM73" s="20"/>
      <c r="AO73" s="15" t="s">
        <v>1334</v>
      </c>
      <c r="AP73" s="15">
        <v>1</v>
      </c>
      <c r="AQ73" s="15">
        <v>40114.21864829876</v>
      </c>
      <c r="AR73" s="15">
        <v>40114.21864829876</v>
      </c>
      <c r="AS73" s="15">
        <v>5.4649303262536746</v>
      </c>
      <c r="AT73" s="15">
        <v>2.2935896764715323E-2</v>
      </c>
    </row>
    <row r="74" spans="1:49" ht="13.8" thickBot="1" x14ac:dyDescent="0.3">
      <c r="A74" t="s">
        <v>273</v>
      </c>
      <c r="B74" t="s">
        <v>117</v>
      </c>
      <c r="C74" s="10">
        <v>-22</v>
      </c>
      <c r="D74" t="s">
        <v>274</v>
      </c>
      <c r="E74" s="2">
        <f t="shared" si="16"/>
        <v>46206</v>
      </c>
      <c r="F74" s="3">
        <f t="shared" si="15"/>
        <v>2.013888888888889E-2</v>
      </c>
      <c r="G74" t="s">
        <v>169</v>
      </c>
      <c r="H74" t="s">
        <v>170</v>
      </c>
      <c r="I74" t="s">
        <v>83</v>
      </c>
      <c r="J74" s="2">
        <v>46206</v>
      </c>
      <c r="K74" s="1">
        <v>2.4305555555555556E-2</v>
      </c>
      <c r="L74" s="10">
        <f t="shared" si="9"/>
        <v>5.9999999999999982</v>
      </c>
      <c r="M74" s="1" t="str">
        <f t="shared" si="7"/>
        <v>On Time</v>
      </c>
      <c r="N74" s="27" t="str">
        <f t="shared" si="10"/>
        <v>Heston Airlines</v>
      </c>
      <c r="O74" s="3" t="s">
        <v>1385</v>
      </c>
      <c r="P74" s="20">
        <f t="shared" si="11"/>
        <v>0</v>
      </c>
      <c r="Q74" s="3" t="s">
        <v>1385</v>
      </c>
      <c r="R74" s="23" t="str">
        <f t="shared" si="12"/>
        <v>Friday</v>
      </c>
      <c r="S74" s="3" t="s">
        <v>1385</v>
      </c>
      <c r="T74" s="23" t="s">
        <v>117</v>
      </c>
      <c r="U74" s="3" t="s">
        <v>1385</v>
      </c>
      <c r="V74" s="7" t="s">
        <v>352</v>
      </c>
      <c r="W74" s="11">
        <v>5600000</v>
      </c>
      <c r="X74" s="11">
        <v>1659</v>
      </c>
      <c r="Y74" s="7">
        <v>110</v>
      </c>
      <c r="Z74" s="9" cm="1">
        <f t="array" ref="Z74">IFERROR(MEDIAN(_xlfn.IFNA(_xlfn._xlws.FILTER($L$2:$L$1553, $H$2:$H$1553=V74),"")),NA())</f>
        <v>10.500000000000043</v>
      </c>
      <c r="AA74" s="31"/>
      <c r="AH74" s="13"/>
      <c r="AI74" s="8">
        <f t="shared" si="13"/>
        <v>180</v>
      </c>
      <c r="AJ74" s="10">
        <f t="shared" si="8"/>
        <v>0</v>
      </c>
      <c r="AL74" s="19"/>
      <c r="AM74" s="20"/>
      <c r="AO74" s="15" t="s">
        <v>1335</v>
      </c>
      <c r="AP74" s="15">
        <v>57</v>
      </c>
      <c r="AQ74" s="15">
        <v>418397.00169068412</v>
      </c>
      <c r="AR74" s="15">
        <v>7340.2982752751595</v>
      </c>
      <c r="AS74" s="15"/>
      <c r="AT74" s="15"/>
    </row>
    <row r="75" spans="1:49" ht="13.8" thickBot="1" x14ac:dyDescent="0.3">
      <c r="A75" t="s">
        <v>18</v>
      </c>
      <c r="B75" t="s">
        <v>19</v>
      </c>
      <c r="C75" s="10">
        <v>-36</v>
      </c>
      <c r="D75" t="s">
        <v>275</v>
      </c>
      <c r="E75" s="2">
        <f t="shared" si="16"/>
        <v>46206</v>
      </c>
      <c r="F75" s="3">
        <f t="shared" si="15"/>
        <v>3.4027777777777775E-2</v>
      </c>
      <c r="G75" t="s">
        <v>21</v>
      </c>
      <c r="H75" t="s">
        <v>22</v>
      </c>
      <c r="I75" t="s">
        <v>276</v>
      </c>
      <c r="J75" s="2">
        <v>46206</v>
      </c>
      <c r="K75" s="1">
        <v>2.7777777777777776E-2</v>
      </c>
      <c r="L75" s="10">
        <f t="shared" si="9"/>
        <v>-8.9999999999999982</v>
      </c>
      <c r="M75" s="1" t="str">
        <f t="shared" si="7"/>
        <v>On Time</v>
      </c>
      <c r="N75" s="27" t="str">
        <f t="shared" si="10"/>
        <v>LOT</v>
      </c>
      <c r="O75" s="3" t="s">
        <v>1385</v>
      </c>
      <c r="P75" s="20">
        <f t="shared" si="11"/>
        <v>0</v>
      </c>
      <c r="Q75" s="3" t="s">
        <v>1385</v>
      </c>
      <c r="R75" s="23" t="str">
        <f t="shared" si="12"/>
        <v>Friday</v>
      </c>
      <c r="S75" s="3" t="s">
        <v>1385</v>
      </c>
      <c r="T75" s="23" t="s">
        <v>19</v>
      </c>
      <c r="U75" s="3" t="s">
        <v>1385</v>
      </c>
      <c r="V75" s="7" t="s">
        <v>253</v>
      </c>
      <c r="W75" s="11">
        <v>70300000</v>
      </c>
      <c r="X75" s="11">
        <v>1677</v>
      </c>
      <c r="Y75" s="8">
        <v>3238</v>
      </c>
      <c r="Z75" s="9" cm="1">
        <f t="array" ref="Z75">IFERROR(MEDIAN(_xlfn.IFNA(_xlfn._xlws.FILTER($L$2:$L$1553, $H$2:$H$1553=V75),"")),NA())</f>
        <v>-2.4999999999999112</v>
      </c>
      <c r="AA75" s="31"/>
      <c r="AH75" s="13"/>
      <c r="AI75" s="8">
        <f t="shared" si="13"/>
        <v>189</v>
      </c>
      <c r="AJ75" s="10">
        <f t="shared" si="8"/>
        <v>12.999999999999954</v>
      </c>
      <c r="AO75" s="16" t="s">
        <v>1336</v>
      </c>
      <c r="AP75" s="16">
        <v>58</v>
      </c>
      <c r="AQ75" s="16">
        <v>458511.22033898288</v>
      </c>
      <c r="AR75" s="16"/>
      <c r="AS75" s="16"/>
      <c r="AT75" s="16"/>
    </row>
    <row r="76" spans="1:49" ht="13.8" thickBot="1" x14ac:dyDescent="0.3">
      <c r="A76" t="s">
        <v>24</v>
      </c>
      <c r="B76" t="s">
        <v>7</v>
      </c>
      <c r="C76" s="10">
        <v>-16</v>
      </c>
      <c r="D76" t="s">
        <v>277</v>
      </c>
      <c r="E76" s="2">
        <f t="shared" si="16"/>
        <v>46206</v>
      </c>
      <c r="F76" s="3">
        <f t="shared" si="15"/>
        <v>2.4999999999999998E-2</v>
      </c>
      <c r="G76" t="s">
        <v>26</v>
      </c>
      <c r="H76" t="s">
        <v>27</v>
      </c>
      <c r="I76" t="s">
        <v>11</v>
      </c>
      <c r="J76" s="2">
        <v>46206</v>
      </c>
      <c r="K76" s="1">
        <v>3.125E-2</v>
      </c>
      <c r="L76" s="10">
        <f t="shared" si="9"/>
        <v>9.0000000000000036</v>
      </c>
      <c r="M76" s="1" t="str">
        <f t="shared" si="7"/>
        <v>On Time</v>
      </c>
      <c r="N76" s="27" t="str">
        <f t="shared" si="10"/>
        <v>airBaltic</v>
      </c>
      <c r="O76" s="3" t="s">
        <v>1385</v>
      </c>
      <c r="P76" s="20">
        <f t="shared" si="11"/>
        <v>0</v>
      </c>
      <c r="Q76" s="3" t="s">
        <v>1385</v>
      </c>
      <c r="R76" s="23" t="str">
        <f t="shared" si="12"/>
        <v>Friday</v>
      </c>
      <c r="S76" s="3" t="s">
        <v>1385</v>
      </c>
      <c r="T76" s="23" t="s">
        <v>7</v>
      </c>
      <c r="U76" s="3" t="s">
        <v>1385</v>
      </c>
      <c r="V76" s="7" t="s">
        <v>915</v>
      </c>
      <c r="W76" s="9" t="e" cm="1">
        <f t="array" ref="W76">IFERROR(MEDIAN(_xlfn.IFNA(_xlfn._xlws.FILTER(#REF!, $H$2:$H$1553=T76),"")),NA())</f>
        <v>#N/A</v>
      </c>
      <c r="X76" s="11">
        <v>1684</v>
      </c>
      <c r="Y76" s="7">
        <v>553</v>
      </c>
      <c r="Z76" s="9" cm="1">
        <f t="array" ref="Z76">IFERROR(MEDIAN(_xlfn.IFNA(_xlfn._xlws.FILTER($L$2:$L$1553, $H$2:$H$1553=V76),"")),NA())</f>
        <v>-3.9999999999999858</v>
      </c>
      <c r="AA76" s="31"/>
      <c r="AH76" s="13"/>
      <c r="AI76" s="8">
        <f t="shared" si="13"/>
        <v>180</v>
      </c>
      <c r="AJ76" s="10">
        <f t="shared" si="8"/>
        <v>6.9999999999999751</v>
      </c>
    </row>
    <row r="77" spans="1:49" ht="13.8" thickBot="1" x14ac:dyDescent="0.3">
      <c r="A77" t="s">
        <v>278</v>
      </c>
      <c r="B77" t="s">
        <v>124</v>
      </c>
      <c r="C77" s="10">
        <v>-20</v>
      </c>
      <c r="D77" t="s">
        <v>279</v>
      </c>
      <c r="E77" s="2">
        <f t="shared" si="16"/>
        <v>46206</v>
      </c>
      <c r="F77" s="3">
        <f t="shared" si="15"/>
        <v>4.7916666666666663E-2</v>
      </c>
      <c r="G77" t="s">
        <v>280</v>
      </c>
      <c r="H77" t="s">
        <v>281</v>
      </c>
      <c r="I77" t="s">
        <v>282</v>
      </c>
      <c r="J77" s="2">
        <v>46206</v>
      </c>
      <c r="K77" s="1">
        <v>3.888888888888889E-2</v>
      </c>
      <c r="L77" s="10">
        <f t="shared" si="9"/>
        <v>-12.999999999999993</v>
      </c>
      <c r="M77" s="1" t="str">
        <f t="shared" si="7"/>
        <v>On Time</v>
      </c>
      <c r="N77" s="27" t="str">
        <f t="shared" si="10"/>
        <v>GetJet Airlines</v>
      </c>
      <c r="O77" s="3" t="s">
        <v>1385</v>
      </c>
      <c r="P77" s="20">
        <f t="shared" si="11"/>
        <v>1</v>
      </c>
      <c r="Q77" s="3" t="s">
        <v>1385</v>
      </c>
      <c r="R77" s="23" t="str">
        <f t="shared" si="12"/>
        <v>Friday</v>
      </c>
      <c r="S77" s="3" t="s">
        <v>1385</v>
      </c>
      <c r="T77" s="23" t="s">
        <v>124</v>
      </c>
      <c r="U77" s="3" t="s">
        <v>1385</v>
      </c>
      <c r="V77" s="7" t="s">
        <v>432</v>
      </c>
      <c r="W77" s="11">
        <v>120000</v>
      </c>
      <c r="X77" s="11">
        <v>1770</v>
      </c>
      <c r="Y77" s="7">
        <v>180</v>
      </c>
      <c r="Z77" s="9" cm="1">
        <f t="array" ref="Z77">IFERROR(MEDIAN(_xlfn.IFNA(_xlfn._xlws.FILTER($L$2:$L$1553, $H$2:$H$1553=V77),"")),NA())</f>
        <v>-1.0000000000000764</v>
      </c>
      <c r="AA77" s="31"/>
      <c r="AH77" s="13"/>
      <c r="AI77" s="8">
        <f t="shared" si="13"/>
        <v>76</v>
      </c>
      <c r="AJ77" s="10">
        <f t="shared" si="8"/>
        <v>0</v>
      </c>
      <c r="AO77" s="17"/>
      <c r="AP77" s="17" t="s">
        <v>1343</v>
      </c>
      <c r="AQ77" s="17" t="s">
        <v>1331</v>
      </c>
      <c r="AR77" s="17" t="s">
        <v>1344</v>
      </c>
      <c r="AS77" s="17" t="s">
        <v>1345</v>
      </c>
      <c r="AT77" s="17" t="s">
        <v>1346</v>
      </c>
      <c r="AU77" s="17" t="s">
        <v>1347</v>
      </c>
      <c r="AV77" s="17" t="s">
        <v>1348</v>
      </c>
      <c r="AW77" s="17" t="s">
        <v>1349</v>
      </c>
    </row>
    <row r="78" spans="1:49" ht="13.8" thickBot="1" x14ac:dyDescent="0.3">
      <c r="A78" t="s">
        <v>36</v>
      </c>
      <c r="B78" t="s">
        <v>7</v>
      </c>
      <c r="C78" s="10">
        <v>-24</v>
      </c>
      <c r="D78" t="s">
        <v>283</v>
      </c>
      <c r="E78" s="2">
        <f t="shared" si="16"/>
        <v>46206</v>
      </c>
      <c r="F78" s="3">
        <f t="shared" si="15"/>
        <v>5.2777777777777778E-2</v>
      </c>
      <c r="G78" t="s">
        <v>38</v>
      </c>
      <c r="H78" t="s">
        <v>39</v>
      </c>
      <c r="I78" t="s">
        <v>11</v>
      </c>
      <c r="J78" s="2">
        <v>46206</v>
      </c>
      <c r="K78" s="1">
        <v>5.9027777777777783E-2</v>
      </c>
      <c r="L78" s="10">
        <f t="shared" si="9"/>
        <v>9.0000000000000071</v>
      </c>
      <c r="M78" s="1" t="str">
        <f t="shared" si="7"/>
        <v>On Time</v>
      </c>
      <c r="N78" s="27" t="str">
        <f t="shared" si="10"/>
        <v>airBaltic</v>
      </c>
      <c r="O78" s="3" t="s">
        <v>1385</v>
      </c>
      <c r="P78" s="20">
        <f t="shared" si="11"/>
        <v>1</v>
      </c>
      <c r="Q78" s="3" t="s">
        <v>1385</v>
      </c>
      <c r="R78" s="23" t="str">
        <f t="shared" si="12"/>
        <v>Friday</v>
      </c>
      <c r="S78" s="3" t="s">
        <v>1385</v>
      </c>
      <c r="T78" s="23" t="s">
        <v>7</v>
      </c>
      <c r="U78" s="3" t="s">
        <v>1385</v>
      </c>
      <c r="V78" s="7" t="s">
        <v>288</v>
      </c>
      <c r="W78" s="11">
        <v>1600000</v>
      </c>
      <c r="X78" s="11">
        <v>1323</v>
      </c>
      <c r="Y78" s="7">
        <v>270</v>
      </c>
      <c r="Z78" s="9" cm="1">
        <f t="array" ref="Z78">IFERROR(MEDIAN(_xlfn.IFNA(_xlfn._xlws.FILTER($L$2:$L$1553, $H$2:$H$1553=V78),"")),NA())</f>
        <v>5.0000000000000124</v>
      </c>
      <c r="AA78" s="31"/>
      <c r="AH78" s="13"/>
      <c r="AI78" s="8">
        <f t="shared" si="13"/>
        <v>189</v>
      </c>
      <c r="AJ78" s="10">
        <f t="shared" si="8"/>
        <v>5.9999999999999787</v>
      </c>
      <c r="AO78" s="15" t="s">
        <v>1337</v>
      </c>
      <c r="AP78" s="15">
        <v>127.57021154398393</v>
      </c>
      <c r="AQ78" s="15">
        <v>11.538933322088553</v>
      </c>
      <c r="AR78" s="15">
        <v>11.055632958705203</v>
      </c>
      <c r="AS78" s="15">
        <v>8.3614256286384449E-16</v>
      </c>
      <c r="AT78" s="15">
        <v>104.46389612943958</v>
      </c>
      <c r="AU78" s="15">
        <v>150.67652695852829</v>
      </c>
      <c r="AV78" s="15">
        <v>104.46389612943958</v>
      </c>
      <c r="AW78" s="15">
        <v>150.67652695852829</v>
      </c>
    </row>
    <row r="79" spans="1:49" ht="13.8" thickBot="1" x14ac:dyDescent="0.3">
      <c r="A79" t="s">
        <v>40</v>
      </c>
      <c r="B79" t="s">
        <v>41</v>
      </c>
      <c r="C79" s="10">
        <v>0</v>
      </c>
      <c r="D79" t="s">
        <v>284</v>
      </c>
      <c r="E79" s="2">
        <f t="shared" si="16"/>
        <v>46206</v>
      </c>
      <c r="F79" s="3">
        <f t="shared" si="15"/>
        <v>5.486111111111111E-2</v>
      </c>
      <c r="G79" t="s">
        <v>43</v>
      </c>
      <c r="H79" t="s">
        <v>44</v>
      </c>
      <c r="I79" t="s">
        <v>158</v>
      </c>
      <c r="J79" s="2">
        <v>46206</v>
      </c>
      <c r="K79" s="1">
        <v>5.9027777777777783E-2</v>
      </c>
      <c r="L79" s="10">
        <f t="shared" si="9"/>
        <v>6.0000000000000089</v>
      </c>
      <c r="M79" s="1" t="str">
        <f t="shared" si="7"/>
        <v>On Time</v>
      </c>
      <c r="N79" s="27" t="str">
        <f t="shared" si="10"/>
        <v>SAS</v>
      </c>
      <c r="O79" s="3" t="s">
        <v>1385</v>
      </c>
      <c r="P79" s="20">
        <f t="shared" si="11"/>
        <v>1</v>
      </c>
      <c r="Q79" s="3" t="s">
        <v>1385</v>
      </c>
      <c r="R79" s="23" t="str">
        <f t="shared" si="12"/>
        <v>Friday</v>
      </c>
      <c r="S79" s="3" t="s">
        <v>1385</v>
      </c>
      <c r="T79" s="23" t="s">
        <v>41</v>
      </c>
      <c r="U79" s="3" t="s">
        <v>1385</v>
      </c>
      <c r="V79" s="7" t="s">
        <v>31</v>
      </c>
      <c r="W79" s="11">
        <v>13800000</v>
      </c>
      <c r="X79" s="11">
        <v>892</v>
      </c>
      <c r="Y79" s="7">
        <v>920</v>
      </c>
      <c r="Z79" s="9" cm="1">
        <f t="array" ref="Z79">IFERROR(MEDIAN(_xlfn.IFNA(_xlfn._xlws.FILTER($L$2:$L$1553, $H$2:$H$1553=V79),"")),NA())</f>
        <v>14.000000000000005</v>
      </c>
      <c r="AA79" s="31"/>
      <c r="AH79" s="13"/>
      <c r="AI79" s="8">
        <f t="shared" si="13"/>
        <v>76</v>
      </c>
      <c r="AJ79" s="10">
        <f t="shared" si="8"/>
        <v>3.9999999999999956</v>
      </c>
      <c r="AO79" s="16" t="s">
        <v>1350</v>
      </c>
      <c r="AP79" s="16">
        <v>1.6672494114317005</v>
      </c>
      <c r="AQ79" s="16">
        <v>0.71319494790489191</v>
      </c>
      <c r="AR79" s="16">
        <v>2.3377190434809929</v>
      </c>
      <c r="AS79" s="16">
        <v>2.293589676471516E-2</v>
      </c>
      <c r="AT79" s="16">
        <v>0.23910116251130553</v>
      </c>
      <c r="AU79" s="16">
        <v>3.0953976603520954</v>
      </c>
      <c r="AV79" s="16">
        <v>0.23910116251130553</v>
      </c>
      <c r="AW79" s="16">
        <v>3.0953976603520954</v>
      </c>
    </row>
    <row r="80" spans="1:49" ht="13.8" thickBot="1" x14ac:dyDescent="0.3">
      <c r="A80" t="s">
        <v>285</v>
      </c>
      <c r="B80" t="s">
        <v>13</v>
      </c>
      <c r="C80" s="10">
        <v>114</v>
      </c>
      <c r="D80" t="s">
        <v>286</v>
      </c>
      <c r="E80" s="2">
        <f t="shared" si="16"/>
        <v>46206</v>
      </c>
      <c r="F80" s="3">
        <f t="shared" si="15"/>
        <v>8.2638888888888887E-2</v>
      </c>
      <c r="G80" t="s">
        <v>287</v>
      </c>
      <c r="H80" t="s">
        <v>288</v>
      </c>
      <c r="I80" t="s">
        <v>17</v>
      </c>
      <c r="J80" s="2">
        <v>46206</v>
      </c>
      <c r="K80" s="1">
        <v>5.9027777777777783E-2</v>
      </c>
      <c r="L80" s="10">
        <f t="shared" si="9"/>
        <v>-33.999999999999986</v>
      </c>
      <c r="M80" s="1" t="str">
        <f t="shared" si="7"/>
        <v>Delayed</v>
      </c>
      <c r="N80" s="27" t="str">
        <f t="shared" si="10"/>
        <v>Wizz Air</v>
      </c>
      <c r="O80" s="3" t="s">
        <v>1318</v>
      </c>
      <c r="P80" s="20">
        <f t="shared" si="11"/>
        <v>1</v>
      </c>
      <c r="Q80" s="3" t="s">
        <v>1318</v>
      </c>
      <c r="R80" s="23" t="str">
        <f t="shared" si="12"/>
        <v>Friday</v>
      </c>
      <c r="S80" s="3" t="s">
        <v>1318</v>
      </c>
      <c r="T80" s="23" t="s">
        <v>13</v>
      </c>
      <c r="U80" s="3" t="s">
        <v>1318</v>
      </c>
      <c r="V80" s="7" t="s">
        <v>173</v>
      </c>
      <c r="W80" s="11">
        <v>400000</v>
      </c>
      <c r="X80" s="11">
        <v>1263</v>
      </c>
      <c r="Y80" s="7">
        <v>215</v>
      </c>
      <c r="Z80" s="9" cm="1">
        <f t="array" ref="Z80">IFERROR(MEDIAN(_xlfn.IFNA(_xlfn._xlws.FILTER($L$2:$L$1553, $H$2:$H$1553=V80),"")),NA())</f>
        <v>-0.99999999999983658</v>
      </c>
      <c r="AA80" s="31"/>
      <c r="AH80" s="13"/>
      <c r="AI80" s="8">
        <f t="shared" si="13"/>
        <v>197</v>
      </c>
      <c r="AJ80" s="10">
        <f t="shared" si="8"/>
        <v>6.9999999999999751</v>
      </c>
    </row>
    <row r="81" spans="1:49" ht="13.8" thickBot="1" x14ac:dyDescent="0.3">
      <c r="A81" t="s">
        <v>54</v>
      </c>
      <c r="B81" t="s">
        <v>55</v>
      </c>
      <c r="C81" s="10">
        <v>-11</v>
      </c>
      <c r="D81" t="s">
        <v>289</v>
      </c>
      <c r="E81" s="2">
        <f t="shared" si="16"/>
        <v>46206</v>
      </c>
      <c r="F81" s="3">
        <f t="shared" si="15"/>
        <v>0.31458333333333333</v>
      </c>
      <c r="G81" t="s">
        <v>57</v>
      </c>
      <c r="H81" t="s">
        <v>58</v>
      </c>
      <c r="I81" t="s">
        <v>59</v>
      </c>
      <c r="J81" s="2">
        <v>46206</v>
      </c>
      <c r="K81" s="1">
        <v>0.31458333333333333</v>
      </c>
      <c r="L81" s="10">
        <f t="shared" si="9"/>
        <v>0</v>
      </c>
      <c r="M81" s="1" t="str">
        <f t="shared" si="7"/>
        <v>On Time</v>
      </c>
      <c r="N81" s="27" t="e">
        <f t="shared" si="10"/>
        <v>#N/A</v>
      </c>
      <c r="O81" s="3" t="s">
        <v>1385</v>
      </c>
      <c r="P81" s="20">
        <f t="shared" si="11"/>
        <v>7</v>
      </c>
      <c r="Q81" s="3" t="s">
        <v>1385</v>
      </c>
      <c r="R81" s="23" t="str">
        <f t="shared" si="12"/>
        <v>Friday</v>
      </c>
      <c r="S81" s="3" t="s">
        <v>1385</v>
      </c>
      <c r="T81" s="23" t="s">
        <v>55</v>
      </c>
      <c r="U81" s="3" t="s">
        <v>1385</v>
      </c>
      <c r="V81" s="7" t="s">
        <v>467</v>
      </c>
      <c r="W81" s="11">
        <v>6100000</v>
      </c>
      <c r="X81" s="11">
        <v>2058</v>
      </c>
      <c r="Y81" s="7">
        <v>190</v>
      </c>
      <c r="Z81" s="9" cm="1">
        <f t="array" ref="Z81">IFERROR(MEDIAN(_xlfn.IFNA(_xlfn._xlws.FILTER($L$2:$L$1553, $H$2:$H$1553=V81),"")),NA())</f>
        <v>9.0000000000001279</v>
      </c>
      <c r="AA81" s="31"/>
      <c r="AH81" s="13"/>
      <c r="AI81" s="8">
        <f t="shared" si="13"/>
        <v>5</v>
      </c>
      <c r="AJ81" s="10">
        <f t="shared" si="8"/>
        <v>-0.99999999999983658</v>
      </c>
    </row>
    <row r="82" spans="1:49" ht="13.8" thickBot="1" x14ac:dyDescent="0.3">
      <c r="A82" t="s">
        <v>60</v>
      </c>
      <c r="B82" t="s">
        <v>7</v>
      </c>
      <c r="C82" s="10">
        <v>-161</v>
      </c>
      <c r="D82" t="s">
        <v>290</v>
      </c>
      <c r="E82" s="2">
        <f t="shared" si="16"/>
        <v>46206</v>
      </c>
      <c r="F82" s="3">
        <f t="shared" si="15"/>
        <v>0.4604166666666667</v>
      </c>
      <c r="G82" t="s">
        <v>9</v>
      </c>
      <c r="H82" t="s">
        <v>10</v>
      </c>
      <c r="I82" t="s">
        <v>11</v>
      </c>
      <c r="J82" s="2">
        <v>46206</v>
      </c>
      <c r="K82" s="1">
        <v>0.3611111111111111</v>
      </c>
      <c r="L82" s="10">
        <f t="shared" si="9"/>
        <v>-143.00000000000006</v>
      </c>
      <c r="M82" s="1" t="str">
        <f t="shared" si="7"/>
        <v>Delayed</v>
      </c>
      <c r="N82" s="27" t="str">
        <f t="shared" si="10"/>
        <v>airBaltic</v>
      </c>
      <c r="O82" s="3" t="s">
        <v>1318</v>
      </c>
      <c r="P82" s="20">
        <f t="shared" si="11"/>
        <v>11</v>
      </c>
      <c r="Q82" s="3" t="s">
        <v>1318</v>
      </c>
      <c r="R82" s="23" t="str">
        <f t="shared" si="12"/>
        <v>Friday</v>
      </c>
      <c r="S82" s="3" t="s">
        <v>1318</v>
      </c>
      <c r="T82" s="23" t="s">
        <v>7</v>
      </c>
      <c r="U82" s="3" t="s">
        <v>1318</v>
      </c>
      <c r="V82" s="7" t="s">
        <v>10</v>
      </c>
      <c r="W82" s="11">
        <v>6600000</v>
      </c>
      <c r="X82" s="11">
        <v>261</v>
      </c>
      <c r="Y82" s="7">
        <v>650</v>
      </c>
      <c r="Z82" s="9" cm="1">
        <f t="array" ref="Z82">IFERROR(MEDIAN(_xlfn.IFNA(_xlfn._xlws.FILTER($L$2:$L$1553, $H$2:$H$1553=V82),"")),NA())</f>
        <v>-24.499999999999915</v>
      </c>
      <c r="AA82" s="31"/>
      <c r="AH82" s="13"/>
      <c r="AI82" s="8">
        <f t="shared" si="13"/>
        <v>76</v>
      </c>
      <c r="AJ82" s="10">
        <f t="shared" si="8"/>
        <v>0.99999999999983658</v>
      </c>
    </row>
    <row r="83" spans="1:49" ht="13.8" thickBot="1" x14ac:dyDescent="0.3">
      <c r="A83" t="s">
        <v>291</v>
      </c>
      <c r="B83" t="s">
        <v>13</v>
      </c>
      <c r="C83" s="10">
        <v>-2</v>
      </c>
      <c r="D83" t="s">
        <v>292</v>
      </c>
      <c r="E83" s="2">
        <f t="shared" si="16"/>
        <v>46206</v>
      </c>
      <c r="F83" s="3">
        <f t="shared" si="15"/>
        <v>0.35625000000000001</v>
      </c>
      <c r="G83" t="s">
        <v>293</v>
      </c>
      <c r="H83" t="s">
        <v>294</v>
      </c>
      <c r="I83" t="s">
        <v>210</v>
      </c>
      <c r="J83" s="2">
        <v>46206</v>
      </c>
      <c r="K83" s="1">
        <v>0.36805555555555558</v>
      </c>
      <c r="L83" s="10">
        <f t="shared" si="9"/>
        <v>17.000000000000021</v>
      </c>
      <c r="M83" s="1" t="str">
        <f t="shared" ref="M83:M146" si="17">IF(L83&gt;=-15, "On Time", "Delayed")</f>
        <v>On Time</v>
      </c>
      <c r="N83" s="27" t="str">
        <f t="shared" si="10"/>
        <v>Wizz Air</v>
      </c>
      <c r="O83" s="3" t="s">
        <v>1385</v>
      </c>
      <c r="P83" s="20">
        <f t="shared" si="11"/>
        <v>8</v>
      </c>
      <c r="Q83" s="3" t="s">
        <v>1385</v>
      </c>
      <c r="R83" s="23" t="str">
        <f t="shared" si="12"/>
        <v>Friday</v>
      </c>
      <c r="S83" s="3" t="s">
        <v>1385</v>
      </c>
      <c r="T83" s="23" t="s">
        <v>13</v>
      </c>
      <c r="U83" s="3" t="s">
        <v>1385</v>
      </c>
      <c r="V83" s="7" t="s">
        <v>738</v>
      </c>
      <c r="W83" s="11">
        <v>280000</v>
      </c>
      <c r="X83" s="11">
        <v>1399</v>
      </c>
      <c r="Y83" s="7">
        <v>160</v>
      </c>
      <c r="Z83" s="9" cm="1">
        <f t="array" ref="Z83">IFERROR(MEDIAN(_xlfn.IFNA(_xlfn._xlws.FILTER($L$2:$L$1553, $H$2:$H$1553=V83),"")),NA())</f>
        <v>19.999999999999929</v>
      </c>
      <c r="AA83" s="31"/>
      <c r="AH83" s="13"/>
      <c r="AI83" s="8">
        <f t="shared" si="13"/>
        <v>178</v>
      </c>
      <c r="AJ83" s="10">
        <f t="shared" si="8"/>
        <v>0</v>
      </c>
      <c r="AO83" s="15"/>
      <c r="AP83" s="15"/>
      <c r="AQ83" s="23"/>
      <c r="AR83" s="23"/>
      <c r="AS83" s="23"/>
      <c r="AT83" s="23"/>
      <c r="AU83" s="23"/>
      <c r="AV83" s="23"/>
      <c r="AW83" s="23"/>
    </row>
    <row r="84" spans="1:49" ht="13.8" thickBot="1" x14ac:dyDescent="0.3">
      <c r="A84" t="s">
        <v>68</v>
      </c>
      <c r="B84" t="s">
        <v>69</v>
      </c>
      <c r="C84" s="10">
        <v>-12</v>
      </c>
      <c r="D84" t="s">
        <v>64</v>
      </c>
      <c r="E84" s="2">
        <f t="shared" si="16"/>
        <v>46206</v>
      </c>
      <c r="F84" s="3">
        <f t="shared" si="15"/>
        <v>0.37013888888888885</v>
      </c>
      <c r="G84" t="s">
        <v>71</v>
      </c>
      <c r="H84" t="s">
        <v>72</v>
      </c>
      <c r="I84" t="s">
        <v>295</v>
      </c>
      <c r="J84" s="2">
        <v>46206</v>
      </c>
      <c r="K84" s="1">
        <v>0.37152777777777773</v>
      </c>
      <c r="L84" s="10">
        <f t="shared" si="9"/>
        <v>1.9999999999999929</v>
      </c>
      <c r="M84" s="1" t="str">
        <f t="shared" si="17"/>
        <v>On Time</v>
      </c>
      <c r="N84" s="27" t="str">
        <f t="shared" si="10"/>
        <v>Finnair</v>
      </c>
      <c r="O84" s="3" t="s">
        <v>1385</v>
      </c>
      <c r="P84" s="20">
        <f t="shared" si="11"/>
        <v>8</v>
      </c>
      <c r="Q84" s="3" t="s">
        <v>1385</v>
      </c>
      <c r="R84" s="23" t="str">
        <f t="shared" si="12"/>
        <v>Friday</v>
      </c>
      <c r="S84" s="3" t="s">
        <v>1385</v>
      </c>
      <c r="T84" s="23" t="s">
        <v>69</v>
      </c>
      <c r="U84" s="3" t="s">
        <v>1385</v>
      </c>
      <c r="V84" s="7" t="s">
        <v>257</v>
      </c>
      <c r="W84" s="11">
        <v>3900000</v>
      </c>
      <c r="X84" s="11">
        <v>1708</v>
      </c>
      <c r="Y84" s="7">
        <v>160</v>
      </c>
      <c r="Z84" s="9" cm="1">
        <f t="array" ref="Z84">IFERROR(MEDIAN(_xlfn.IFNA(_xlfn._xlws.FILTER($L$2:$L$1553, $H$2:$H$1553=V84),"")),NA())</f>
        <v>8.0000000000000515</v>
      </c>
      <c r="AA84" s="31"/>
      <c r="AH84" s="13"/>
      <c r="AI84" s="8">
        <f t="shared" si="13"/>
        <v>220</v>
      </c>
      <c r="AJ84" s="10">
        <f t="shared" si="8"/>
        <v>5.9999999999999787</v>
      </c>
      <c r="AO84" s="15"/>
      <c r="AP84" s="15"/>
      <c r="AQ84" s="23"/>
      <c r="AR84" s="23"/>
      <c r="AS84" s="23"/>
      <c r="AT84" s="23"/>
      <c r="AU84" s="23"/>
      <c r="AV84" s="23"/>
      <c r="AW84" s="23"/>
    </row>
    <row r="85" spans="1:49" ht="13.8" thickBot="1" x14ac:dyDescent="0.3">
      <c r="A85" t="s">
        <v>74</v>
      </c>
      <c r="B85" t="s">
        <v>13</v>
      </c>
      <c r="C85" s="10">
        <v>8</v>
      </c>
      <c r="D85" t="s">
        <v>296</v>
      </c>
      <c r="E85" s="2">
        <f t="shared" si="16"/>
        <v>46206</v>
      </c>
      <c r="F85" s="3">
        <f t="shared" si="15"/>
        <v>0.36874999999999997</v>
      </c>
      <c r="G85" t="s">
        <v>76</v>
      </c>
      <c r="H85" t="s">
        <v>77</v>
      </c>
      <c r="I85" t="s">
        <v>17</v>
      </c>
      <c r="J85" s="2">
        <v>46206</v>
      </c>
      <c r="K85" s="1">
        <v>0.3888888888888889</v>
      </c>
      <c r="L85" s="10">
        <f t="shared" si="9"/>
        <v>29.000000000000057</v>
      </c>
      <c r="M85" s="1" t="str">
        <f t="shared" si="17"/>
        <v>On Time</v>
      </c>
      <c r="N85" s="27" t="str">
        <f t="shared" si="10"/>
        <v>Wizz Air</v>
      </c>
      <c r="O85" s="3" t="s">
        <v>1385</v>
      </c>
      <c r="P85" s="20">
        <f t="shared" si="11"/>
        <v>8</v>
      </c>
      <c r="Q85" s="3" t="s">
        <v>1385</v>
      </c>
      <c r="R85" s="23" t="str">
        <f t="shared" si="12"/>
        <v>Friday</v>
      </c>
      <c r="S85" s="3" t="s">
        <v>1385</v>
      </c>
      <c r="T85" s="23" t="s">
        <v>13</v>
      </c>
      <c r="U85" s="3" t="s">
        <v>1385</v>
      </c>
      <c r="V85" s="7" t="s">
        <v>1307</v>
      </c>
      <c r="W85" s="11">
        <v>60000</v>
      </c>
      <c r="X85" s="11">
        <v>711</v>
      </c>
      <c r="Y85" s="7">
        <v>300</v>
      </c>
      <c r="Z85" s="9" cm="1">
        <f t="array" ref="Z85">IFERROR(MEDIAN(_xlfn.IFNA(_xlfn._xlws.FILTER($L$2:$L$1553, $H$2:$H$1553=V85),"")),NA())</f>
        <v>-12.999999999999794</v>
      </c>
      <c r="AA85" s="31"/>
      <c r="AH85" s="13"/>
      <c r="AI85" s="8">
        <f t="shared" si="13"/>
        <v>100</v>
      </c>
      <c r="AJ85" s="10">
        <f t="shared" si="8"/>
        <v>-3.9999999999999858</v>
      </c>
      <c r="AO85" s="15"/>
      <c r="AP85" s="15"/>
      <c r="AQ85" s="23"/>
      <c r="AR85" s="23"/>
      <c r="AS85" s="23"/>
      <c r="AT85" s="23"/>
      <c r="AU85" s="23"/>
      <c r="AV85" s="23"/>
      <c r="AW85" s="23"/>
    </row>
    <row r="86" spans="1:49" ht="13.8" thickBot="1" x14ac:dyDescent="0.3">
      <c r="A86" t="s">
        <v>159</v>
      </c>
      <c r="B86" t="s">
        <v>85</v>
      </c>
      <c r="C86" s="10">
        <v>-2</v>
      </c>
      <c r="D86" t="s">
        <v>297</v>
      </c>
      <c r="E86" s="2">
        <f t="shared" si="16"/>
        <v>46206</v>
      </c>
      <c r="F86" s="3">
        <f t="shared" si="15"/>
        <v>0.37847222222222227</v>
      </c>
      <c r="G86" t="s">
        <v>34</v>
      </c>
      <c r="H86" t="s">
        <v>161</v>
      </c>
      <c r="I86" t="s">
        <v>89</v>
      </c>
      <c r="J86" s="2">
        <v>46206</v>
      </c>
      <c r="K86" s="1">
        <v>0.39930555555555558</v>
      </c>
      <c r="L86" s="10">
        <f t="shared" si="9"/>
        <v>29.999999999999972</v>
      </c>
      <c r="M86" s="1" t="str">
        <f t="shared" si="17"/>
        <v>On Time</v>
      </c>
      <c r="N86" s="27" t="str">
        <f t="shared" si="10"/>
        <v>Ryanair</v>
      </c>
      <c r="O86" s="3" t="s">
        <v>1385</v>
      </c>
      <c r="P86" s="20">
        <f t="shared" si="11"/>
        <v>9</v>
      </c>
      <c r="Q86" s="3" t="s">
        <v>1385</v>
      </c>
      <c r="R86" s="23" t="str">
        <f t="shared" si="12"/>
        <v>Friday</v>
      </c>
      <c r="S86" s="3" t="s">
        <v>1385</v>
      </c>
      <c r="T86" s="23" t="s">
        <v>85</v>
      </c>
      <c r="U86" s="3" t="s">
        <v>1385</v>
      </c>
      <c r="V86" s="7" t="s">
        <v>360</v>
      </c>
      <c r="W86" s="11">
        <v>200000</v>
      </c>
      <c r="X86" s="11">
        <v>1653</v>
      </c>
      <c r="Y86" s="7">
        <v>110</v>
      </c>
      <c r="Z86" s="9" cm="1">
        <f t="array" ref="Z86">IFERROR(MEDIAN(_xlfn.IFNA(_xlfn._xlws.FILTER($L$2:$L$1553, $H$2:$H$1553=V86),"")),NA())</f>
        <v>-39.000000000000021</v>
      </c>
      <c r="AA86" s="31"/>
      <c r="AH86" s="13"/>
      <c r="AI86" s="8">
        <f t="shared" si="13"/>
        <v>189</v>
      </c>
      <c r="AJ86" s="10">
        <f t="shared" si="8"/>
        <v>5.0000000000000817</v>
      </c>
      <c r="AO86" s="15"/>
      <c r="AP86" s="15"/>
      <c r="AQ86" s="23"/>
      <c r="AR86" s="23"/>
      <c r="AS86" s="23"/>
      <c r="AT86" s="23"/>
      <c r="AU86" s="23"/>
      <c r="AV86" s="23"/>
      <c r="AW86" s="23"/>
    </row>
    <row r="87" spans="1:49" ht="13.8" thickBot="1" x14ac:dyDescent="0.3">
      <c r="A87" t="s">
        <v>123</v>
      </c>
      <c r="B87" t="s">
        <v>123</v>
      </c>
      <c r="C87" s="10" t="e">
        <f>NA()</f>
        <v>#N/A</v>
      </c>
      <c r="D87" t="s">
        <v>298</v>
      </c>
      <c r="E87" s="2">
        <f t="shared" si="16"/>
        <v>46206</v>
      </c>
      <c r="F87" s="3">
        <f t="shared" si="15"/>
        <v>0.42291666666666666</v>
      </c>
      <c r="G87" t="s">
        <v>299</v>
      </c>
      <c r="H87" t="s">
        <v>300</v>
      </c>
      <c r="I87" t="s">
        <v>301</v>
      </c>
      <c r="J87" s="2">
        <v>46206</v>
      </c>
      <c r="K87" s="1">
        <v>0.40138888888888885</v>
      </c>
      <c r="L87" s="10">
        <f t="shared" si="9"/>
        <v>-31.00000000000005</v>
      </c>
      <c r="M87" s="1" t="str">
        <f t="shared" si="17"/>
        <v>Delayed</v>
      </c>
      <c r="N87" s="27" t="e">
        <f t="shared" si="10"/>
        <v>#N/A</v>
      </c>
      <c r="O87" s="3" t="s">
        <v>1318</v>
      </c>
      <c r="P87" s="20">
        <f t="shared" si="11"/>
        <v>10</v>
      </c>
      <c r="Q87" s="3" t="s">
        <v>1318</v>
      </c>
      <c r="R87" s="23" t="str">
        <f t="shared" si="12"/>
        <v>Friday</v>
      </c>
      <c r="S87" s="3" t="s">
        <v>1318</v>
      </c>
      <c r="T87" s="23" t="s">
        <v>123</v>
      </c>
      <c r="U87" s="3" t="s">
        <v>1318</v>
      </c>
      <c r="V87" s="7" t="s">
        <v>50</v>
      </c>
      <c r="W87" s="11">
        <v>4500000</v>
      </c>
      <c r="X87" s="11">
        <v>2876</v>
      </c>
      <c r="Y87" s="8">
        <v>1100</v>
      </c>
      <c r="Z87" s="9" cm="1">
        <f t="array" ref="Z87">IFERROR(MEDIAN(_xlfn.IFNA(_xlfn._xlws.FILTER($L$2:$L$1553, $H$2:$H$1553=V87),"")),NA())</f>
        <v>-1.0000000000000764</v>
      </c>
      <c r="AA87" s="31"/>
      <c r="AH87" s="13"/>
      <c r="AI87" s="8">
        <f t="shared" si="13"/>
        <v>220</v>
      </c>
      <c r="AJ87" s="10">
        <f t="shared" si="8"/>
        <v>1.9999999999999929</v>
      </c>
      <c r="AO87" s="23"/>
      <c r="AP87" s="23"/>
      <c r="AQ87" s="23"/>
      <c r="AR87" s="23"/>
      <c r="AS87" s="23"/>
      <c r="AT87" s="23"/>
      <c r="AU87" s="23"/>
      <c r="AV87" s="23"/>
      <c r="AW87" s="23"/>
    </row>
    <row r="88" spans="1:49" ht="13.8" thickBot="1" x14ac:dyDescent="0.3">
      <c r="A88" t="s">
        <v>90</v>
      </c>
      <c r="B88" t="s">
        <v>19</v>
      </c>
      <c r="C88" s="10">
        <v>-39</v>
      </c>
      <c r="D88" t="s">
        <v>302</v>
      </c>
      <c r="E88" s="2">
        <f t="shared" si="16"/>
        <v>46206</v>
      </c>
      <c r="F88" s="3" t="e">
        <f t="shared" si="15"/>
        <v>#N/A</v>
      </c>
      <c r="G88" t="s">
        <v>21</v>
      </c>
      <c r="H88" t="s">
        <v>22</v>
      </c>
      <c r="I88" t="s">
        <v>303</v>
      </c>
      <c r="J88" s="2">
        <v>46206</v>
      </c>
      <c r="K88" s="1">
        <v>0.4201388888888889</v>
      </c>
      <c r="L88" s="10" t="e">
        <f t="shared" si="9"/>
        <v>#N/A</v>
      </c>
      <c r="M88" s="1" t="e">
        <f t="shared" si="17"/>
        <v>#N/A</v>
      </c>
      <c r="N88" s="27" t="str">
        <f t="shared" si="10"/>
        <v>LOT</v>
      </c>
      <c r="O88" s="3" t="e">
        <v>#N/A</v>
      </c>
      <c r="P88" s="20" t="e">
        <f t="shared" si="11"/>
        <v>#N/A</v>
      </c>
      <c r="Q88" s="3" t="e">
        <v>#N/A</v>
      </c>
      <c r="R88" s="23" t="str">
        <f t="shared" si="12"/>
        <v>Friday</v>
      </c>
      <c r="S88" s="3" t="e">
        <v>#N/A</v>
      </c>
      <c r="T88" s="23" t="s">
        <v>19</v>
      </c>
      <c r="V88" s="7" t="s">
        <v>1071</v>
      </c>
      <c r="W88" s="9" t="e" cm="1">
        <f t="array" ref="W88">IFERROR(MEDIAN(_xlfn.IFNA(_xlfn._xlws.FILTER(#REF!, $H$2:$H$1553=T88),"")),NA())</f>
        <v>#N/A</v>
      </c>
      <c r="X88" s="11">
        <v>189</v>
      </c>
      <c r="Y88" s="7">
        <v>730</v>
      </c>
      <c r="Z88" s="9" t="e" cm="1">
        <f t="array" ref="Z88">IFERROR(MEDIAN(_xlfn.IFNA(_xlfn._xlws.FILTER($L$2:$L$1553, $H$2:$H$1553=V88),"")),NA())</f>
        <v>#N/A</v>
      </c>
      <c r="AA88" s="31"/>
      <c r="AH88" s="13"/>
      <c r="AI88" s="8">
        <f t="shared" si="13"/>
        <v>118</v>
      </c>
      <c r="AJ88" s="10">
        <f t="shared" si="8"/>
        <v>-7.0000000000000551</v>
      </c>
      <c r="AO88" s="23"/>
      <c r="AP88" s="23"/>
      <c r="AQ88" s="23"/>
      <c r="AR88" s="23"/>
      <c r="AS88" s="23"/>
      <c r="AT88" s="23"/>
      <c r="AU88" s="23"/>
      <c r="AV88" s="23"/>
      <c r="AW88" s="23"/>
    </row>
    <row r="89" spans="1:49" ht="13.8" thickBot="1" x14ac:dyDescent="0.3">
      <c r="A89" t="s">
        <v>95</v>
      </c>
      <c r="B89" t="s">
        <v>96</v>
      </c>
      <c r="C89" s="10">
        <v>-15</v>
      </c>
      <c r="D89" t="s">
        <v>304</v>
      </c>
      <c r="E89" s="2">
        <f t="shared" si="16"/>
        <v>46206</v>
      </c>
      <c r="F89" s="3">
        <f t="shared" si="15"/>
        <v>0.43333333333333335</v>
      </c>
      <c r="G89" t="s">
        <v>98</v>
      </c>
      <c r="H89" t="s">
        <v>99</v>
      </c>
      <c r="I89" t="s">
        <v>305</v>
      </c>
      <c r="J89" s="2">
        <v>46206</v>
      </c>
      <c r="K89" s="1">
        <v>0.44791666666666669</v>
      </c>
      <c r="L89" s="10">
        <f t="shared" si="9"/>
        <v>21.000000000000007</v>
      </c>
      <c r="M89" s="1" t="str">
        <f t="shared" si="17"/>
        <v>On Time</v>
      </c>
      <c r="N89" s="27" t="str">
        <f t="shared" si="10"/>
        <v>Turkish Airlines</v>
      </c>
      <c r="O89" s="3" t="s">
        <v>1385</v>
      </c>
      <c r="P89" s="20">
        <f t="shared" si="11"/>
        <v>10</v>
      </c>
      <c r="Q89" s="3" t="s">
        <v>1385</v>
      </c>
      <c r="R89" s="23" t="str">
        <f t="shared" si="12"/>
        <v>Friday</v>
      </c>
      <c r="S89" s="3" t="s">
        <v>1385</v>
      </c>
      <c r="T89" s="23" t="s">
        <v>96</v>
      </c>
      <c r="U89" s="3" t="s">
        <v>1385</v>
      </c>
      <c r="V89" s="7" t="s">
        <v>1044</v>
      </c>
      <c r="W89" s="11">
        <v>7200000</v>
      </c>
      <c r="X89" s="11">
        <v>1250</v>
      </c>
      <c r="Y89" s="7">
        <v>500</v>
      </c>
      <c r="Z89" s="9" cm="1">
        <f t="array" ref="Z89">IFERROR(MEDIAN(_xlfn.IFNA(_xlfn._xlws.FILTER($L$2:$L$1553, $H$2:$H$1553=V89),"")),NA())</f>
        <v>-75.000000000000057</v>
      </c>
      <c r="AA89" s="31"/>
      <c r="AH89" s="13"/>
      <c r="AI89" s="8">
        <f t="shared" si="13"/>
        <v>220</v>
      </c>
      <c r="AJ89" s="10">
        <f t="shared" si="8"/>
        <v>-25.999999999999986</v>
      </c>
      <c r="AO89" s="28"/>
      <c r="AP89" s="28"/>
      <c r="AQ89" s="28"/>
      <c r="AR89" s="28"/>
      <c r="AS89" s="28"/>
      <c r="AT89" s="28"/>
      <c r="AU89" s="23"/>
      <c r="AV89" s="23"/>
      <c r="AW89" s="23"/>
    </row>
    <row r="90" spans="1:49" ht="13.8" thickBot="1" x14ac:dyDescent="0.3">
      <c r="A90" t="s">
        <v>306</v>
      </c>
      <c r="B90" t="s">
        <v>239</v>
      </c>
      <c r="D90" t="s">
        <v>307</v>
      </c>
      <c r="E90" s="2">
        <f t="shared" si="16"/>
        <v>46206</v>
      </c>
      <c r="F90" s="3">
        <f t="shared" si="15"/>
        <v>0.45763888888888887</v>
      </c>
      <c r="G90" t="s">
        <v>308</v>
      </c>
      <c r="H90" t="s">
        <v>309</v>
      </c>
      <c r="I90" t="s">
        <v>83</v>
      </c>
      <c r="J90" s="2">
        <v>46206</v>
      </c>
      <c r="K90" s="1">
        <v>0.45833333333333331</v>
      </c>
      <c r="L90" s="10">
        <f t="shared" si="9"/>
        <v>0.99999999999999645</v>
      </c>
      <c r="M90" s="1" t="str">
        <f t="shared" si="17"/>
        <v>On Time</v>
      </c>
      <c r="N90" s="27" t="str">
        <f t="shared" si="10"/>
        <v>Eurowings</v>
      </c>
      <c r="O90" s="3" t="s">
        <v>1385</v>
      </c>
      <c r="P90" s="20">
        <f t="shared" si="11"/>
        <v>10</v>
      </c>
      <c r="Q90" s="3" t="s">
        <v>1385</v>
      </c>
      <c r="R90" s="23" t="str">
        <f t="shared" si="12"/>
        <v>Friday</v>
      </c>
      <c r="S90" s="3" t="s">
        <v>1385</v>
      </c>
      <c r="T90" s="23" t="s">
        <v>239</v>
      </c>
      <c r="U90" s="3" t="s">
        <v>1385</v>
      </c>
      <c r="V90" s="7" t="s">
        <v>227</v>
      </c>
      <c r="W90" s="11">
        <v>21800000</v>
      </c>
      <c r="X90" s="11">
        <v>675</v>
      </c>
      <c r="Y90" s="8">
        <v>3300</v>
      </c>
      <c r="Z90" s="9" cm="1">
        <f t="array" ref="Z90">IFERROR(MEDIAN(_xlfn.IFNA(_xlfn._xlws.FILTER($L$2:$L$1553, $H$2:$H$1553=V90),"")),NA())</f>
        <v>-1.0000000000000764</v>
      </c>
      <c r="AA90" s="31"/>
      <c r="AH90" s="13"/>
      <c r="AI90" s="8">
        <f t="shared" si="13"/>
        <v>100</v>
      </c>
      <c r="AJ90" s="10">
        <f t="shared" si="8"/>
        <v>1.4999999999999147</v>
      </c>
      <c r="AO90" s="15"/>
      <c r="AP90" s="15"/>
      <c r="AQ90" s="15"/>
      <c r="AR90" s="15"/>
      <c r="AS90" s="15"/>
      <c r="AT90" s="15"/>
      <c r="AU90" s="23"/>
      <c r="AV90" s="23"/>
      <c r="AW90" s="23"/>
    </row>
    <row r="91" spans="1:49" ht="13.8" thickBot="1" x14ac:dyDescent="0.3">
      <c r="A91" t="s">
        <v>213</v>
      </c>
      <c r="B91" t="s">
        <v>85</v>
      </c>
      <c r="C91" s="10">
        <v>-17</v>
      </c>
      <c r="D91" t="s">
        <v>310</v>
      </c>
      <c r="E91" s="2">
        <f t="shared" si="16"/>
        <v>46206</v>
      </c>
      <c r="F91" s="3">
        <f t="shared" si="15"/>
        <v>0.45</v>
      </c>
      <c r="G91" t="s">
        <v>102</v>
      </c>
      <c r="H91" t="s">
        <v>115</v>
      </c>
      <c r="I91" t="s">
        <v>162</v>
      </c>
      <c r="J91" s="2">
        <v>46206</v>
      </c>
      <c r="K91" s="1">
        <v>0.46527777777777773</v>
      </c>
      <c r="L91" s="10">
        <f t="shared" si="9"/>
        <v>21.999999999999922</v>
      </c>
      <c r="M91" s="1" t="str">
        <f t="shared" si="17"/>
        <v>On Time</v>
      </c>
      <c r="N91" s="27" t="str">
        <f t="shared" si="10"/>
        <v>Ryanair</v>
      </c>
      <c r="O91" s="3" t="s">
        <v>1385</v>
      </c>
      <c r="P91" s="20">
        <f t="shared" si="11"/>
        <v>10</v>
      </c>
      <c r="Q91" s="3" t="s">
        <v>1385</v>
      </c>
      <c r="R91" s="23" t="str">
        <f t="shared" si="12"/>
        <v>Friday</v>
      </c>
      <c r="S91" s="3" t="s">
        <v>1385</v>
      </c>
      <c r="T91" s="23" t="s">
        <v>85</v>
      </c>
      <c r="U91" s="3" t="s">
        <v>1385</v>
      </c>
      <c r="V91" s="7" t="s">
        <v>1287</v>
      </c>
      <c r="W91" s="11">
        <v>800000</v>
      </c>
      <c r="X91" s="11">
        <v>674</v>
      </c>
      <c r="Y91" s="7">
        <v>128</v>
      </c>
      <c r="Z91" s="9" cm="1">
        <f t="array" ref="Z91">IFERROR(MEDIAN(_xlfn.IFNA(_xlfn._xlws.FILTER($L$2:$L$1553, $H$2:$H$1553=V91),"")),NA())</f>
        <v>-14.999999999999947</v>
      </c>
      <c r="AA91" s="31"/>
      <c r="AH91" s="13"/>
      <c r="AI91" s="8">
        <f t="shared" si="13"/>
        <v>3</v>
      </c>
      <c r="AJ91" s="10">
        <f t="shared" si="8"/>
        <v>-10.999999999999961</v>
      </c>
      <c r="AO91" s="15"/>
      <c r="AP91" s="15"/>
      <c r="AQ91" s="15"/>
      <c r="AR91" s="15"/>
      <c r="AS91" s="15"/>
      <c r="AT91" s="15"/>
      <c r="AU91" s="23"/>
      <c r="AV91" s="23"/>
      <c r="AW91" s="23"/>
    </row>
    <row r="92" spans="1:49" ht="13.8" thickBot="1" x14ac:dyDescent="0.3">
      <c r="A92" t="s">
        <v>123</v>
      </c>
      <c r="B92" t="s">
        <v>124</v>
      </c>
      <c r="C92" s="10" t="e">
        <f>NA()</f>
        <v>#N/A</v>
      </c>
      <c r="D92" t="s">
        <v>311</v>
      </c>
      <c r="E92" s="2">
        <f t="shared" si="16"/>
        <v>46206</v>
      </c>
      <c r="F92" s="3">
        <f t="shared" si="15"/>
        <v>0.49722222222222223</v>
      </c>
      <c r="G92" t="s">
        <v>312</v>
      </c>
      <c r="H92" t="s">
        <v>313</v>
      </c>
      <c r="I92" t="s">
        <v>249</v>
      </c>
      <c r="J92" s="2">
        <v>46206</v>
      </c>
      <c r="K92" s="1">
        <v>0.50902777777777775</v>
      </c>
      <c r="L92" s="10">
        <f t="shared" si="9"/>
        <v>16.99999999999994</v>
      </c>
      <c r="M92" s="1" t="str">
        <f t="shared" si="17"/>
        <v>On Time</v>
      </c>
      <c r="N92" s="27" t="str">
        <f t="shared" si="10"/>
        <v>GetJet Airlines</v>
      </c>
      <c r="O92" s="3" t="s">
        <v>1385</v>
      </c>
      <c r="P92" s="20">
        <f t="shared" si="11"/>
        <v>11</v>
      </c>
      <c r="Q92" s="3" t="s">
        <v>1385</v>
      </c>
      <c r="R92" s="23" t="str">
        <f t="shared" si="12"/>
        <v>Friday</v>
      </c>
      <c r="S92" s="3" t="s">
        <v>1385</v>
      </c>
      <c r="T92" s="23" t="s">
        <v>124</v>
      </c>
      <c r="U92" s="3" t="s">
        <v>1385</v>
      </c>
      <c r="V92" s="7" t="s">
        <v>613</v>
      </c>
      <c r="W92" s="9" t="e" cm="1">
        <f t="array" ref="W92">IFERROR(MEDIAN(_xlfn.IFNA(_xlfn._xlws.FILTER(#REF!, $H$2:$H$1553=T92),"")),NA())</f>
        <v>#N/A</v>
      </c>
      <c r="X92" s="11">
        <v>158</v>
      </c>
      <c r="Y92" s="7">
        <v>110</v>
      </c>
      <c r="Z92" s="9" cm="1">
        <f t="array" ref="Z92">IFERROR(MEDIAN(_xlfn.IFNA(_xlfn._xlws.FILTER($L$2:$L$1553, $H$2:$H$1553=V92),"")),NA())</f>
        <v>14.999999999999947</v>
      </c>
      <c r="AA92" s="31"/>
      <c r="AH92" s="13"/>
      <c r="AI92" s="8">
        <f t="shared" si="13"/>
        <v>100</v>
      </c>
      <c r="AJ92" s="10">
        <f t="shared" si="8"/>
        <v>-3.0000000000001492</v>
      </c>
      <c r="AO92" s="15"/>
      <c r="AP92" s="15"/>
      <c r="AQ92" s="15"/>
      <c r="AR92" s="15"/>
      <c r="AS92" s="15"/>
      <c r="AT92" s="15"/>
      <c r="AU92" s="23"/>
      <c r="AV92" s="23"/>
      <c r="AW92" s="23"/>
    </row>
    <row r="93" spans="1:49" ht="13.8" thickBot="1" x14ac:dyDescent="0.3">
      <c r="A93" t="s">
        <v>28</v>
      </c>
      <c r="B93" t="s">
        <v>7</v>
      </c>
      <c r="C93" s="10">
        <v>-18</v>
      </c>
      <c r="D93" t="s">
        <v>314</v>
      </c>
      <c r="E93" s="2">
        <f t="shared" si="16"/>
        <v>46206</v>
      </c>
      <c r="F93" s="3">
        <f t="shared" si="15"/>
        <v>0.50555555555555554</v>
      </c>
      <c r="G93" t="s">
        <v>30</v>
      </c>
      <c r="H93" t="s">
        <v>31</v>
      </c>
      <c r="I93" t="s">
        <v>11</v>
      </c>
      <c r="J93" s="2">
        <v>46206</v>
      </c>
      <c r="K93" s="1">
        <v>0.51736111111111105</v>
      </c>
      <c r="L93" s="10">
        <f t="shared" si="9"/>
        <v>16.99999999999994</v>
      </c>
      <c r="M93" s="1" t="str">
        <f t="shared" si="17"/>
        <v>On Time</v>
      </c>
      <c r="N93" s="27" t="str">
        <f t="shared" si="10"/>
        <v>airBaltic</v>
      </c>
      <c r="O93" s="3" t="s">
        <v>1385</v>
      </c>
      <c r="P93" s="20">
        <f t="shared" si="11"/>
        <v>12</v>
      </c>
      <c r="Q93" s="3" t="s">
        <v>1385</v>
      </c>
      <c r="R93" s="23" t="str">
        <f t="shared" si="12"/>
        <v>Friday</v>
      </c>
      <c r="S93" s="3" t="s">
        <v>1385</v>
      </c>
      <c r="T93" s="23" t="s">
        <v>7</v>
      </c>
      <c r="U93" s="3" t="s">
        <v>1385</v>
      </c>
      <c r="V93" s="7" t="s">
        <v>77</v>
      </c>
      <c r="W93" s="11">
        <v>3000000</v>
      </c>
      <c r="X93" s="11">
        <v>529</v>
      </c>
      <c r="Y93" s="7">
        <v>430</v>
      </c>
      <c r="Z93" s="9" cm="1">
        <f t="array" ref="Z93">IFERROR(MEDIAN(_xlfn.IFNA(_xlfn._xlws.FILTER($L$2:$L$1553, $H$2:$H$1553=V93),"")),NA())</f>
        <v>15.500000000000064</v>
      </c>
      <c r="AA93" s="31"/>
      <c r="AH93" s="13"/>
      <c r="AI93" s="8">
        <f t="shared" si="13"/>
        <v>189</v>
      </c>
      <c r="AJ93" s="10">
        <f t="shared" si="8"/>
        <v>8.4999999999999698</v>
      </c>
      <c r="AO93" s="23"/>
      <c r="AP93" s="23"/>
      <c r="AQ93" s="23"/>
      <c r="AR93" s="23"/>
      <c r="AS93" s="23"/>
      <c r="AT93" s="23"/>
      <c r="AU93" s="23"/>
      <c r="AV93" s="23"/>
      <c r="AW93" s="23"/>
    </row>
    <row r="94" spans="1:49" ht="13.8" thickBot="1" x14ac:dyDescent="0.3">
      <c r="A94" t="s">
        <v>108</v>
      </c>
      <c r="B94" t="s">
        <v>190</v>
      </c>
      <c r="C94" s="10">
        <v>-20</v>
      </c>
      <c r="D94" t="s">
        <v>315</v>
      </c>
      <c r="E94" s="2">
        <f t="shared" si="16"/>
        <v>46206</v>
      </c>
      <c r="F94" s="3">
        <f t="shared" si="15"/>
        <v>0.52222222222222225</v>
      </c>
      <c r="G94" t="s">
        <v>110</v>
      </c>
      <c r="H94" t="s">
        <v>111</v>
      </c>
      <c r="I94" t="s">
        <v>210</v>
      </c>
      <c r="J94" s="2">
        <v>46206</v>
      </c>
      <c r="K94" s="1">
        <v>0.52777777777777779</v>
      </c>
      <c r="L94" s="10">
        <f t="shared" si="9"/>
        <v>7.9999999999999716</v>
      </c>
      <c r="M94" s="1" t="str">
        <f t="shared" si="17"/>
        <v>On Time</v>
      </c>
      <c r="N94" s="27" t="str">
        <f t="shared" si="10"/>
        <v>Lufthansa</v>
      </c>
      <c r="O94" s="3" t="s">
        <v>1385</v>
      </c>
      <c r="P94" s="20">
        <f t="shared" si="11"/>
        <v>12</v>
      </c>
      <c r="Q94" s="3" t="s">
        <v>1385</v>
      </c>
      <c r="R94" s="23" t="str">
        <f t="shared" si="12"/>
        <v>Friday</v>
      </c>
      <c r="S94" s="3" t="s">
        <v>1385</v>
      </c>
      <c r="T94" s="23" t="s">
        <v>190</v>
      </c>
      <c r="U94" s="3" t="s">
        <v>1385</v>
      </c>
      <c r="V94" s="7" t="s">
        <v>1282</v>
      </c>
      <c r="W94" s="11">
        <v>3700000</v>
      </c>
      <c r="X94" s="11">
        <v>2082</v>
      </c>
      <c r="Y94" s="7">
        <v>350</v>
      </c>
      <c r="Z94" s="9" cm="1">
        <f t="array" ref="Z94">IFERROR(MEDIAN(_xlfn.IFNA(_xlfn._xlws.FILTER($L$2:$L$1553, $H$2:$H$1553=V94),"")),NA())</f>
        <v>11.999999999999957</v>
      </c>
      <c r="AA94" s="31"/>
      <c r="AH94" s="13"/>
      <c r="AI94" s="8">
        <f t="shared" si="13"/>
        <v>7</v>
      </c>
      <c r="AJ94" s="10">
        <f t="shared" si="8"/>
        <v>13.000000000000114</v>
      </c>
      <c r="AO94" s="28"/>
      <c r="AP94" s="28"/>
      <c r="AQ94" s="28"/>
      <c r="AR94" s="28"/>
      <c r="AS94" s="28"/>
      <c r="AT94" s="28"/>
      <c r="AU94" s="28"/>
      <c r="AV94" s="28"/>
      <c r="AW94" s="28"/>
    </row>
    <row r="95" spans="1:49" ht="13.8" thickBot="1" x14ac:dyDescent="0.3">
      <c r="A95" t="s">
        <v>113</v>
      </c>
      <c r="B95" t="s">
        <v>13</v>
      </c>
      <c r="C95" s="10">
        <v>-67</v>
      </c>
      <c r="D95" t="s">
        <v>316</v>
      </c>
      <c r="E95" s="2">
        <f t="shared" si="16"/>
        <v>46206</v>
      </c>
      <c r="F95" s="3">
        <f t="shared" si="15"/>
        <v>0.55694444444444446</v>
      </c>
      <c r="G95" t="s">
        <v>102</v>
      </c>
      <c r="H95" t="s">
        <v>115</v>
      </c>
      <c r="I95" t="s">
        <v>17</v>
      </c>
      <c r="J95" s="2">
        <v>46206</v>
      </c>
      <c r="K95" s="1">
        <v>0.53472222222222221</v>
      </c>
      <c r="L95" s="10">
        <f t="shared" si="9"/>
        <v>-32.000000000000043</v>
      </c>
      <c r="M95" s="1" t="str">
        <f t="shared" si="17"/>
        <v>Delayed</v>
      </c>
      <c r="N95" s="27" t="str">
        <f t="shared" si="10"/>
        <v>Wizz Air</v>
      </c>
      <c r="O95" s="3" t="s">
        <v>1318</v>
      </c>
      <c r="P95" s="20">
        <f t="shared" si="11"/>
        <v>13</v>
      </c>
      <c r="Q95" s="3" t="s">
        <v>1318</v>
      </c>
      <c r="R95" s="23" t="str">
        <f t="shared" si="12"/>
        <v>Friday</v>
      </c>
      <c r="S95" s="3" t="s">
        <v>1318</v>
      </c>
      <c r="T95" s="23" t="s">
        <v>13</v>
      </c>
      <c r="U95" s="3" t="s">
        <v>1318</v>
      </c>
      <c r="V95" s="7" t="s">
        <v>82</v>
      </c>
      <c r="W95" s="11">
        <v>15000000</v>
      </c>
      <c r="X95" s="11">
        <v>2637</v>
      </c>
      <c r="Y95" s="8">
        <v>2000</v>
      </c>
      <c r="Z95" s="9" cm="1">
        <f t="array" ref="Z95">IFERROR(MEDIAN(_xlfn.IFNA(_xlfn._xlws.FILTER($L$2:$L$1553, $H$2:$H$1553=V95),"")),NA())</f>
        <v>-21.000000000000007</v>
      </c>
      <c r="AA95" s="31"/>
      <c r="AH95" s="13"/>
      <c r="AI95" s="8">
        <f t="shared" si="13"/>
        <v>9</v>
      </c>
      <c r="AJ95" s="10">
        <f t="shared" si="8"/>
        <v>-9.5000000000000071</v>
      </c>
      <c r="AO95" s="15"/>
      <c r="AP95" s="15"/>
      <c r="AQ95" s="15"/>
      <c r="AR95" s="15"/>
      <c r="AS95" s="15"/>
      <c r="AT95" s="15"/>
      <c r="AU95" s="15"/>
      <c r="AV95" s="15"/>
      <c r="AW95" s="15"/>
    </row>
    <row r="96" spans="1:49" ht="13.8" thickBot="1" x14ac:dyDescent="0.3">
      <c r="A96" t="s">
        <v>121</v>
      </c>
      <c r="B96" t="s">
        <v>69</v>
      </c>
      <c r="C96" s="10">
        <v>-22</v>
      </c>
      <c r="D96" t="s">
        <v>109</v>
      </c>
      <c r="E96" s="2">
        <f t="shared" si="16"/>
        <v>46206</v>
      </c>
      <c r="F96" s="3">
        <f t="shared" si="15"/>
        <v>0.55208333333333337</v>
      </c>
      <c r="G96" t="s">
        <v>71</v>
      </c>
      <c r="H96" t="s">
        <v>72</v>
      </c>
      <c r="I96" t="s">
        <v>73</v>
      </c>
      <c r="J96" s="2">
        <v>46206</v>
      </c>
      <c r="K96" s="1">
        <v>0.54166666666666663</v>
      </c>
      <c r="L96" s="10">
        <f t="shared" si="9"/>
        <v>-15.000000000000107</v>
      </c>
      <c r="M96" s="1" t="str">
        <f t="shared" si="17"/>
        <v>Delayed</v>
      </c>
      <c r="N96" s="27" t="str">
        <f t="shared" si="10"/>
        <v>Finnair</v>
      </c>
      <c r="O96" s="3" t="s">
        <v>1318</v>
      </c>
      <c r="P96" s="20">
        <f t="shared" si="11"/>
        <v>13</v>
      </c>
      <c r="Q96" s="3" t="s">
        <v>1318</v>
      </c>
      <c r="R96" s="23" t="str">
        <f t="shared" si="12"/>
        <v>Friday</v>
      </c>
      <c r="S96" s="3" t="s">
        <v>1318</v>
      </c>
      <c r="T96" s="23" t="s">
        <v>69</v>
      </c>
      <c r="U96" s="3" t="s">
        <v>1318</v>
      </c>
      <c r="V96" s="7" t="s">
        <v>203</v>
      </c>
      <c r="W96" s="11">
        <v>7200000</v>
      </c>
      <c r="X96" s="11">
        <v>1421</v>
      </c>
      <c r="Y96" s="7">
        <v>290</v>
      </c>
      <c r="Z96" s="9" cm="1">
        <f t="array" ref="Z96">IFERROR(MEDIAN(_xlfn.IFNA(_xlfn._xlws.FILTER($L$2:$L$1553, $H$2:$H$1553=V96),"")),NA())</f>
        <v>-3.9999999999999858</v>
      </c>
      <c r="AA96" s="31"/>
      <c r="AH96" s="13"/>
      <c r="AI96" s="8">
        <f t="shared" si="13"/>
        <v>396</v>
      </c>
      <c r="AJ96" s="10">
        <f t="shared" si="8"/>
        <v>-5.4999999999999805</v>
      </c>
      <c r="AO96" s="15"/>
      <c r="AP96" s="15"/>
      <c r="AQ96" s="15"/>
      <c r="AR96" s="15"/>
      <c r="AS96" s="15"/>
      <c r="AT96" s="15"/>
      <c r="AU96" s="15"/>
      <c r="AV96" s="15"/>
      <c r="AW96" s="15"/>
    </row>
    <row r="97" spans="1:48" ht="13.8" thickBot="1" x14ac:dyDescent="0.3">
      <c r="A97" t="s">
        <v>317</v>
      </c>
      <c r="B97" t="s">
        <v>117</v>
      </c>
      <c r="C97" s="10">
        <v>-17</v>
      </c>
      <c r="D97" t="s">
        <v>318</v>
      </c>
      <c r="E97" s="2">
        <f t="shared" si="16"/>
        <v>46206</v>
      </c>
      <c r="F97" s="3">
        <f t="shared" si="15"/>
        <v>0.5395833333333333</v>
      </c>
      <c r="G97" t="s">
        <v>119</v>
      </c>
      <c r="H97" t="s">
        <v>120</v>
      </c>
      <c r="I97" t="s">
        <v>83</v>
      </c>
      <c r="J97" s="2">
        <v>46206</v>
      </c>
      <c r="K97" s="1">
        <v>0.54305555555555551</v>
      </c>
      <c r="L97" s="10">
        <f t="shared" si="9"/>
        <v>4.9999999999999822</v>
      </c>
      <c r="M97" s="1" t="str">
        <f t="shared" si="17"/>
        <v>On Time</v>
      </c>
      <c r="N97" s="27" t="str">
        <f t="shared" si="10"/>
        <v>Heston Airlines</v>
      </c>
      <c r="O97" s="3" t="s">
        <v>1385</v>
      </c>
      <c r="P97" s="20">
        <f t="shared" si="11"/>
        <v>12</v>
      </c>
      <c r="Q97" s="3" t="s">
        <v>1385</v>
      </c>
      <c r="R97" s="23" t="str">
        <f t="shared" si="12"/>
        <v>Friday</v>
      </c>
      <c r="S97" s="3" t="s">
        <v>1385</v>
      </c>
      <c r="T97" s="23" t="s">
        <v>117</v>
      </c>
      <c r="U97" s="3" t="s">
        <v>1385</v>
      </c>
      <c r="V97" s="7" t="s">
        <v>309</v>
      </c>
      <c r="W97" s="11">
        <v>850000</v>
      </c>
      <c r="X97" s="11">
        <v>1332</v>
      </c>
      <c r="Y97" s="7">
        <v>85</v>
      </c>
      <c r="Z97" s="9" cm="1">
        <f t="array" ref="Z97">IFERROR(MEDIAN(_xlfn.IFNA(_xlfn._xlws.FILTER($L$2:$L$1553, $H$2:$H$1553=V97),"")),NA())</f>
        <v>-4.0000000000000258</v>
      </c>
      <c r="AA97" s="31"/>
      <c r="AH97" s="13"/>
      <c r="AI97" s="8">
        <f t="shared" si="13"/>
        <v>100</v>
      </c>
      <c r="AJ97" s="10">
        <f t="shared" si="8"/>
        <v>4.4999999999999991</v>
      </c>
    </row>
    <row r="98" spans="1:48" ht="13.8" thickBot="1" x14ac:dyDescent="0.3">
      <c r="A98" t="s">
        <v>319</v>
      </c>
      <c r="B98" t="s">
        <v>85</v>
      </c>
      <c r="C98" s="10">
        <v>-25</v>
      </c>
      <c r="D98" t="s">
        <v>320</v>
      </c>
      <c r="E98" s="2">
        <f t="shared" si="16"/>
        <v>46206</v>
      </c>
      <c r="F98" s="3">
        <f t="shared" si="15"/>
        <v>0.54722222222222217</v>
      </c>
      <c r="G98" t="s">
        <v>15</v>
      </c>
      <c r="H98" t="s">
        <v>16</v>
      </c>
      <c r="I98" t="s">
        <v>89</v>
      </c>
      <c r="J98" s="2">
        <v>46206</v>
      </c>
      <c r="K98" s="1">
        <v>0.55555555555555558</v>
      </c>
      <c r="L98" s="10">
        <f t="shared" si="9"/>
        <v>12.000000000000117</v>
      </c>
      <c r="M98" s="1" t="str">
        <f t="shared" si="17"/>
        <v>On Time</v>
      </c>
      <c r="N98" s="27" t="str">
        <f t="shared" si="10"/>
        <v>Ryanair</v>
      </c>
      <c r="O98" s="3" t="s">
        <v>1385</v>
      </c>
      <c r="P98" s="20">
        <f t="shared" si="11"/>
        <v>13</v>
      </c>
      <c r="Q98" s="3" t="s">
        <v>1385</v>
      </c>
      <c r="R98" s="23" t="str">
        <f t="shared" si="12"/>
        <v>Friday</v>
      </c>
      <c r="S98" s="3" t="s">
        <v>1385</v>
      </c>
      <c r="T98" s="23" t="s">
        <v>85</v>
      </c>
      <c r="U98" s="3" t="s">
        <v>1385</v>
      </c>
      <c r="V98" s="7" t="s">
        <v>1206</v>
      </c>
      <c r="W98" s="9" t="e" cm="1">
        <f t="array" ref="W98">IFERROR(MEDIAN(_xlfn.IFNA(_xlfn._xlws.FILTER(#REF!, $H$2:$H$1553=T98),"")),NA())</f>
        <v>#N/A</v>
      </c>
      <c r="X98" s="11">
        <v>842</v>
      </c>
      <c r="Y98" s="7">
        <v>140</v>
      </c>
      <c r="Z98" s="9" cm="1">
        <f t="array" ref="Z98">IFERROR(MEDIAN(_xlfn.IFNA(_xlfn._xlws.FILTER($L$2:$L$1553, $H$2:$H$1553=V98),"")),NA())</f>
        <v>-2.9999999999999893</v>
      </c>
      <c r="AA98" s="31"/>
      <c r="AH98" s="13"/>
      <c r="AI98" s="8">
        <f t="shared" si="13"/>
        <v>132</v>
      </c>
      <c r="AJ98" s="10">
        <f t="shared" si="8"/>
        <v>-14.00000000000011</v>
      </c>
    </row>
    <row r="99" spans="1:48" ht="13.8" thickBot="1" x14ac:dyDescent="0.3">
      <c r="A99" t="s">
        <v>321</v>
      </c>
      <c r="B99" t="s">
        <v>85</v>
      </c>
      <c r="C99" s="10">
        <v>-23</v>
      </c>
      <c r="D99" t="s">
        <v>322</v>
      </c>
      <c r="E99" s="2">
        <f t="shared" si="16"/>
        <v>46206</v>
      </c>
      <c r="F99" s="3">
        <f t="shared" si="15"/>
        <v>0.54375000000000007</v>
      </c>
      <c r="G99" t="s">
        <v>323</v>
      </c>
      <c r="H99" t="s">
        <v>324</v>
      </c>
      <c r="I99" t="s">
        <v>89</v>
      </c>
      <c r="J99" s="2">
        <v>46206</v>
      </c>
      <c r="K99" s="1">
        <v>0.55555555555555558</v>
      </c>
      <c r="L99" s="10">
        <f t="shared" si="9"/>
        <v>16.99999999999994</v>
      </c>
      <c r="M99" s="1" t="str">
        <f t="shared" si="17"/>
        <v>On Time</v>
      </c>
      <c r="N99" s="27" t="str">
        <f t="shared" si="10"/>
        <v>Ryanair</v>
      </c>
      <c r="O99" s="3" t="s">
        <v>1385</v>
      </c>
      <c r="P99" s="20">
        <f t="shared" si="11"/>
        <v>13</v>
      </c>
      <c r="Q99" s="3" t="s">
        <v>1385</v>
      </c>
      <c r="R99" s="23" t="str">
        <f t="shared" si="12"/>
        <v>Friday</v>
      </c>
      <c r="S99" s="3" t="s">
        <v>1385</v>
      </c>
      <c r="T99" s="23" t="s">
        <v>85</v>
      </c>
      <c r="U99" s="3" t="s">
        <v>1385</v>
      </c>
      <c r="V99" s="7" t="s">
        <v>347</v>
      </c>
      <c r="W99" s="11">
        <v>4500000</v>
      </c>
      <c r="X99" s="11">
        <v>1570</v>
      </c>
      <c r="Y99" s="7">
        <v>300</v>
      </c>
      <c r="Z99" s="9" cm="1">
        <f t="array" ref="Z99">IFERROR(MEDIAN(_xlfn.IFNA(_xlfn._xlws.FILTER($L$2:$L$1553, $H$2:$H$1553=V99),"")),NA())</f>
        <v>19.000000000000092</v>
      </c>
      <c r="AA99" s="31"/>
      <c r="AH99" s="13"/>
      <c r="AI99" s="8">
        <f t="shared" si="13"/>
        <v>4</v>
      </c>
      <c r="AJ99" s="10">
        <f t="shared" si="8"/>
        <v>-2.9999999999999893</v>
      </c>
    </row>
    <row r="100" spans="1:48" ht="13.8" thickBot="1" x14ac:dyDescent="0.3">
      <c r="A100" t="s">
        <v>133</v>
      </c>
      <c r="B100" t="s">
        <v>7</v>
      </c>
      <c r="C100" s="10">
        <v>-10</v>
      </c>
      <c r="D100" t="s">
        <v>325</v>
      </c>
      <c r="E100" s="2">
        <f t="shared" si="16"/>
        <v>46206</v>
      </c>
      <c r="F100" s="3">
        <f t="shared" si="15"/>
        <v>0.5493055555555556</v>
      </c>
      <c r="G100" t="s">
        <v>135</v>
      </c>
      <c r="H100" t="s">
        <v>136</v>
      </c>
      <c r="I100" t="s">
        <v>11</v>
      </c>
      <c r="J100" s="2">
        <v>46206</v>
      </c>
      <c r="K100" s="1">
        <v>0.55902777777777779</v>
      </c>
      <c r="L100" s="10">
        <f t="shared" si="9"/>
        <v>13.99999999999995</v>
      </c>
      <c r="M100" s="1" t="str">
        <f t="shared" si="17"/>
        <v>On Time</v>
      </c>
      <c r="N100" s="27" t="str">
        <f t="shared" si="10"/>
        <v>airBaltic</v>
      </c>
      <c r="O100" s="3" t="s">
        <v>1385</v>
      </c>
      <c r="P100" s="20">
        <f t="shared" si="11"/>
        <v>13</v>
      </c>
      <c r="Q100" s="3" t="s">
        <v>1385</v>
      </c>
      <c r="R100" s="23" t="str">
        <f t="shared" si="12"/>
        <v>Friday</v>
      </c>
      <c r="S100" s="3" t="s">
        <v>1385</v>
      </c>
      <c r="T100" s="23" t="s">
        <v>7</v>
      </c>
      <c r="U100" s="3" t="s">
        <v>1385</v>
      </c>
      <c r="V100" s="7" t="s">
        <v>270</v>
      </c>
      <c r="W100" s="11">
        <v>300000</v>
      </c>
      <c r="X100" s="11">
        <v>647</v>
      </c>
      <c r="Y100" s="7">
        <v>240</v>
      </c>
      <c r="Z100" s="9" cm="1">
        <f t="array" ref="Z100">IFERROR(MEDIAN(_xlfn.IFNA(_xlfn._xlws.FILTER($L$2:$L$1553, $H$2:$H$1553=V100),"")),NA())</f>
        <v>22.500000000000078</v>
      </c>
      <c r="AA100" s="31"/>
      <c r="AH100" s="13"/>
      <c r="AI100" s="8">
        <f t="shared" ref="AI100:AI106" si="18">IF(OR(ISNA(AI39), ISNA(AJ39)), "", AI39)</f>
        <v>8</v>
      </c>
      <c r="AJ100" s="10">
        <f t="shared" ref="AJ100:AJ106" si="19">IF(OR(ISNA(AI39), ISNA(AJ39)), "", AJ39)</f>
        <v>-15.500000000000025</v>
      </c>
    </row>
    <row r="101" spans="1:48" ht="13.8" thickBot="1" x14ac:dyDescent="0.3">
      <c r="A101" t="s">
        <v>141</v>
      </c>
      <c r="B101" t="s">
        <v>19</v>
      </c>
      <c r="C101" s="10">
        <v>-29</v>
      </c>
      <c r="D101" t="s">
        <v>326</v>
      </c>
      <c r="E101" s="2">
        <f t="shared" si="16"/>
        <v>46206</v>
      </c>
      <c r="F101" s="3">
        <f t="shared" si="15"/>
        <v>0.57986111111111105</v>
      </c>
      <c r="G101" t="s">
        <v>21</v>
      </c>
      <c r="H101" t="s">
        <v>22</v>
      </c>
      <c r="I101" t="s">
        <v>23</v>
      </c>
      <c r="J101" s="2">
        <v>46206</v>
      </c>
      <c r="K101" s="1">
        <v>0.57638888888888895</v>
      </c>
      <c r="L101" s="10">
        <f t="shared" si="9"/>
        <v>-4.9999999999998224</v>
      </c>
      <c r="M101" s="1" t="str">
        <f t="shared" si="17"/>
        <v>On Time</v>
      </c>
      <c r="N101" s="27" t="str">
        <f t="shared" si="10"/>
        <v>LOT</v>
      </c>
      <c r="O101" s="3" t="s">
        <v>1385</v>
      </c>
      <c r="P101" s="20">
        <f t="shared" si="11"/>
        <v>13</v>
      </c>
      <c r="Q101" s="3" t="s">
        <v>1385</v>
      </c>
      <c r="R101" s="23" t="str">
        <f t="shared" si="12"/>
        <v>Friday</v>
      </c>
      <c r="S101" s="3" t="s">
        <v>1385</v>
      </c>
      <c r="T101" s="23" t="s">
        <v>19</v>
      </c>
      <c r="U101" s="3" t="s">
        <v>1385</v>
      </c>
      <c r="V101" s="7" t="s">
        <v>313</v>
      </c>
      <c r="W101" s="11">
        <v>1800000</v>
      </c>
      <c r="X101" s="11">
        <v>1247</v>
      </c>
      <c r="Y101" s="7">
        <v>220</v>
      </c>
      <c r="Z101" s="9" cm="1">
        <f t="array" ref="Z101">IFERROR(MEDIAN(_xlfn.IFNA(_xlfn._xlws.FILTER($L$2:$L$1553, $H$2:$H$1553=V101),"")),NA())</f>
        <v>13.000000000000034</v>
      </c>
      <c r="AA101" s="31"/>
      <c r="AH101" s="13"/>
      <c r="AI101" s="8">
        <f t="shared" si="18"/>
        <v>14</v>
      </c>
      <c r="AJ101" s="10">
        <f t="shared" si="19"/>
        <v>7.0000000000000551</v>
      </c>
      <c r="AO101" s="23"/>
      <c r="AP101" s="23"/>
      <c r="AQ101" s="23"/>
      <c r="AR101" s="23"/>
      <c r="AS101" s="23"/>
      <c r="AT101" s="23"/>
      <c r="AU101" s="23"/>
      <c r="AV101" s="23"/>
    </row>
    <row r="102" spans="1:48" ht="13.8" thickBot="1" x14ac:dyDescent="0.3">
      <c r="A102" t="s">
        <v>327</v>
      </c>
      <c r="B102" t="s">
        <v>13</v>
      </c>
      <c r="C102" s="10">
        <v>-9</v>
      </c>
      <c r="D102" t="s">
        <v>328</v>
      </c>
      <c r="E102" s="2">
        <f t="shared" si="16"/>
        <v>46206</v>
      </c>
      <c r="F102" s="3">
        <f t="shared" si="15"/>
        <v>0.57430555555555551</v>
      </c>
      <c r="G102" t="s">
        <v>329</v>
      </c>
      <c r="H102" t="s">
        <v>330</v>
      </c>
      <c r="I102" t="s">
        <v>17</v>
      </c>
      <c r="J102" s="2">
        <v>46206</v>
      </c>
      <c r="K102" s="1">
        <v>0.59027777777777779</v>
      </c>
      <c r="L102" s="10">
        <f t="shared" si="9"/>
        <v>23.000000000000078</v>
      </c>
      <c r="M102" s="1" t="str">
        <f t="shared" si="17"/>
        <v>On Time</v>
      </c>
      <c r="N102" s="27" t="str">
        <f t="shared" si="10"/>
        <v>Wizz Air</v>
      </c>
      <c r="O102" s="3" t="s">
        <v>1385</v>
      </c>
      <c r="P102" s="20">
        <f t="shared" si="11"/>
        <v>13</v>
      </c>
      <c r="Q102" s="3" t="s">
        <v>1385</v>
      </c>
      <c r="R102" s="23" t="str">
        <f t="shared" si="12"/>
        <v>Friday</v>
      </c>
      <c r="S102" s="3" t="s">
        <v>1385</v>
      </c>
      <c r="T102" s="23" t="s">
        <v>13</v>
      </c>
      <c r="U102" s="3" t="s">
        <v>1385</v>
      </c>
      <c r="V102" s="7" t="s">
        <v>782</v>
      </c>
      <c r="W102" s="11">
        <v>11300000</v>
      </c>
      <c r="X102" s="11">
        <v>1316</v>
      </c>
      <c r="Y102" s="7">
        <v>260</v>
      </c>
      <c r="Z102" s="9" cm="1">
        <f t="array" ref="Z102">IFERROR(MEDIAN(_xlfn.IFNA(_xlfn._xlws.FILTER($L$2:$L$1553, $H$2:$H$1553=V102),"")),NA())</f>
        <v>-30.50000000000005</v>
      </c>
      <c r="AA102" s="31"/>
      <c r="AH102" s="13"/>
      <c r="AI102" s="8">
        <f t="shared" si="18"/>
        <v>180</v>
      </c>
      <c r="AJ102" s="10">
        <f t="shared" si="19"/>
        <v>-21.999999999999922</v>
      </c>
      <c r="AO102" s="28"/>
      <c r="AP102" s="28"/>
      <c r="AQ102" s="28"/>
      <c r="AR102" s="23"/>
      <c r="AS102" s="28"/>
      <c r="AT102" s="28"/>
      <c r="AU102" s="23"/>
      <c r="AV102" s="23"/>
    </row>
    <row r="103" spans="1:48" ht="13.8" thickBot="1" x14ac:dyDescent="0.3">
      <c r="A103" t="s">
        <v>331</v>
      </c>
      <c r="B103" t="s">
        <v>7</v>
      </c>
      <c r="C103" s="10">
        <v>-57</v>
      </c>
      <c r="D103" t="s">
        <v>332</v>
      </c>
      <c r="E103" s="2">
        <f t="shared" si="16"/>
        <v>46206</v>
      </c>
      <c r="F103" s="3">
        <f t="shared" si="15"/>
        <v>0.62013888888888891</v>
      </c>
      <c r="G103" t="s">
        <v>247</v>
      </c>
      <c r="H103" t="s">
        <v>248</v>
      </c>
      <c r="I103" t="s">
        <v>11</v>
      </c>
      <c r="J103" s="2">
        <v>46206</v>
      </c>
      <c r="K103" s="1">
        <v>0.60416666666666663</v>
      </c>
      <c r="L103" s="10">
        <f t="shared" si="9"/>
        <v>-23.000000000000078</v>
      </c>
      <c r="M103" s="1" t="str">
        <f t="shared" si="17"/>
        <v>Delayed</v>
      </c>
      <c r="N103" s="27" t="str">
        <f t="shared" si="10"/>
        <v>airBaltic</v>
      </c>
      <c r="O103" s="3" t="s">
        <v>1318</v>
      </c>
      <c r="P103" s="20">
        <f t="shared" si="11"/>
        <v>14</v>
      </c>
      <c r="Q103" s="3" t="s">
        <v>1318</v>
      </c>
      <c r="R103" s="23" t="str">
        <f t="shared" si="12"/>
        <v>Friday</v>
      </c>
      <c r="S103" s="3" t="s">
        <v>1318</v>
      </c>
      <c r="T103" s="23" t="s">
        <v>7</v>
      </c>
      <c r="U103" s="3" t="s">
        <v>1318</v>
      </c>
      <c r="V103" s="7" t="s">
        <v>264</v>
      </c>
      <c r="W103" s="11">
        <v>3000000</v>
      </c>
      <c r="X103" s="11">
        <v>1304</v>
      </c>
      <c r="Y103" s="7">
        <v>110</v>
      </c>
      <c r="Z103" s="9" cm="1">
        <f t="array" ref="Z103">IFERROR(MEDIAN(_xlfn.IFNA(_xlfn._xlws.FILTER($L$2:$L$1553, $H$2:$H$1553=V103),"")),NA())</f>
        <v>11.999999999999957</v>
      </c>
      <c r="AA103" s="31"/>
      <c r="AH103" s="13"/>
      <c r="AI103" s="8">
        <f t="shared" si="18"/>
        <v>19</v>
      </c>
      <c r="AJ103" s="10">
        <f t="shared" si="19"/>
        <v>-59.999999999999943</v>
      </c>
      <c r="AO103" s="15"/>
      <c r="AP103" s="15"/>
      <c r="AQ103" s="15"/>
      <c r="AR103" s="23"/>
      <c r="AS103" s="15"/>
      <c r="AT103" s="15"/>
      <c r="AU103" s="23"/>
      <c r="AV103" s="23"/>
    </row>
    <row r="104" spans="1:48" ht="13.8" thickBot="1" x14ac:dyDescent="0.3">
      <c r="A104" t="s">
        <v>148</v>
      </c>
      <c r="B104" t="s">
        <v>7</v>
      </c>
      <c r="C104" s="10">
        <v>-43</v>
      </c>
      <c r="D104" t="s">
        <v>333</v>
      </c>
      <c r="E104" s="2">
        <f t="shared" si="16"/>
        <v>46206</v>
      </c>
      <c r="F104" s="3">
        <f t="shared" si="15"/>
        <v>0.62777777777777777</v>
      </c>
      <c r="G104" t="s">
        <v>9</v>
      </c>
      <c r="H104" t="s">
        <v>10</v>
      </c>
      <c r="I104" t="s">
        <v>11</v>
      </c>
      <c r="J104" s="2">
        <v>46206</v>
      </c>
      <c r="K104" s="1">
        <v>0.60763888888888895</v>
      </c>
      <c r="L104" s="10">
        <f t="shared" si="9"/>
        <v>-28.999999999999897</v>
      </c>
      <c r="M104" s="1" t="str">
        <f t="shared" si="17"/>
        <v>Delayed</v>
      </c>
      <c r="N104" s="27" t="str">
        <f t="shared" si="10"/>
        <v>airBaltic</v>
      </c>
      <c r="O104" s="3" t="s">
        <v>1318</v>
      </c>
      <c r="P104" s="20">
        <f t="shared" si="11"/>
        <v>15</v>
      </c>
      <c r="Q104" s="3" t="s">
        <v>1318</v>
      </c>
      <c r="R104" s="23" t="str">
        <f t="shared" si="12"/>
        <v>Friday</v>
      </c>
      <c r="S104" s="3" t="s">
        <v>1318</v>
      </c>
      <c r="T104" s="23" t="s">
        <v>7</v>
      </c>
      <c r="U104" s="3" t="s">
        <v>1318</v>
      </c>
      <c r="V104" s="7" t="s">
        <v>66</v>
      </c>
      <c r="W104" s="11">
        <v>29500000</v>
      </c>
      <c r="X104" s="11">
        <v>938</v>
      </c>
      <c r="Y104" s="8">
        <v>1000</v>
      </c>
      <c r="Z104" s="9" cm="1">
        <f t="array" ref="Z104">IFERROR(MEDIAN(_xlfn.IFNA(_xlfn._xlws.FILTER($L$2:$L$1553, $H$2:$H$1553=V104),"")),NA())</f>
        <v>0.99999999999999645</v>
      </c>
      <c r="AA104" s="31"/>
      <c r="AH104" s="13"/>
      <c r="AI104" s="8">
        <f t="shared" si="18"/>
        <v>189</v>
      </c>
      <c r="AJ104" s="10">
        <f t="shared" si="19"/>
        <v>-2.4999999999999893</v>
      </c>
      <c r="AO104" s="15"/>
      <c r="AP104" s="15"/>
      <c r="AQ104" s="15"/>
      <c r="AR104" s="23"/>
      <c r="AS104" s="15"/>
      <c r="AT104" s="15"/>
      <c r="AU104" s="23"/>
      <c r="AV104" s="23"/>
    </row>
    <row r="105" spans="1:48" ht="13.8" thickBot="1" x14ac:dyDescent="0.3">
      <c r="A105" t="s">
        <v>156</v>
      </c>
      <c r="B105" t="s">
        <v>41</v>
      </c>
      <c r="C105" s="10">
        <v>-39</v>
      </c>
      <c r="D105" t="s">
        <v>334</v>
      </c>
      <c r="E105" s="2">
        <f t="shared" si="16"/>
        <v>46206</v>
      </c>
      <c r="F105" s="3">
        <f t="shared" si="15"/>
        <v>0.64930555555555558</v>
      </c>
      <c r="G105" t="s">
        <v>43</v>
      </c>
      <c r="H105" t="s">
        <v>44</v>
      </c>
      <c r="I105" t="s">
        <v>158</v>
      </c>
      <c r="J105" s="2">
        <v>46206</v>
      </c>
      <c r="K105" s="1">
        <v>0.63541666666666663</v>
      </c>
      <c r="L105" s="10">
        <f t="shared" si="9"/>
        <v>-20.000000000000089</v>
      </c>
      <c r="M105" s="1" t="str">
        <f t="shared" si="17"/>
        <v>Delayed</v>
      </c>
      <c r="N105" s="27" t="str">
        <f t="shared" si="10"/>
        <v>SAS</v>
      </c>
      <c r="O105" s="3" t="s">
        <v>1318</v>
      </c>
      <c r="P105" s="20">
        <f t="shared" si="11"/>
        <v>15</v>
      </c>
      <c r="Q105" s="3" t="s">
        <v>1318</v>
      </c>
      <c r="R105" s="23" t="str">
        <f t="shared" si="12"/>
        <v>Friday</v>
      </c>
      <c r="S105" s="3" t="s">
        <v>1318</v>
      </c>
      <c r="T105" s="23" t="s">
        <v>41</v>
      </c>
      <c r="U105" s="3" t="s">
        <v>1318</v>
      </c>
      <c r="V105" s="7" t="s">
        <v>626</v>
      </c>
      <c r="W105" s="11">
        <v>4400000</v>
      </c>
      <c r="X105" s="11">
        <v>0</v>
      </c>
      <c r="Y105" s="7">
        <v>326</v>
      </c>
      <c r="Z105" s="9" cm="1">
        <f t="array" ref="Z105">IFERROR(MEDIAN(_xlfn.IFNA(_xlfn._xlws.FILTER($L$2:$L$1553, $H$2:$H$1553=V105),"")),NA())</f>
        <v>20.000000000000007</v>
      </c>
      <c r="AA105" s="31"/>
      <c r="AH105" s="13"/>
      <c r="AI105" s="8">
        <f t="shared" si="18"/>
        <v>12</v>
      </c>
      <c r="AJ105" s="10">
        <f t="shared" si="19"/>
        <v>-28.000000000000139</v>
      </c>
      <c r="AO105" s="15"/>
      <c r="AP105" s="15"/>
      <c r="AQ105" s="15"/>
      <c r="AR105" s="23"/>
      <c r="AS105" s="15"/>
      <c r="AT105" s="15"/>
      <c r="AU105" s="23"/>
      <c r="AV105" s="23"/>
    </row>
    <row r="106" spans="1:48" ht="13.8" thickBot="1" x14ac:dyDescent="0.3">
      <c r="A106" t="s">
        <v>335</v>
      </c>
      <c r="B106" t="s">
        <v>7</v>
      </c>
      <c r="C106" s="10">
        <v>-25</v>
      </c>
      <c r="D106" t="s">
        <v>336</v>
      </c>
      <c r="E106" s="2">
        <f t="shared" si="16"/>
        <v>46206</v>
      </c>
      <c r="F106" s="3">
        <f t="shared" si="15"/>
        <v>0.63888888888888895</v>
      </c>
      <c r="G106" t="s">
        <v>337</v>
      </c>
      <c r="H106" t="s">
        <v>338</v>
      </c>
      <c r="I106" t="s">
        <v>11</v>
      </c>
      <c r="J106" s="2">
        <v>46206</v>
      </c>
      <c r="K106" s="1">
        <v>0.64236111111111105</v>
      </c>
      <c r="L106" s="10">
        <f t="shared" si="9"/>
        <v>4.9999999999998224</v>
      </c>
      <c r="M106" s="1" t="str">
        <f t="shared" si="17"/>
        <v>On Time</v>
      </c>
      <c r="N106" s="27" t="str">
        <f t="shared" si="10"/>
        <v>airBaltic</v>
      </c>
      <c r="O106" s="3" t="s">
        <v>1385</v>
      </c>
      <c r="P106" s="20">
        <f t="shared" si="11"/>
        <v>15</v>
      </c>
      <c r="Q106" s="3" t="s">
        <v>1385</v>
      </c>
      <c r="R106" s="23" t="str">
        <f t="shared" si="12"/>
        <v>Friday</v>
      </c>
      <c r="S106" s="3" t="s">
        <v>1385</v>
      </c>
      <c r="T106" s="23" t="s">
        <v>7</v>
      </c>
      <c r="U106" s="3" t="s">
        <v>1385</v>
      </c>
      <c r="V106" s="7" t="s">
        <v>953</v>
      </c>
      <c r="W106" s="9" t="e" cm="1">
        <f t="array" ref="W106">IFERROR(MEDIAN(_xlfn.IFNA(_xlfn._xlws.FILTER(#REF!, $H$2:$H$1553=T106),"")),NA())</f>
        <v>#N/A</v>
      </c>
      <c r="X106" s="11">
        <v>393</v>
      </c>
      <c r="Y106" s="7">
        <v>160</v>
      </c>
      <c r="Z106" s="9" cm="1">
        <f t="array" ref="Z106">IFERROR(MEDIAN(_xlfn.IFNA(_xlfn._xlws.FILTER($L$2:$L$1553, $H$2:$H$1553=V106),"")),NA())</f>
        <v>0</v>
      </c>
      <c r="AA106" s="31"/>
      <c r="AH106" s="13"/>
      <c r="AI106" s="8">
        <f t="shared" si="18"/>
        <v>9</v>
      </c>
      <c r="AJ106" s="10">
        <f t="shared" si="19"/>
        <v>-10.499999999999963</v>
      </c>
      <c r="AO106" s="15"/>
      <c r="AP106" s="15"/>
      <c r="AQ106" s="15"/>
      <c r="AR106" s="23"/>
      <c r="AS106" s="15"/>
      <c r="AT106" s="15"/>
      <c r="AU106" s="23"/>
      <c r="AV106" s="23"/>
    </row>
    <row r="107" spans="1:48" ht="13.8" thickBot="1" x14ac:dyDescent="0.3">
      <c r="A107" t="s">
        <v>123</v>
      </c>
      <c r="B107" t="s">
        <v>339</v>
      </c>
      <c r="C107" s="10" t="e">
        <f>NA()</f>
        <v>#N/A</v>
      </c>
      <c r="D107" t="s">
        <v>340</v>
      </c>
      <c r="E107" s="2">
        <f t="shared" si="16"/>
        <v>46206</v>
      </c>
      <c r="F107" s="3">
        <f t="shared" si="15"/>
        <v>0.63541666666666663</v>
      </c>
      <c r="G107" t="s">
        <v>341</v>
      </c>
      <c r="H107" t="s">
        <v>342</v>
      </c>
      <c r="I107" t="s">
        <v>343</v>
      </c>
      <c r="J107" s="2">
        <v>46206</v>
      </c>
      <c r="K107" s="1">
        <v>0.64444444444444449</v>
      </c>
      <c r="L107" s="10">
        <f t="shared" si="9"/>
        <v>13.000000000000114</v>
      </c>
      <c r="M107" s="1" t="str">
        <f t="shared" si="17"/>
        <v>On Time</v>
      </c>
      <c r="N107" s="27" t="e">
        <f t="shared" si="10"/>
        <v>#N/A</v>
      </c>
      <c r="O107" s="3" t="s">
        <v>1385</v>
      </c>
      <c r="P107" s="20">
        <f t="shared" si="11"/>
        <v>15</v>
      </c>
      <c r="Q107" s="3" t="s">
        <v>1385</v>
      </c>
      <c r="R107" s="23" t="str">
        <f t="shared" si="12"/>
        <v>Friday</v>
      </c>
      <c r="S107" s="3" t="s">
        <v>1385</v>
      </c>
      <c r="T107" s="23" t="s">
        <v>339</v>
      </c>
      <c r="U107" s="3" t="s">
        <v>1385</v>
      </c>
      <c r="V107" s="7" t="s">
        <v>22</v>
      </c>
      <c r="W107" s="11">
        <v>18500000</v>
      </c>
      <c r="X107" s="11">
        <v>395</v>
      </c>
      <c r="Y107" s="7">
        <v>834</v>
      </c>
      <c r="Z107" s="9" cm="1">
        <f t="array" ref="Z107">IFERROR(MEDIAN(_xlfn.IFNA(_xlfn._xlws.FILTER($L$2:$L$1553, $H$2:$H$1553=V107),"")),NA())</f>
        <v>-4.9999999999999423</v>
      </c>
      <c r="AA107" s="31"/>
      <c r="AH107" s="13"/>
      <c r="AI107" s="8">
        <f t="shared" ref="AI107:AI122" si="20">IF(OR(ISNA(AI47), ISNA(AJ47)), "", AI47)</f>
        <v>215</v>
      </c>
      <c r="AJ107" s="10">
        <f t="shared" ref="AJ107:AJ122" si="21">IF(OR(ISNA(AI47), ISNA(AJ47)), "", AJ47)</f>
        <v>11.999999999999957</v>
      </c>
      <c r="AO107" s="15"/>
      <c r="AP107" s="15"/>
      <c r="AQ107" s="15"/>
      <c r="AR107" s="23"/>
      <c r="AS107" s="15"/>
      <c r="AT107" s="15"/>
      <c r="AU107" s="23"/>
      <c r="AV107" s="23"/>
    </row>
    <row r="108" spans="1:48" ht="13.8" thickBot="1" x14ac:dyDescent="0.3">
      <c r="A108" t="s">
        <v>344</v>
      </c>
      <c r="B108" t="s">
        <v>85</v>
      </c>
      <c r="C108" s="10">
        <v>-9</v>
      </c>
      <c r="D108" t="s">
        <v>345</v>
      </c>
      <c r="E108" s="2">
        <f t="shared" si="16"/>
        <v>46206</v>
      </c>
      <c r="F108" s="3">
        <f t="shared" si="15"/>
        <v>0.63263888888888886</v>
      </c>
      <c r="G108" t="s">
        <v>346</v>
      </c>
      <c r="H108" t="s">
        <v>347</v>
      </c>
      <c r="I108" t="s">
        <v>89</v>
      </c>
      <c r="J108" s="2">
        <v>46206</v>
      </c>
      <c r="K108" s="1">
        <v>0.64583333333333337</v>
      </c>
      <c r="L108" s="10">
        <f t="shared" si="9"/>
        <v>19.000000000000092</v>
      </c>
      <c r="M108" s="1" t="str">
        <f t="shared" si="17"/>
        <v>On Time</v>
      </c>
      <c r="N108" s="27" t="str">
        <f t="shared" si="10"/>
        <v>Ryanair</v>
      </c>
      <c r="O108" s="3" t="s">
        <v>1385</v>
      </c>
      <c r="P108" s="20">
        <f t="shared" si="11"/>
        <v>15</v>
      </c>
      <c r="Q108" s="3" t="s">
        <v>1385</v>
      </c>
      <c r="R108" s="23" t="str">
        <f t="shared" si="12"/>
        <v>Friday</v>
      </c>
      <c r="S108" s="3" t="s">
        <v>1385</v>
      </c>
      <c r="T108" s="23" t="s">
        <v>85</v>
      </c>
      <c r="U108" s="3" t="s">
        <v>1385</v>
      </c>
      <c r="V108" s="7" t="s">
        <v>943</v>
      </c>
      <c r="W108" s="11">
        <v>3700000</v>
      </c>
      <c r="X108" s="11">
        <v>1127</v>
      </c>
      <c r="Y108" s="7">
        <v>400</v>
      </c>
      <c r="Z108" s="9" cm="1">
        <f t="array" ref="Z108">IFERROR(MEDIAN(_xlfn.IFNA(_xlfn._xlws.FILTER($L$2:$L$1553, $H$2:$H$1553=V108),"")),NA())</f>
        <v>19.999999999999929</v>
      </c>
      <c r="AA108" s="31"/>
      <c r="AH108" s="13"/>
      <c r="AI108" s="8">
        <f t="shared" si="20"/>
        <v>134</v>
      </c>
      <c r="AJ108" s="10">
        <f t="shared" si="21"/>
        <v>0.49999999999999822</v>
      </c>
      <c r="AO108" s="15"/>
      <c r="AP108" s="15"/>
      <c r="AQ108" s="15"/>
      <c r="AR108" s="23"/>
      <c r="AS108" s="15"/>
      <c r="AT108" s="15"/>
      <c r="AU108" s="23"/>
      <c r="AV108" s="23"/>
    </row>
    <row r="109" spans="1:48" ht="13.8" thickBot="1" x14ac:dyDescent="0.3">
      <c r="A109" t="s">
        <v>348</v>
      </c>
      <c r="B109" t="s">
        <v>13</v>
      </c>
      <c r="C109" s="10">
        <v>-10</v>
      </c>
      <c r="D109" t="s">
        <v>164</v>
      </c>
      <c r="E109" s="2">
        <f t="shared" si="16"/>
        <v>46206</v>
      </c>
      <c r="F109" s="3">
        <f t="shared" si="15"/>
        <v>0.64166666666666672</v>
      </c>
      <c r="G109" t="s">
        <v>349</v>
      </c>
      <c r="H109" t="s">
        <v>350</v>
      </c>
      <c r="I109" t="s">
        <v>17</v>
      </c>
      <c r="J109" s="2">
        <v>46206</v>
      </c>
      <c r="K109" s="1">
        <v>0.64930555555555558</v>
      </c>
      <c r="L109" s="10">
        <f t="shared" si="9"/>
        <v>10.999999999999961</v>
      </c>
      <c r="M109" s="1" t="str">
        <f t="shared" si="17"/>
        <v>On Time</v>
      </c>
      <c r="N109" s="27" t="str">
        <f t="shared" si="10"/>
        <v>Wizz Air</v>
      </c>
      <c r="O109" s="3" t="s">
        <v>1385</v>
      </c>
      <c r="P109" s="20">
        <f t="shared" si="11"/>
        <v>15</v>
      </c>
      <c r="Q109" s="3" t="s">
        <v>1385</v>
      </c>
      <c r="R109" s="23" t="str">
        <f t="shared" si="12"/>
        <v>Friday</v>
      </c>
      <c r="S109" s="3" t="s">
        <v>1385</v>
      </c>
      <c r="T109" s="23" t="s">
        <v>13</v>
      </c>
      <c r="U109" s="3" t="s">
        <v>1385</v>
      </c>
      <c r="V109" s="7" t="s">
        <v>39</v>
      </c>
      <c r="W109" s="11">
        <v>28900000</v>
      </c>
      <c r="X109" s="11">
        <v>1385</v>
      </c>
      <c r="Y109" s="7">
        <v>880</v>
      </c>
      <c r="Z109" s="9" cm="1">
        <f t="array" ref="Z109">IFERROR(MEDIAN(_xlfn.IFNA(_xlfn._xlws.FILTER($L$2:$L$1553, $H$2:$H$1553=V109),"")),NA())</f>
        <v>-2.499999999999996</v>
      </c>
      <c r="AA109" s="31"/>
      <c r="AH109" s="13"/>
      <c r="AI109" s="8">
        <f t="shared" si="20"/>
        <v>70</v>
      </c>
      <c r="AJ109" s="10">
        <f t="shared" si="21"/>
        <v>1.4999999999999147</v>
      </c>
      <c r="AO109" s="15"/>
      <c r="AP109" s="15"/>
      <c r="AQ109" s="15"/>
      <c r="AR109" s="23"/>
      <c r="AS109" s="15"/>
      <c r="AT109" s="15"/>
      <c r="AU109" s="23"/>
      <c r="AV109" s="23"/>
    </row>
    <row r="110" spans="1:48" ht="13.8" thickBot="1" x14ac:dyDescent="0.3">
      <c r="A110" t="s">
        <v>351</v>
      </c>
      <c r="B110" t="s">
        <v>85</v>
      </c>
      <c r="C110" s="10">
        <v>-58</v>
      </c>
      <c r="D110" t="s">
        <v>176</v>
      </c>
      <c r="E110" s="2">
        <f t="shared" si="16"/>
        <v>46206</v>
      </c>
      <c r="F110" s="3">
        <f t="shared" si="15"/>
        <v>0.67083333333333339</v>
      </c>
      <c r="G110" t="s">
        <v>252</v>
      </c>
      <c r="H110" t="s">
        <v>352</v>
      </c>
      <c r="I110" t="s">
        <v>162</v>
      </c>
      <c r="J110" s="2">
        <v>46206</v>
      </c>
      <c r="K110" s="1">
        <v>0.65277777777777779</v>
      </c>
      <c r="L110" s="10">
        <f t="shared" si="9"/>
        <v>-26.000000000000068</v>
      </c>
      <c r="M110" s="1" t="str">
        <f t="shared" si="17"/>
        <v>Delayed</v>
      </c>
      <c r="N110" s="27" t="str">
        <f t="shared" si="10"/>
        <v>Ryanair</v>
      </c>
      <c r="O110" s="3" t="s">
        <v>1318</v>
      </c>
      <c r="P110" s="20">
        <f t="shared" si="11"/>
        <v>16</v>
      </c>
      <c r="Q110" s="3" t="s">
        <v>1318</v>
      </c>
      <c r="R110" s="23" t="str">
        <f t="shared" si="12"/>
        <v>Friday</v>
      </c>
      <c r="S110" s="3" t="s">
        <v>1318</v>
      </c>
      <c r="T110" s="23" t="s">
        <v>85</v>
      </c>
      <c r="U110" s="3" t="s">
        <v>1318</v>
      </c>
      <c r="AI110" s="8">
        <f t="shared" si="20"/>
        <v>6</v>
      </c>
      <c r="AJ110" s="10">
        <f t="shared" si="21"/>
        <v>21.999999999999922</v>
      </c>
      <c r="AO110" s="15"/>
      <c r="AP110" s="15"/>
      <c r="AQ110" s="15"/>
      <c r="AR110" s="23"/>
      <c r="AS110" s="15"/>
      <c r="AT110" s="15"/>
      <c r="AU110" s="23"/>
      <c r="AV110" s="23"/>
    </row>
    <row r="111" spans="1:48" ht="13.8" thickBot="1" x14ac:dyDescent="0.3">
      <c r="A111" t="s">
        <v>175</v>
      </c>
      <c r="B111" t="s">
        <v>19</v>
      </c>
      <c r="C111" s="10">
        <v>-24</v>
      </c>
      <c r="D111" t="s">
        <v>353</v>
      </c>
      <c r="E111" s="2">
        <f t="shared" si="16"/>
        <v>46206</v>
      </c>
      <c r="F111" s="3">
        <f t="shared" si="15"/>
        <v>0.68194444444444446</v>
      </c>
      <c r="G111" t="s">
        <v>21</v>
      </c>
      <c r="H111" t="s">
        <v>22</v>
      </c>
      <c r="I111" t="s">
        <v>177</v>
      </c>
      <c r="J111" s="2">
        <v>46206</v>
      </c>
      <c r="K111" s="1">
        <v>0.68055555555555547</v>
      </c>
      <c r="L111" s="10">
        <f t="shared" si="9"/>
        <v>-2.0000000000001528</v>
      </c>
      <c r="M111" s="1" t="str">
        <f t="shared" si="17"/>
        <v>On Time</v>
      </c>
      <c r="N111" s="27" t="str">
        <f t="shared" si="10"/>
        <v>LOT</v>
      </c>
      <c r="O111" s="3" t="s">
        <v>1385</v>
      </c>
      <c r="P111" s="20">
        <f t="shared" si="11"/>
        <v>16</v>
      </c>
      <c r="Q111" s="3" t="s">
        <v>1385</v>
      </c>
      <c r="R111" s="23" t="str">
        <f t="shared" si="12"/>
        <v>Friday</v>
      </c>
      <c r="S111" s="3" t="s">
        <v>1385</v>
      </c>
      <c r="T111" s="23" t="s">
        <v>19</v>
      </c>
      <c r="U111" s="3" t="s">
        <v>1385</v>
      </c>
      <c r="X111" s="12"/>
      <c r="Y111" s="14"/>
      <c r="Z111" s="22"/>
      <c r="AI111" s="8">
        <f t="shared" si="20"/>
        <v>7</v>
      </c>
      <c r="AJ111" s="10">
        <f t="shared" si="21"/>
        <v>5.9999999999999787</v>
      </c>
      <c r="AO111" s="15"/>
      <c r="AP111" s="15"/>
      <c r="AQ111" s="15"/>
      <c r="AR111" s="23"/>
      <c r="AS111" s="15"/>
      <c r="AT111" s="15"/>
      <c r="AU111" s="23"/>
      <c r="AV111" s="23"/>
    </row>
    <row r="112" spans="1:48" ht="13.8" thickBot="1" x14ac:dyDescent="0.3">
      <c r="A112" t="s">
        <v>182</v>
      </c>
      <c r="B112" t="s">
        <v>69</v>
      </c>
      <c r="C112" s="10">
        <v>-22</v>
      </c>
      <c r="D112" t="s">
        <v>354</v>
      </c>
      <c r="E112" s="2">
        <f t="shared" si="16"/>
        <v>46206</v>
      </c>
      <c r="F112" s="3">
        <f t="shared" si="15"/>
        <v>0.71944444444444444</v>
      </c>
      <c r="G112" t="s">
        <v>71</v>
      </c>
      <c r="H112" t="s">
        <v>72</v>
      </c>
      <c r="I112" t="s">
        <v>295</v>
      </c>
      <c r="J112" s="2">
        <v>46206</v>
      </c>
      <c r="K112" s="1">
        <v>0.71527777777777779</v>
      </c>
      <c r="L112" s="10">
        <f t="shared" si="9"/>
        <v>-5.9999999999999787</v>
      </c>
      <c r="M112" s="1" t="str">
        <f t="shared" si="17"/>
        <v>On Time</v>
      </c>
      <c r="N112" s="27" t="str">
        <f t="shared" si="10"/>
        <v>Finnair</v>
      </c>
      <c r="O112" s="3" t="s">
        <v>1385</v>
      </c>
      <c r="P112" s="20">
        <f t="shared" si="11"/>
        <v>17</v>
      </c>
      <c r="Q112" s="3" t="s">
        <v>1385</v>
      </c>
      <c r="R112" s="23" t="str">
        <f t="shared" si="12"/>
        <v>Friday</v>
      </c>
      <c r="S112" s="3" t="s">
        <v>1385</v>
      </c>
      <c r="T112" s="23" t="s">
        <v>69</v>
      </c>
      <c r="U112" s="3" t="s">
        <v>1385</v>
      </c>
      <c r="Z112" s="10" t="s">
        <v>1386</v>
      </c>
      <c r="AA112" s="10" t="s">
        <v>1387</v>
      </c>
      <c r="AB112" s="10" t="s">
        <v>1388</v>
      </c>
      <c r="AI112" s="8">
        <f t="shared" si="20"/>
        <v>189</v>
      </c>
      <c r="AJ112" s="10">
        <f t="shared" si="21"/>
        <v>-33</v>
      </c>
      <c r="AO112" s="15"/>
      <c r="AP112" s="15"/>
      <c r="AQ112" s="15"/>
      <c r="AR112" s="23"/>
      <c r="AS112" s="15"/>
      <c r="AT112" s="15"/>
      <c r="AU112" s="23"/>
      <c r="AV112" s="23"/>
    </row>
    <row r="113" spans="1:48" ht="13.8" thickBot="1" x14ac:dyDescent="0.3">
      <c r="A113" t="s">
        <v>84</v>
      </c>
      <c r="B113" t="s">
        <v>85</v>
      </c>
      <c r="C113" s="10">
        <v>156</v>
      </c>
      <c r="D113" t="s">
        <v>355</v>
      </c>
      <c r="E113" s="2">
        <f t="shared" si="16"/>
        <v>46206</v>
      </c>
      <c r="F113" s="3">
        <f t="shared" si="15"/>
        <v>0.71388888888888891</v>
      </c>
      <c r="G113" t="s">
        <v>87</v>
      </c>
      <c r="H113" t="s">
        <v>88</v>
      </c>
      <c r="I113" t="s">
        <v>89</v>
      </c>
      <c r="J113" s="2">
        <v>46206</v>
      </c>
      <c r="K113" s="1">
        <v>0.71875</v>
      </c>
      <c r="L113" s="10">
        <f t="shared" si="9"/>
        <v>6.9999999999999751</v>
      </c>
      <c r="M113" s="1" t="str">
        <f t="shared" si="17"/>
        <v>On Time</v>
      </c>
      <c r="N113" s="27" t="str">
        <f t="shared" si="10"/>
        <v>Ryanair</v>
      </c>
      <c r="O113" s="3" t="s">
        <v>1385</v>
      </c>
      <c r="P113" s="20">
        <f t="shared" si="11"/>
        <v>17</v>
      </c>
      <c r="Q113" s="3" t="s">
        <v>1385</v>
      </c>
      <c r="R113" s="23" t="str">
        <f t="shared" si="12"/>
        <v>Friday</v>
      </c>
      <c r="S113" s="3" t="s">
        <v>1385</v>
      </c>
      <c r="T113" s="23" t="s">
        <v>85</v>
      </c>
      <c r="U113" s="3" t="s">
        <v>1385</v>
      </c>
      <c r="W113" s="32">
        <f>IF(OR(ISNA(W2), ISNA(Z2)), "", W2)</f>
        <v>16000000</v>
      </c>
      <c r="X113" s="33">
        <f>IF(OR(ISNA(X2), ISNA(Z2)), "", X2)</f>
        <v>2653</v>
      </c>
      <c r="Y113" s="34">
        <f>IF(OR(ISNA(Y2), ISNA(Z2)), "", Y2)</f>
        <v>500</v>
      </c>
      <c r="Z113" s="32">
        <f>IF(OR(ISNA(W2), ISNA(Z2)), "", Z2)</f>
        <v>-26.999999999999904</v>
      </c>
      <c r="AA113" s="33">
        <f>IF(OR(ISNA(X2), ISNA(Z2)), "", Z2)</f>
        <v>-26.999999999999904</v>
      </c>
      <c r="AB113" s="34">
        <f>IF(OR(ISNA(Y2), ISNA(Z2)), "", Z2)</f>
        <v>-26.999999999999904</v>
      </c>
      <c r="AI113" s="8">
        <f t="shared" si="20"/>
        <v>189</v>
      </c>
      <c r="AJ113" s="10">
        <f t="shared" si="21"/>
        <v>-7.5000000000000142</v>
      </c>
      <c r="AO113" s="15"/>
      <c r="AP113" s="15"/>
      <c r="AQ113" s="15"/>
      <c r="AR113" s="23"/>
      <c r="AS113" s="15"/>
      <c r="AT113" s="15"/>
      <c r="AU113" s="23"/>
      <c r="AV113" s="23"/>
    </row>
    <row r="114" spans="1:48" ht="13.8" thickBot="1" x14ac:dyDescent="0.3">
      <c r="A114" t="s">
        <v>356</v>
      </c>
      <c r="B114" t="s">
        <v>7</v>
      </c>
      <c r="C114" s="10">
        <v>-109</v>
      </c>
      <c r="D114" t="s">
        <v>357</v>
      </c>
      <c r="E114" s="2">
        <f t="shared" si="16"/>
        <v>46206</v>
      </c>
      <c r="F114" s="3">
        <f t="shared" si="15"/>
        <v>0.78680555555555554</v>
      </c>
      <c r="G114" t="s">
        <v>76</v>
      </c>
      <c r="H114" t="s">
        <v>77</v>
      </c>
      <c r="I114" t="s">
        <v>11</v>
      </c>
      <c r="J114" s="2">
        <v>46206</v>
      </c>
      <c r="K114" s="1">
        <v>0.72222222222222221</v>
      </c>
      <c r="L114" s="10">
        <f t="shared" si="9"/>
        <v>-92.999999999999986</v>
      </c>
      <c r="M114" s="1" t="str">
        <f t="shared" si="17"/>
        <v>Delayed</v>
      </c>
      <c r="N114" s="27" t="str">
        <f t="shared" si="10"/>
        <v>airBaltic</v>
      </c>
      <c r="O114" s="3" t="s">
        <v>1318</v>
      </c>
      <c r="P114" s="20">
        <f t="shared" si="11"/>
        <v>18</v>
      </c>
      <c r="Q114" s="3" t="s">
        <v>1318</v>
      </c>
      <c r="R114" s="23" t="str">
        <f t="shared" si="12"/>
        <v>Friday</v>
      </c>
      <c r="S114" s="3" t="s">
        <v>1318</v>
      </c>
      <c r="T114" s="23" t="s">
        <v>7</v>
      </c>
      <c r="U114" s="3" t="s">
        <v>1318</v>
      </c>
      <c r="W114" s="32">
        <f t="shared" ref="W114:W119" si="22">IF(OR(ISNA(W3), ISNA(Z3)), "", W3)</f>
        <v>66800000</v>
      </c>
      <c r="X114" s="33">
        <f t="shared" ref="X114:X119" si="23">IF(OR(ISNA(X3), ISNA(Z3)), "", X3)</f>
        <v>1379</v>
      </c>
      <c r="Y114" s="34">
        <f t="shared" ref="Y114:Y119" si="24">IF(OR(ISNA(Y3), ISNA(Z3)), "", Y3)</f>
        <v>2787</v>
      </c>
      <c r="Z114" s="32">
        <f t="shared" ref="Z114:Z119" si="25">IF(OR(ISNA(W3), ISNA(Z3)), "", Z3)</f>
        <v>-2.9999999999999893</v>
      </c>
      <c r="AA114" s="33">
        <f t="shared" ref="AA114:AA119" si="26">IF(OR(ISNA(X3), ISNA(Z3)), "", Z3)</f>
        <v>-2.9999999999999893</v>
      </c>
      <c r="AB114" s="34">
        <f t="shared" ref="AB114:AB119" si="27">IF(OR(ISNA(Y3), ISNA(Z3)), "", Z3)</f>
        <v>-2.9999999999999893</v>
      </c>
      <c r="AI114" s="8">
        <f t="shared" si="20"/>
        <v>189</v>
      </c>
      <c r="AJ114" s="10">
        <f t="shared" si="21"/>
        <v>0.99999999999983658</v>
      </c>
      <c r="AO114" s="15"/>
      <c r="AP114" s="15"/>
      <c r="AQ114" s="15"/>
      <c r="AR114" s="23"/>
      <c r="AS114" s="15"/>
      <c r="AT114" s="15"/>
      <c r="AU114" s="23"/>
      <c r="AV114" s="23"/>
    </row>
    <row r="115" spans="1:48" ht="13.8" thickBot="1" x14ac:dyDescent="0.3">
      <c r="A115" t="s">
        <v>123</v>
      </c>
      <c r="B115" t="s">
        <v>123</v>
      </c>
      <c r="C115" s="10" t="e">
        <f>NA()</f>
        <v>#N/A</v>
      </c>
      <c r="D115" t="s">
        <v>358</v>
      </c>
      <c r="E115" s="2">
        <f t="shared" si="16"/>
        <v>46206</v>
      </c>
      <c r="F115" s="3">
        <f t="shared" si="15"/>
        <v>0.75902777777777775</v>
      </c>
      <c r="G115" t="s">
        <v>359</v>
      </c>
      <c r="H115" t="s">
        <v>360</v>
      </c>
      <c r="I115" t="s">
        <v>361</v>
      </c>
      <c r="J115" s="2">
        <v>46206</v>
      </c>
      <c r="K115" s="1">
        <v>0.7319444444444444</v>
      </c>
      <c r="L115" s="10">
        <f t="shared" si="9"/>
        <v>-39.000000000000021</v>
      </c>
      <c r="M115" s="1" t="str">
        <f t="shared" si="17"/>
        <v>Delayed</v>
      </c>
      <c r="N115" s="27" t="e">
        <f t="shared" si="10"/>
        <v>#N/A</v>
      </c>
      <c r="O115" s="3" t="s">
        <v>1318</v>
      </c>
      <c r="P115" s="20">
        <f t="shared" si="11"/>
        <v>18</v>
      </c>
      <c r="Q115" s="3" t="s">
        <v>1318</v>
      </c>
      <c r="R115" s="23" t="str">
        <f t="shared" si="12"/>
        <v>Friday</v>
      </c>
      <c r="S115" s="3" t="s">
        <v>1318</v>
      </c>
      <c r="T115" s="23" t="s">
        <v>123</v>
      </c>
      <c r="U115" s="3" t="s">
        <v>1318</v>
      </c>
      <c r="W115" s="32">
        <f t="shared" si="22"/>
        <v>12000000</v>
      </c>
      <c r="X115" s="33">
        <f t="shared" si="23"/>
        <v>1674</v>
      </c>
      <c r="Y115" s="34">
        <f t="shared" si="24"/>
        <v>750</v>
      </c>
      <c r="Z115" s="32">
        <f t="shared" si="25"/>
        <v>-59.999999999999943</v>
      </c>
      <c r="AA115" s="33">
        <f t="shared" si="26"/>
        <v>-59.999999999999943</v>
      </c>
      <c r="AB115" s="34">
        <f t="shared" si="27"/>
        <v>-59.999999999999943</v>
      </c>
      <c r="AI115" s="8">
        <f t="shared" si="20"/>
        <v>240</v>
      </c>
      <c r="AJ115" s="10">
        <f t="shared" si="21"/>
        <v>13.000000000000034</v>
      </c>
      <c r="AO115" s="15"/>
      <c r="AP115" s="15"/>
      <c r="AQ115" s="15"/>
      <c r="AR115" s="23"/>
      <c r="AS115" s="15"/>
      <c r="AT115" s="15"/>
      <c r="AU115" s="23"/>
      <c r="AV115" s="23"/>
    </row>
    <row r="116" spans="1:48" ht="13.8" thickBot="1" x14ac:dyDescent="0.3">
      <c r="A116" t="s">
        <v>184</v>
      </c>
      <c r="B116" t="s">
        <v>85</v>
      </c>
      <c r="C116" s="10">
        <v>-12</v>
      </c>
      <c r="D116" t="s">
        <v>362</v>
      </c>
      <c r="E116" s="2">
        <f t="shared" si="16"/>
        <v>46206</v>
      </c>
      <c r="F116" s="3">
        <f t="shared" si="15"/>
        <v>0.75486111111111109</v>
      </c>
      <c r="G116" t="s">
        <v>153</v>
      </c>
      <c r="H116" t="s">
        <v>154</v>
      </c>
      <c r="I116" t="s">
        <v>89</v>
      </c>
      <c r="J116" s="2">
        <v>46206</v>
      </c>
      <c r="K116" s="1">
        <v>0.76388888888888884</v>
      </c>
      <c r="L116" s="10">
        <f t="shared" si="9"/>
        <v>12.999999999999954</v>
      </c>
      <c r="M116" s="1" t="str">
        <f t="shared" si="17"/>
        <v>On Time</v>
      </c>
      <c r="N116" s="27" t="str">
        <f t="shared" si="10"/>
        <v>Ryanair</v>
      </c>
      <c r="O116" s="3" t="s">
        <v>1385</v>
      </c>
      <c r="P116" s="20">
        <f t="shared" si="11"/>
        <v>18</v>
      </c>
      <c r="Q116" s="3" t="s">
        <v>1385</v>
      </c>
      <c r="R116" s="23" t="str">
        <f t="shared" si="12"/>
        <v>Friday</v>
      </c>
      <c r="S116" s="3" t="s">
        <v>1385</v>
      </c>
      <c r="T116" s="23" t="s">
        <v>85</v>
      </c>
      <c r="U116" s="3" t="s">
        <v>1385</v>
      </c>
      <c r="W116" s="32">
        <f t="shared" si="22"/>
        <v>35500000</v>
      </c>
      <c r="X116" s="33">
        <f t="shared" si="23"/>
        <v>1933</v>
      </c>
      <c r="Y116" s="34">
        <f t="shared" si="24"/>
        <v>1300</v>
      </c>
      <c r="Z116" s="32">
        <f t="shared" si="25"/>
        <v>4.9999999999999822</v>
      </c>
      <c r="AA116" s="33">
        <f t="shared" si="26"/>
        <v>4.9999999999999822</v>
      </c>
      <c r="AB116" s="34">
        <f t="shared" si="27"/>
        <v>4.9999999999999822</v>
      </c>
      <c r="AI116" s="8">
        <f t="shared" si="20"/>
        <v>180</v>
      </c>
      <c r="AJ116" s="10">
        <f t="shared" si="21"/>
        <v>-6.4999999999999769</v>
      </c>
      <c r="AO116" s="15"/>
      <c r="AP116" s="15"/>
      <c r="AQ116" s="15"/>
      <c r="AR116" s="23"/>
      <c r="AS116" s="15"/>
      <c r="AT116" s="15"/>
      <c r="AU116" s="23"/>
      <c r="AV116" s="23"/>
    </row>
    <row r="117" spans="1:48" ht="13.8" thickBot="1" x14ac:dyDescent="0.3">
      <c r="A117" t="s">
        <v>78</v>
      </c>
      <c r="B117" t="s">
        <v>363</v>
      </c>
      <c r="C117" s="10">
        <v>-10</v>
      </c>
      <c r="D117" t="s">
        <v>364</v>
      </c>
      <c r="E117" s="2">
        <f t="shared" si="16"/>
        <v>46206</v>
      </c>
      <c r="F117" s="3">
        <f t="shared" si="15"/>
        <v>0.76250000000000007</v>
      </c>
      <c r="G117" t="s">
        <v>81</v>
      </c>
      <c r="H117" t="s">
        <v>82</v>
      </c>
      <c r="I117" t="s">
        <v>83</v>
      </c>
      <c r="J117" s="2">
        <v>46206</v>
      </c>
      <c r="K117" s="1">
        <v>0.77083333333333337</v>
      </c>
      <c r="L117" s="10">
        <f t="shared" si="9"/>
        <v>11.999999999999957</v>
      </c>
      <c r="M117" s="1" t="str">
        <f t="shared" si="17"/>
        <v>On Time</v>
      </c>
      <c r="N117" s="27" t="e">
        <f t="shared" si="10"/>
        <v>#N/A</v>
      </c>
      <c r="O117" s="3" t="s">
        <v>1385</v>
      </c>
      <c r="P117" s="20">
        <f t="shared" si="11"/>
        <v>18</v>
      </c>
      <c r="Q117" s="3" t="s">
        <v>1385</v>
      </c>
      <c r="R117" s="23" t="str">
        <f t="shared" si="12"/>
        <v>Friday</v>
      </c>
      <c r="S117" s="3" t="s">
        <v>1385</v>
      </c>
      <c r="T117" s="23" t="s">
        <v>363</v>
      </c>
      <c r="U117" s="3" t="s">
        <v>1385</v>
      </c>
      <c r="W117" s="32">
        <f t="shared" si="22"/>
        <v>7500000</v>
      </c>
      <c r="X117" s="33">
        <f t="shared" si="23"/>
        <v>3115</v>
      </c>
      <c r="Y117" s="34">
        <f t="shared" si="24"/>
        <v>2000</v>
      </c>
      <c r="Z117" s="32">
        <f t="shared" si="25"/>
        <v>-52.000000000000057</v>
      </c>
      <c r="AA117" s="33">
        <f t="shared" si="26"/>
        <v>-52.000000000000057</v>
      </c>
      <c r="AB117" s="34">
        <f t="shared" si="27"/>
        <v>-52.000000000000057</v>
      </c>
      <c r="AI117" s="8">
        <f t="shared" si="20"/>
        <v>9</v>
      </c>
      <c r="AJ117" s="10">
        <f t="shared" si="21"/>
        <v>-18.999999999999932</v>
      </c>
      <c r="AO117" s="15"/>
      <c r="AP117" s="15"/>
      <c r="AQ117" s="15"/>
      <c r="AR117" s="23"/>
      <c r="AS117" s="15"/>
      <c r="AT117" s="15"/>
      <c r="AU117" s="23"/>
      <c r="AV117" s="23"/>
    </row>
    <row r="118" spans="1:48" ht="13.8" thickBot="1" x14ac:dyDescent="0.3">
      <c r="A118" t="s">
        <v>186</v>
      </c>
      <c r="B118" t="s">
        <v>19</v>
      </c>
      <c r="C118" s="10">
        <v>-28</v>
      </c>
      <c r="D118" t="s">
        <v>365</v>
      </c>
      <c r="E118" s="2">
        <f t="shared" si="16"/>
        <v>46206</v>
      </c>
      <c r="F118" s="3">
        <f t="shared" si="15"/>
        <v>0.77777777777777779</v>
      </c>
      <c r="G118" t="s">
        <v>21</v>
      </c>
      <c r="H118" t="s">
        <v>22</v>
      </c>
      <c r="I118" t="s">
        <v>92</v>
      </c>
      <c r="J118" s="2">
        <v>46206</v>
      </c>
      <c r="K118" s="1">
        <v>0.77430555555555547</v>
      </c>
      <c r="L118" s="10">
        <f t="shared" si="9"/>
        <v>-5.0000000000001421</v>
      </c>
      <c r="M118" s="1" t="str">
        <f t="shared" si="17"/>
        <v>On Time</v>
      </c>
      <c r="N118" s="27" t="str">
        <f t="shared" si="10"/>
        <v>LOT</v>
      </c>
      <c r="O118" s="3" t="s">
        <v>1385</v>
      </c>
      <c r="P118" s="20">
        <f t="shared" si="11"/>
        <v>18</v>
      </c>
      <c r="Q118" s="3" t="s">
        <v>1385</v>
      </c>
      <c r="R118" s="23" t="str">
        <f t="shared" si="12"/>
        <v>Friday</v>
      </c>
      <c r="S118" s="3" t="s">
        <v>1385</v>
      </c>
      <c r="T118" s="23" t="s">
        <v>19</v>
      </c>
      <c r="U118" s="3" t="s">
        <v>1385</v>
      </c>
      <c r="W118" s="32">
        <f t="shared" si="22"/>
        <v>28200000</v>
      </c>
      <c r="X118" s="33">
        <f t="shared" si="23"/>
        <v>1848</v>
      </c>
      <c r="Y118" s="34">
        <f t="shared" si="24"/>
        <v>1600</v>
      </c>
      <c r="Z118" s="32">
        <f t="shared" si="25"/>
        <v>2.9999999999999893</v>
      </c>
      <c r="AA118" s="33">
        <f t="shared" si="26"/>
        <v>2.9999999999999893</v>
      </c>
      <c r="AB118" s="34">
        <f t="shared" si="27"/>
        <v>2.9999999999999893</v>
      </c>
      <c r="AI118" s="8">
        <f t="shared" si="20"/>
        <v>6</v>
      </c>
      <c r="AJ118" s="10">
        <f t="shared" si="21"/>
        <v>-4.0000000000001457</v>
      </c>
      <c r="AO118" s="15"/>
      <c r="AP118" s="15"/>
      <c r="AQ118" s="15"/>
      <c r="AR118" s="23"/>
      <c r="AS118" s="15"/>
      <c r="AT118" s="15"/>
      <c r="AU118" s="23"/>
      <c r="AV118" s="23"/>
    </row>
    <row r="119" spans="1:48" ht="13.8" thickBot="1" x14ac:dyDescent="0.3">
      <c r="A119" t="s">
        <v>366</v>
      </c>
      <c r="B119" t="s">
        <v>13</v>
      </c>
      <c r="C119" s="10">
        <v>-66</v>
      </c>
      <c r="D119" t="s">
        <v>367</v>
      </c>
      <c r="E119" s="2">
        <f t="shared" si="16"/>
        <v>46206</v>
      </c>
      <c r="F119" s="3">
        <f t="shared" si="15"/>
        <v>0.79305555555555562</v>
      </c>
      <c r="G119" t="s">
        <v>368</v>
      </c>
      <c r="H119" t="s">
        <v>369</v>
      </c>
      <c r="I119" t="s">
        <v>17</v>
      </c>
      <c r="J119" s="2">
        <v>46206</v>
      </c>
      <c r="K119" s="1">
        <v>0.78125</v>
      </c>
      <c r="L119" s="10">
        <f t="shared" si="9"/>
        <v>-17.000000000000099</v>
      </c>
      <c r="M119" s="1" t="str">
        <f t="shared" si="17"/>
        <v>Delayed</v>
      </c>
      <c r="N119" s="27" t="str">
        <f t="shared" si="10"/>
        <v>Wizz Air</v>
      </c>
      <c r="O119" s="3" t="s">
        <v>1318</v>
      </c>
      <c r="P119" s="20">
        <f t="shared" si="11"/>
        <v>19</v>
      </c>
      <c r="Q119" s="3" t="s">
        <v>1318</v>
      </c>
      <c r="R119" s="23" t="str">
        <f t="shared" si="12"/>
        <v>Friday</v>
      </c>
      <c r="S119" s="3" t="s">
        <v>1318</v>
      </c>
      <c r="T119" s="23" t="s">
        <v>13</v>
      </c>
      <c r="U119" s="3" t="s">
        <v>1318</v>
      </c>
      <c r="W119" s="32">
        <f t="shared" si="22"/>
        <v>2000000</v>
      </c>
      <c r="X119" s="33">
        <f t="shared" si="23"/>
        <v>2648</v>
      </c>
      <c r="Y119" s="34">
        <f t="shared" si="24"/>
        <v>185</v>
      </c>
      <c r="Z119" s="32">
        <f t="shared" si="25"/>
        <v>-6.9999999999999751</v>
      </c>
      <c r="AA119" s="33">
        <f t="shared" si="26"/>
        <v>-6.9999999999999751</v>
      </c>
      <c r="AB119" s="34">
        <f t="shared" si="27"/>
        <v>-6.9999999999999751</v>
      </c>
      <c r="AI119" s="8">
        <f t="shared" si="20"/>
        <v>193</v>
      </c>
      <c r="AJ119" s="10">
        <f t="shared" si="21"/>
        <v>18.000000000000096</v>
      </c>
      <c r="AO119" s="15"/>
      <c r="AP119" s="15"/>
      <c r="AQ119" s="15"/>
      <c r="AR119" s="23"/>
      <c r="AS119" s="15"/>
      <c r="AT119" s="15"/>
      <c r="AU119" s="23"/>
      <c r="AV119" s="23"/>
    </row>
    <row r="120" spans="1:48" ht="13.8" thickBot="1" x14ac:dyDescent="0.3">
      <c r="A120" t="s">
        <v>189</v>
      </c>
      <c r="B120" t="s">
        <v>190</v>
      </c>
      <c r="C120" s="10">
        <v>-13</v>
      </c>
      <c r="D120" t="s">
        <v>370</v>
      </c>
      <c r="E120" s="2">
        <f t="shared" si="16"/>
        <v>46206</v>
      </c>
      <c r="F120" s="3">
        <f t="shared" si="15"/>
        <v>0.78055555555555556</v>
      </c>
      <c r="G120" t="s">
        <v>110</v>
      </c>
      <c r="H120" t="s">
        <v>111</v>
      </c>
      <c r="I120" t="s">
        <v>210</v>
      </c>
      <c r="J120" s="2">
        <v>46206</v>
      </c>
      <c r="K120" s="1">
        <v>0.78819444444444453</v>
      </c>
      <c r="L120" s="10">
        <f t="shared" si="9"/>
        <v>11.000000000000121</v>
      </c>
      <c r="M120" s="1" t="str">
        <f t="shared" si="17"/>
        <v>On Time</v>
      </c>
      <c r="N120" s="27" t="str">
        <f t="shared" si="10"/>
        <v>Lufthansa</v>
      </c>
      <c r="O120" s="3" t="s">
        <v>1385</v>
      </c>
      <c r="P120" s="20">
        <f t="shared" si="11"/>
        <v>18</v>
      </c>
      <c r="Q120" s="3" t="s">
        <v>1385</v>
      </c>
      <c r="R120" s="23" t="str">
        <f t="shared" si="12"/>
        <v>Friday</v>
      </c>
      <c r="S120" s="3" t="s">
        <v>1385</v>
      </c>
      <c r="T120" s="23" t="s">
        <v>190</v>
      </c>
      <c r="U120" s="3" t="s">
        <v>1385</v>
      </c>
      <c r="W120" s="32">
        <f>IF(OR(ISNA(W10), ISNA(Z10)), "", W10)</f>
        <v>50000000</v>
      </c>
      <c r="X120" s="33">
        <f>IF(OR(ISNA(X10), ISNA(Z10)), "", X10)</f>
        <v>2246</v>
      </c>
      <c r="Y120" s="34">
        <f>IF(OR(ISNA(Y10), ISNA(Z10)), "", Y10)</f>
        <v>1530</v>
      </c>
      <c r="Z120" s="32">
        <f>IF(OR(ISNA(W10), ISNA(Z10)), "", Z10)</f>
        <v>3.9999999999999956</v>
      </c>
      <c r="AA120" s="33">
        <f>IF(OR(ISNA(X10), ISNA(Z10)), "", Z10)</f>
        <v>3.9999999999999956</v>
      </c>
      <c r="AB120" s="34">
        <f>IF(OR(ISNA(Y10), ISNA(Z10)), "", Z10)</f>
        <v>3.9999999999999956</v>
      </c>
      <c r="AI120" s="8">
        <f t="shared" si="20"/>
        <v>8</v>
      </c>
      <c r="AJ120" s="10">
        <f t="shared" si="21"/>
        <v>-58.000000000000114</v>
      </c>
      <c r="AO120" s="15"/>
      <c r="AP120" s="15"/>
      <c r="AQ120" s="15"/>
      <c r="AR120" s="23"/>
      <c r="AS120" s="15"/>
      <c r="AT120" s="15"/>
      <c r="AU120" s="23"/>
      <c r="AV120" s="23"/>
    </row>
    <row r="121" spans="1:48" ht="13.8" thickBot="1" x14ac:dyDescent="0.3">
      <c r="A121" t="s">
        <v>254</v>
      </c>
      <c r="B121" t="s">
        <v>85</v>
      </c>
      <c r="C121" s="10">
        <v>0</v>
      </c>
      <c r="D121" t="s">
        <v>371</v>
      </c>
      <c r="E121" s="2">
        <f t="shared" si="16"/>
        <v>46206</v>
      </c>
      <c r="F121" s="3">
        <f t="shared" si="15"/>
        <v>0.77083333333333337</v>
      </c>
      <c r="G121" t="s">
        <v>256</v>
      </c>
      <c r="H121" t="s">
        <v>257</v>
      </c>
      <c r="I121" t="s">
        <v>162</v>
      </c>
      <c r="J121" s="2">
        <v>46206</v>
      </c>
      <c r="K121" s="1">
        <v>0.79513888888888884</v>
      </c>
      <c r="L121" s="10">
        <f t="shared" si="9"/>
        <v>34.999999999999872</v>
      </c>
      <c r="M121" s="1" t="str">
        <f t="shared" si="17"/>
        <v>On Time</v>
      </c>
      <c r="N121" s="27" t="str">
        <f t="shared" si="10"/>
        <v>Ryanair</v>
      </c>
      <c r="O121" s="3" t="s">
        <v>1385</v>
      </c>
      <c r="P121" s="20">
        <f t="shared" si="11"/>
        <v>18</v>
      </c>
      <c r="Q121" s="3" t="s">
        <v>1385</v>
      </c>
      <c r="R121" s="23" t="str">
        <f t="shared" si="12"/>
        <v>Friday</v>
      </c>
      <c r="S121" s="3" t="s">
        <v>1385</v>
      </c>
      <c r="T121" s="23" t="s">
        <v>85</v>
      </c>
      <c r="U121" s="3" t="s">
        <v>1385</v>
      </c>
      <c r="W121" s="32">
        <f>IF(OR(ISNA(W11), ISNA(Z11)), "", W11)</f>
        <v>6000000</v>
      </c>
      <c r="X121" s="33">
        <f>IF(OR(ISNA(X11), ISNA(Z11)), "", X11)</f>
        <v>1957</v>
      </c>
      <c r="Y121" s="34">
        <f>IF(OR(ISNA(Y11), ISNA(Z11)), "", Y11)</f>
        <v>400</v>
      </c>
      <c r="Z121" s="32">
        <f>IF(OR(ISNA(W11), ISNA(Z11)), "", Z11)</f>
        <v>-23</v>
      </c>
      <c r="AA121" s="33">
        <f>IF(OR(ISNA(X11), ISNA(Z11)), "", Z11)</f>
        <v>-23</v>
      </c>
      <c r="AB121" s="34">
        <f>IF(OR(ISNA(Y11), ISNA(Z11)), "", Z11)</f>
        <v>-23</v>
      </c>
      <c r="AI121" s="8">
        <f t="shared" si="20"/>
        <v>9</v>
      </c>
      <c r="AJ121" s="10">
        <f t="shared" si="21"/>
        <v>-39.000000000000021</v>
      </c>
      <c r="AO121" s="15"/>
      <c r="AP121" s="15"/>
      <c r="AQ121" s="15"/>
      <c r="AR121" s="23"/>
      <c r="AS121" s="15"/>
      <c r="AT121" s="15"/>
      <c r="AU121" s="23"/>
      <c r="AV121" s="23"/>
    </row>
    <row r="122" spans="1:48" ht="13.8" thickBot="1" x14ac:dyDescent="0.3">
      <c r="A122" t="s">
        <v>372</v>
      </c>
      <c r="B122" t="s">
        <v>85</v>
      </c>
      <c r="C122" s="10">
        <v>-39</v>
      </c>
      <c r="D122" t="s">
        <v>373</v>
      </c>
      <c r="E122" s="2">
        <f t="shared" si="16"/>
        <v>46206</v>
      </c>
      <c r="F122" s="3">
        <f t="shared" si="15"/>
        <v>0.80347222222222225</v>
      </c>
      <c r="G122" t="s">
        <v>368</v>
      </c>
      <c r="H122" t="s">
        <v>369</v>
      </c>
      <c r="I122" t="s">
        <v>89</v>
      </c>
      <c r="J122" s="2">
        <v>46206</v>
      </c>
      <c r="K122" s="1">
        <v>0.79513888888888884</v>
      </c>
      <c r="L122" s="10">
        <f t="shared" si="9"/>
        <v>-12.000000000000117</v>
      </c>
      <c r="M122" s="1" t="str">
        <f t="shared" si="17"/>
        <v>On Time</v>
      </c>
      <c r="N122" s="27" t="str">
        <f t="shared" si="10"/>
        <v>Ryanair</v>
      </c>
      <c r="O122" s="3" t="s">
        <v>1385</v>
      </c>
      <c r="P122" s="20">
        <f t="shared" si="11"/>
        <v>19</v>
      </c>
      <c r="Q122" s="3" t="s">
        <v>1385</v>
      </c>
      <c r="R122" s="23" t="str">
        <f t="shared" si="12"/>
        <v>Friday</v>
      </c>
      <c r="S122" s="3" t="s">
        <v>1385</v>
      </c>
      <c r="T122" s="23" t="s">
        <v>85</v>
      </c>
      <c r="U122" s="3" t="s">
        <v>1385</v>
      </c>
      <c r="W122" s="32">
        <f t="shared" ref="W122:W130" si="28">IF(OR(ISNA(W13), ISNA(Z13)), "", W13)</f>
        <v>6400000</v>
      </c>
      <c r="X122" s="33">
        <f t="shared" ref="X122:X132" si="29">IF(OR(ISNA(X13), ISNA(Z13)), "", X13)</f>
        <v>1222</v>
      </c>
      <c r="Y122" s="34">
        <f t="shared" ref="Y122:Y132" si="30">IF(OR(ISNA(Y13), ISNA(Z13)), "", Y13)</f>
        <v>220</v>
      </c>
      <c r="Z122" s="32">
        <f t="shared" ref="Z122:Z130" si="31">IF(OR(ISNA(W13), ISNA(Z13)), "", Z13)</f>
        <v>5.0000000000001421</v>
      </c>
      <c r="AA122" s="33">
        <f t="shared" ref="AA122:AA132" si="32">IF(OR(ISNA(X13), ISNA(Z13)), "", Z13)</f>
        <v>5.0000000000001421</v>
      </c>
      <c r="AB122" s="34">
        <f t="shared" ref="AB122:AB132" si="33">IF(OR(ISNA(Y13), ISNA(Z13)), "", Z13)</f>
        <v>5.0000000000001421</v>
      </c>
      <c r="AI122" s="8">
        <f t="shared" si="20"/>
        <v>13</v>
      </c>
      <c r="AJ122" s="10">
        <f t="shared" si="21"/>
        <v>-12.999999999999794</v>
      </c>
      <c r="AO122" s="15"/>
      <c r="AP122" s="15"/>
      <c r="AQ122" s="15"/>
      <c r="AR122" s="23"/>
      <c r="AS122" s="15"/>
      <c r="AT122" s="15"/>
      <c r="AU122" s="23"/>
      <c r="AV122" s="23"/>
    </row>
    <row r="123" spans="1:48" ht="13.8" thickBot="1" x14ac:dyDescent="0.3">
      <c r="A123" t="s">
        <v>208</v>
      </c>
      <c r="B123" t="s">
        <v>96</v>
      </c>
      <c r="C123" s="10">
        <v>-11</v>
      </c>
      <c r="D123" t="s">
        <v>374</v>
      </c>
      <c r="E123" s="2">
        <f t="shared" si="16"/>
        <v>46206</v>
      </c>
      <c r="F123" s="3">
        <f t="shared" si="15"/>
        <v>0.80069444444444438</v>
      </c>
      <c r="G123" t="s">
        <v>98</v>
      </c>
      <c r="H123" t="s">
        <v>99</v>
      </c>
      <c r="I123" t="s">
        <v>188</v>
      </c>
      <c r="J123" s="2">
        <v>46206</v>
      </c>
      <c r="K123" s="1">
        <v>0.8125</v>
      </c>
      <c r="L123" s="10">
        <f t="shared" si="9"/>
        <v>17.000000000000099</v>
      </c>
      <c r="M123" s="1" t="str">
        <f t="shared" si="17"/>
        <v>On Time</v>
      </c>
      <c r="N123" s="27" t="str">
        <f t="shared" si="10"/>
        <v>Turkish Airlines</v>
      </c>
      <c r="O123" s="3" t="s">
        <v>1385</v>
      </c>
      <c r="P123" s="20">
        <f t="shared" si="11"/>
        <v>19</v>
      </c>
      <c r="Q123" s="3" t="s">
        <v>1385</v>
      </c>
      <c r="R123" s="23" t="str">
        <f t="shared" si="12"/>
        <v>Friday</v>
      </c>
      <c r="S123" s="3" t="s">
        <v>1385</v>
      </c>
      <c r="T123" s="23" t="s">
        <v>96</v>
      </c>
      <c r="U123" s="3" t="s">
        <v>1385</v>
      </c>
      <c r="W123" s="32">
        <f t="shared" si="28"/>
        <v>23000000</v>
      </c>
      <c r="X123" s="33">
        <f t="shared" si="29"/>
        <v>808</v>
      </c>
      <c r="Y123" s="34">
        <f t="shared" si="30"/>
        <v>1470</v>
      </c>
      <c r="Z123" s="32">
        <f t="shared" si="31"/>
        <v>15.500000000000185</v>
      </c>
      <c r="AA123" s="33">
        <f t="shared" si="32"/>
        <v>15.500000000000185</v>
      </c>
      <c r="AB123" s="34">
        <f t="shared" si="33"/>
        <v>15.500000000000185</v>
      </c>
      <c r="AI123" s="8"/>
      <c r="AO123" s="15"/>
      <c r="AP123" s="15"/>
      <c r="AQ123" s="15"/>
      <c r="AR123" s="23"/>
      <c r="AS123" s="15"/>
      <c r="AT123" s="15"/>
      <c r="AU123" s="23"/>
      <c r="AV123" s="23"/>
    </row>
    <row r="124" spans="1:48" ht="13.8" thickBot="1" x14ac:dyDescent="0.3">
      <c r="A124" t="s">
        <v>211</v>
      </c>
      <c r="B124" t="s">
        <v>7</v>
      </c>
      <c r="C124" s="10">
        <v>-9</v>
      </c>
      <c r="D124" t="s">
        <v>375</v>
      </c>
      <c r="E124" s="2">
        <f t="shared" si="16"/>
        <v>46206</v>
      </c>
      <c r="F124" s="3">
        <f t="shared" si="15"/>
        <v>0.81319444444444444</v>
      </c>
      <c r="G124" t="s">
        <v>135</v>
      </c>
      <c r="H124" t="s">
        <v>136</v>
      </c>
      <c r="I124" t="s">
        <v>11</v>
      </c>
      <c r="J124" s="2">
        <v>46206</v>
      </c>
      <c r="K124" s="1">
        <v>0.82638888888888884</v>
      </c>
      <c r="L124" s="10">
        <f t="shared" si="9"/>
        <v>18.999999999999932</v>
      </c>
      <c r="M124" s="1" t="str">
        <f t="shared" si="17"/>
        <v>On Time</v>
      </c>
      <c r="N124" s="27" t="str">
        <f t="shared" si="10"/>
        <v>airBaltic</v>
      </c>
      <c r="O124" s="3" t="s">
        <v>1385</v>
      </c>
      <c r="P124" s="20">
        <f t="shared" si="11"/>
        <v>19</v>
      </c>
      <c r="Q124" s="3" t="s">
        <v>1385</v>
      </c>
      <c r="R124" s="23" t="str">
        <f t="shared" si="12"/>
        <v>Friday</v>
      </c>
      <c r="S124" s="3" t="s">
        <v>1385</v>
      </c>
      <c r="T124" s="23" t="s">
        <v>7</v>
      </c>
      <c r="U124" s="3" t="s">
        <v>1385</v>
      </c>
      <c r="W124" s="32">
        <f t="shared" si="28"/>
        <v>4000000</v>
      </c>
      <c r="X124" s="33">
        <f t="shared" si="29"/>
        <v>988</v>
      </c>
      <c r="Y124" s="34">
        <f t="shared" si="30"/>
        <v>450</v>
      </c>
      <c r="Z124" s="32">
        <f t="shared" si="31"/>
        <v>11.000000000000121</v>
      </c>
      <c r="AA124" s="33">
        <f t="shared" si="32"/>
        <v>11.000000000000121</v>
      </c>
      <c r="AB124" s="34">
        <f t="shared" si="33"/>
        <v>11.000000000000121</v>
      </c>
      <c r="AI124" s="8"/>
      <c r="AO124" s="15"/>
      <c r="AP124" s="15"/>
      <c r="AQ124" s="15"/>
      <c r="AR124" s="23"/>
      <c r="AS124" s="15"/>
      <c r="AT124" s="15"/>
      <c r="AU124" s="23"/>
      <c r="AV124" s="23"/>
    </row>
    <row r="125" spans="1:48" ht="13.8" thickBot="1" x14ac:dyDescent="0.3">
      <c r="A125" t="s">
        <v>228</v>
      </c>
      <c r="B125" t="s">
        <v>69</v>
      </c>
      <c r="C125" s="10">
        <v>-76</v>
      </c>
      <c r="D125" t="s">
        <v>376</v>
      </c>
      <c r="E125" s="2">
        <f t="shared" si="16"/>
        <v>46206</v>
      </c>
      <c r="F125" s="3">
        <f t="shared" si="15"/>
        <v>0.92708333333333337</v>
      </c>
      <c r="G125" t="s">
        <v>71</v>
      </c>
      <c r="H125" t="s">
        <v>72</v>
      </c>
      <c r="I125" t="s">
        <v>73</v>
      </c>
      <c r="J125" s="2">
        <v>46206</v>
      </c>
      <c r="K125" s="1">
        <v>0.88194444444444453</v>
      </c>
      <c r="L125" s="10">
        <f t="shared" si="9"/>
        <v>-64.999999999999929</v>
      </c>
      <c r="M125" s="1" t="str">
        <f t="shared" si="17"/>
        <v>Delayed</v>
      </c>
      <c r="N125" s="27" t="str">
        <f t="shared" si="10"/>
        <v>Finnair</v>
      </c>
      <c r="O125" s="3" t="s">
        <v>1318</v>
      </c>
      <c r="P125" s="20">
        <f t="shared" si="11"/>
        <v>22</v>
      </c>
      <c r="Q125" s="3" t="s">
        <v>1318</v>
      </c>
      <c r="R125" s="23" t="str">
        <f t="shared" si="12"/>
        <v>Friday</v>
      </c>
      <c r="S125" s="3" t="s">
        <v>1318</v>
      </c>
      <c r="T125" s="23" t="s">
        <v>69</v>
      </c>
      <c r="U125" s="3" t="s">
        <v>1318</v>
      </c>
      <c r="W125" s="32">
        <f t="shared" si="28"/>
        <v>4100000</v>
      </c>
      <c r="X125" s="33">
        <f t="shared" si="29"/>
        <v>1893</v>
      </c>
      <c r="Y125" s="34">
        <f t="shared" si="30"/>
        <v>480</v>
      </c>
      <c r="Z125" s="32">
        <f t="shared" si="31"/>
        <v>3.0000000000001492</v>
      </c>
      <c r="AA125" s="33">
        <f t="shared" si="32"/>
        <v>3.0000000000001492</v>
      </c>
      <c r="AB125" s="34">
        <f t="shared" si="33"/>
        <v>3.0000000000001492</v>
      </c>
      <c r="AI125" s="8"/>
      <c r="AO125" s="15"/>
      <c r="AP125" s="15"/>
      <c r="AQ125" s="15"/>
      <c r="AR125" s="23"/>
      <c r="AS125" s="15"/>
      <c r="AT125" s="15"/>
      <c r="AU125" s="23"/>
      <c r="AV125" s="23"/>
    </row>
    <row r="126" spans="1:48" ht="13.8" thickBot="1" x14ac:dyDescent="0.3">
      <c r="A126" t="s">
        <v>250</v>
      </c>
      <c r="B126" t="s">
        <v>7</v>
      </c>
      <c r="C126" s="10" t="e">
        <f>NA()</f>
        <v>#N/A</v>
      </c>
      <c r="D126" t="s">
        <v>377</v>
      </c>
      <c r="E126" s="2">
        <f t="shared" si="16"/>
        <v>46206</v>
      </c>
      <c r="F126" s="3" t="e">
        <f t="shared" si="15"/>
        <v>#N/A</v>
      </c>
      <c r="G126" t="s">
        <v>252</v>
      </c>
      <c r="H126" t="s">
        <v>253</v>
      </c>
      <c r="I126" t="s">
        <v>11</v>
      </c>
      <c r="J126" s="2">
        <v>46206</v>
      </c>
      <c r="K126" s="1">
        <v>0.91319444444444453</v>
      </c>
      <c r="L126" s="10" t="e">
        <f t="shared" si="9"/>
        <v>#N/A</v>
      </c>
      <c r="M126" s="1" t="e">
        <f t="shared" si="17"/>
        <v>#N/A</v>
      </c>
      <c r="N126" s="27" t="str">
        <f t="shared" si="10"/>
        <v>airBaltic</v>
      </c>
      <c r="O126" s="3" t="e">
        <v>#N/A</v>
      </c>
      <c r="P126" s="20" t="e">
        <f t="shared" si="11"/>
        <v>#N/A</v>
      </c>
      <c r="Q126" s="3" t="e">
        <v>#N/A</v>
      </c>
      <c r="R126" s="23" t="str">
        <f t="shared" si="12"/>
        <v>Friday</v>
      </c>
      <c r="S126" s="3" t="e">
        <v>#N/A</v>
      </c>
      <c r="T126" s="23" t="s">
        <v>7</v>
      </c>
      <c r="W126" s="32">
        <f t="shared" si="28"/>
        <v>100000</v>
      </c>
      <c r="X126" s="33">
        <f t="shared" si="29"/>
        <v>1298</v>
      </c>
      <c r="Y126" s="34">
        <f t="shared" si="30"/>
        <v>68</v>
      </c>
      <c r="Z126" s="32">
        <f t="shared" si="31"/>
        <v>13.000000000000114</v>
      </c>
      <c r="AA126" s="33">
        <f t="shared" si="32"/>
        <v>13.000000000000114</v>
      </c>
      <c r="AB126" s="34">
        <f t="shared" si="33"/>
        <v>13.000000000000114</v>
      </c>
      <c r="AI126" s="8"/>
      <c r="AO126" s="15"/>
      <c r="AP126" s="15"/>
      <c r="AQ126" s="15"/>
      <c r="AR126" s="23"/>
      <c r="AS126" s="15"/>
      <c r="AT126" s="15"/>
      <c r="AU126" s="23"/>
      <c r="AV126" s="23"/>
    </row>
    <row r="127" spans="1:48" ht="13.8" thickBot="1" x14ac:dyDescent="0.3">
      <c r="A127" t="s">
        <v>123</v>
      </c>
      <c r="B127" t="s">
        <v>124</v>
      </c>
      <c r="C127" s="10" t="e">
        <f>NA()</f>
        <v>#N/A</v>
      </c>
      <c r="D127" t="s">
        <v>378</v>
      </c>
      <c r="E127" s="2">
        <f t="shared" si="16"/>
        <v>46206</v>
      </c>
      <c r="F127" s="3">
        <f t="shared" si="15"/>
        <v>0.92222222222222217</v>
      </c>
      <c r="G127" t="s">
        <v>379</v>
      </c>
      <c r="H127" t="s">
        <v>380</v>
      </c>
      <c r="I127" t="s">
        <v>249</v>
      </c>
      <c r="J127" s="2">
        <v>46206</v>
      </c>
      <c r="K127" s="1">
        <v>0.9243055555555556</v>
      </c>
      <c r="L127" s="10">
        <f t="shared" si="9"/>
        <v>3.0000000000001492</v>
      </c>
      <c r="M127" s="1" t="str">
        <f t="shared" si="17"/>
        <v>On Time</v>
      </c>
      <c r="N127" s="27" t="str">
        <f t="shared" si="10"/>
        <v>GetJet Airlines</v>
      </c>
      <c r="O127" s="3" t="s">
        <v>1385</v>
      </c>
      <c r="P127" s="20">
        <f t="shared" si="11"/>
        <v>22</v>
      </c>
      <c r="Q127" s="3" t="s">
        <v>1385</v>
      </c>
      <c r="R127" s="23" t="str">
        <f t="shared" si="12"/>
        <v>Friday</v>
      </c>
      <c r="S127" s="3" t="s">
        <v>1385</v>
      </c>
      <c r="T127" s="23" t="s">
        <v>124</v>
      </c>
      <c r="U127" s="3" t="s">
        <v>1385</v>
      </c>
      <c r="W127" s="32">
        <f t="shared" si="28"/>
        <v>1500000</v>
      </c>
      <c r="X127" s="33">
        <f t="shared" si="29"/>
        <v>988</v>
      </c>
      <c r="Y127" s="34">
        <f t="shared" si="30"/>
        <v>140</v>
      </c>
      <c r="Z127" s="32">
        <f t="shared" si="31"/>
        <v>21.999999999999922</v>
      </c>
      <c r="AA127" s="33">
        <f t="shared" si="32"/>
        <v>21.999999999999922</v>
      </c>
      <c r="AB127" s="34">
        <f t="shared" si="33"/>
        <v>21.999999999999922</v>
      </c>
      <c r="AI127" s="8"/>
      <c r="AO127" s="15"/>
      <c r="AP127" s="15"/>
      <c r="AQ127" s="15"/>
      <c r="AR127" s="23"/>
      <c r="AS127" s="15"/>
      <c r="AT127" s="15"/>
      <c r="AU127" s="23"/>
      <c r="AV127" s="23"/>
    </row>
    <row r="128" spans="1:48" ht="13.8" thickBot="1" x14ac:dyDescent="0.3">
      <c r="A128" t="s">
        <v>245</v>
      </c>
      <c r="B128" t="s">
        <v>124</v>
      </c>
      <c r="D128" t="s">
        <v>381</v>
      </c>
      <c r="E128" s="2">
        <f t="shared" si="16"/>
        <v>46206</v>
      </c>
      <c r="F128" s="3">
        <f t="shared" si="15"/>
        <v>0.9291666666666667</v>
      </c>
      <c r="G128" t="s">
        <v>247</v>
      </c>
      <c r="H128" t="s">
        <v>248</v>
      </c>
      <c r="I128" t="s">
        <v>126</v>
      </c>
      <c r="J128" s="2">
        <v>46206</v>
      </c>
      <c r="K128" s="1">
        <v>0.92986111111111114</v>
      </c>
      <c r="L128" s="10">
        <f t="shared" si="9"/>
        <v>0.99999999999999645</v>
      </c>
      <c r="M128" s="1" t="str">
        <f t="shared" si="17"/>
        <v>On Time</v>
      </c>
      <c r="N128" s="27" t="str">
        <f t="shared" si="10"/>
        <v>GetJet Airlines</v>
      </c>
      <c r="O128" s="3" t="s">
        <v>1385</v>
      </c>
      <c r="P128" s="20">
        <f t="shared" si="11"/>
        <v>22</v>
      </c>
      <c r="Q128" s="3" t="s">
        <v>1385</v>
      </c>
      <c r="R128" s="23" t="str">
        <f t="shared" si="12"/>
        <v>Friday</v>
      </c>
      <c r="S128" s="3" t="s">
        <v>1385</v>
      </c>
      <c r="T128" s="23" t="s">
        <v>124</v>
      </c>
      <c r="U128" s="3" t="s">
        <v>1385</v>
      </c>
      <c r="W128" s="32">
        <f t="shared" si="28"/>
        <v>14600000</v>
      </c>
      <c r="X128" s="33">
        <f t="shared" si="29"/>
        <v>929</v>
      </c>
      <c r="Y128" s="34">
        <f t="shared" si="30"/>
        <v>1200</v>
      </c>
      <c r="Z128" s="32">
        <f t="shared" si="31"/>
        <v>-51.999999999999972</v>
      </c>
      <c r="AA128" s="33">
        <f t="shared" si="32"/>
        <v>-51.999999999999972</v>
      </c>
      <c r="AB128" s="34">
        <f t="shared" si="33"/>
        <v>-51.999999999999972</v>
      </c>
      <c r="AI128" s="8"/>
      <c r="AO128" s="15"/>
      <c r="AP128" s="15"/>
      <c r="AQ128" s="15"/>
      <c r="AR128" s="23"/>
      <c r="AS128" s="15"/>
      <c r="AT128" s="15"/>
      <c r="AU128" s="23"/>
      <c r="AV128" s="23"/>
    </row>
    <row r="129" spans="1:48" ht="13.8" thickBot="1" x14ac:dyDescent="0.3">
      <c r="A129" t="s">
        <v>235</v>
      </c>
      <c r="B129" t="s">
        <v>19</v>
      </c>
      <c r="C129" s="10">
        <v>-42</v>
      </c>
      <c r="D129" t="s">
        <v>382</v>
      </c>
      <c r="E129" s="2">
        <f t="shared" si="16"/>
        <v>46206</v>
      </c>
      <c r="F129" s="3">
        <f t="shared" si="15"/>
        <v>0.94444444444444453</v>
      </c>
      <c r="G129" t="s">
        <v>21</v>
      </c>
      <c r="H129" t="s">
        <v>22</v>
      </c>
      <c r="I129" t="s">
        <v>276</v>
      </c>
      <c r="J129" s="2">
        <v>46206</v>
      </c>
      <c r="K129" s="1">
        <v>0.93055555555555547</v>
      </c>
      <c r="L129" s="10">
        <f t="shared" si="9"/>
        <v>-20.000000000000249</v>
      </c>
      <c r="M129" s="1" t="str">
        <f t="shared" si="17"/>
        <v>Delayed</v>
      </c>
      <c r="N129" s="27" t="str">
        <f t="shared" si="10"/>
        <v>LOT</v>
      </c>
      <c r="O129" s="3" t="s">
        <v>1318</v>
      </c>
      <c r="P129" s="20">
        <f t="shared" si="11"/>
        <v>22</v>
      </c>
      <c r="Q129" s="3" t="s">
        <v>1318</v>
      </c>
      <c r="R129" s="23" t="str">
        <f t="shared" si="12"/>
        <v>Friday</v>
      </c>
      <c r="S129" s="3" t="s">
        <v>1318</v>
      </c>
      <c r="T129" s="23" t="s">
        <v>19</v>
      </c>
      <c r="U129" s="3" t="s">
        <v>1318</v>
      </c>
      <c r="W129" s="32">
        <f t="shared" si="28"/>
        <v>14700000</v>
      </c>
      <c r="X129" s="33">
        <f t="shared" si="29"/>
        <v>916</v>
      </c>
      <c r="Y129" s="34">
        <f t="shared" si="30"/>
        <v>1515</v>
      </c>
      <c r="Z129" s="32">
        <f t="shared" si="31"/>
        <v>15.000000000000107</v>
      </c>
      <c r="AA129" s="33">
        <f t="shared" si="32"/>
        <v>15.000000000000107</v>
      </c>
      <c r="AB129" s="34">
        <f t="shared" si="33"/>
        <v>15.000000000000107</v>
      </c>
      <c r="AI129" s="8"/>
      <c r="AO129" s="15"/>
      <c r="AP129" s="15"/>
      <c r="AQ129" s="15"/>
      <c r="AR129" s="23"/>
      <c r="AS129" s="15"/>
      <c r="AT129" s="15"/>
      <c r="AU129" s="23"/>
      <c r="AV129" s="23"/>
    </row>
    <row r="130" spans="1:48" ht="13.8" thickBot="1" x14ac:dyDescent="0.3">
      <c r="A130" t="s">
        <v>383</v>
      </c>
      <c r="B130" t="s">
        <v>7</v>
      </c>
      <c r="C130" s="10">
        <v>-108</v>
      </c>
      <c r="D130" t="s">
        <v>384</v>
      </c>
      <c r="E130" s="2">
        <f t="shared" si="16"/>
        <v>46206</v>
      </c>
      <c r="F130" s="3" t="e">
        <f t="shared" si="15"/>
        <v>#N/A</v>
      </c>
      <c r="G130" t="s">
        <v>26</v>
      </c>
      <c r="H130" t="s">
        <v>27</v>
      </c>
      <c r="I130" t="s">
        <v>11</v>
      </c>
      <c r="J130" s="2">
        <v>46206</v>
      </c>
      <c r="K130" s="1">
        <v>0.94791666666666663</v>
      </c>
      <c r="L130" s="10" t="e">
        <f t="shared" ref="L130:L193" si="34">IF(J130&gt;E130,(K130+1-F130)*1440,IF(J130&lt;E130,-(F130+1-K130)*1440,(K130-F130)*1440))</f>
        <v>#N/A</v>
      </c>
      <c r="M130" s="1" t="e">
        <f t="shared" si="17"/>
        <v>#N/A</v>
      </c>
      <c r="N130" s="27" t="str">
        <f t="shared" ref="N130:N193" si="35">IF(COUNTIFS($B$2:$B$1553,B130,$M$2:$M$1553,"&lt;&gt;#N/A")&gt;=30,B130,NA())</f>
        <v>airBaltic</v>
      </c>
      <c r="O130" s="3" t="e">
        <v>#N/A</v>
      </c>
      <c r="P130" s="20" t="e">
        <f t="shared" ref="P130:P193" si="36">HOUR(F130)</f>
        <v>#N/A</v>
      </c>
      <c r="Q130" s="3" t="e">
        <v>#N/A</v>
      </c>
      <c r="R130" s="23" t="str">
        <f t="shared" ref="R130:R193" si="37">TEXT(E130, "dddd")</f>
        <v>Friday</v>
      </c>
      <c r="S130" s="3" t="e">
        <v>#N/A</v>
      </c>
      <c r="T130" s="23" t="s">
        <v>7</v>
      </c>
      <c r="W130" s="32">
        <f t="shared" si="28"/>
        <v>1800000</v>
      </c>
      <c r="X130" s="33">
        <f t="shared" si="29"/>
        <v>1289</v>
      </c>
      <c r="Y130" s="34">
        <f t="shared" si="30"/>
        <v>250</v>
      </c>
      <c r="Z130" s="32">
        <f t="shared" si="31"/>
        <v>14.999999999999947</v>
      </c>
      <c r="AA130" s="33">
        <f t="shared" si="32"/>
        <v>14.999999999999947</v>
      </c>
      <c r="AB130" s="34">
        <f t="shared" si="33"/>
        <v>14.999999999999947</v>
      </c>
      <c r="AI130" s="8"/>
      <c r="AO130" s="15"/>
      <c r="AP130" s="15"/>
      <c r="AQ130" s="15"/>
      <c r="AR130" s="23"/>
      <c r="AS130" s="15"/>
      <c r="AT130" s="15"/>
      <c r="AU130" s="23"/>
      <c r="AV130" s="23"/>
    </row>
    <row r="131" spans="1:48" x14ac:dyDescent="0.25">
      <c r="A131" t="s">
        <v>219</v>
      </c>
      <c r="B131" t="s">
        <v>7</v>
      </c>
      <c r="C131" s="10">
        <v>-183</v>
      </c>
      <c r="D131" t="s">
        <v>242</v>
      </c>
      <c r="E131" s="2">
        <f t="shared" si="16"/>
        <v>46206</v>
      </c>
      <c r="F131" s="3" t="e">
        <f t="shared" ref="F131:F194" si="38">IF(ISNUMBER(SEARCH("Landed", D131)), TIMEVALUE(_xlfn.TEXTAFTER(D131, " ")), NA())</f>
        <v>#N/A</v>
      </c>
      <c r="G131" t="s">
        <v>9</v>
      </c>
      <c r="H131" t="s">
        <v>10</v>
      </c>
      <c r="I131" t="s">
        <v>11</v>
      </c>
      <c r="J131" s="2">
        <v>46206</v>
      </c>
      <c r="K131" s="1">
        <v>0.95138888888888884</v>
      </c>
      <c r="L131" s="10" t="e">
        <f t="shared" si="34"/>
        <v>#N/A</v>
      </c>
      <c r="M131" s="1" t="e">
        <f t="shared" si="17"/>
        <v>#N/A</v>
      </c>
      <c r="N131" s="27" t="str">
        <f t="shared" si="35"/>
        <v>airBaltic</v>
      </c>
      <c r="O131" s="3" t="e">
        <v>#N/A</v>
      </c>
      <c r="P131" s="20" t="e">
        <f t="shared" si="36"/>
        <v>#N/A</v>
      </c>
      <c r="Q131" s="3" t="e">
        <v>#N/A</v>
      </c>
      <c r="R131" s="23" t="str">
        <f t="shared" si="37"/>
        <v>Friday</v>
      </c>
      <c r="S131" s="3" t="e">
        <v>#N/A</v>
      </c>
      <c r="T131" s="23" t="s">
        <v>7</v>
      </c>
      <c r="W131" s="32">
        <f>IF(OR(ISNA(W23), ISNA(Z23)), "", W23)</f>
        <v>10700000</v>
      </c>
      <c r="X131" s="33">
        <f t="shared" si="29"/>
        <v>1811</v>
      </c>
      <c r="Y131" s="34">
        <f t="shared" si="30"/>
        <v>115</v>
      </c>
      <c r="Z131" s="32">
        <f>IF(OR(ISNA(W23), ISNA(Z23)), "", Z23)</f>
        <v>13.000000000000032</v>
      </c>
      <c r="AA131" s="33">
        <f t="shared" si="32"/>
        <v>-39.000000000000021</v>
      </c>
      <c r="AB131" s="34">
        <f t="shared" si="33"/>
        <v>-39.000000000000021</v>
      </c>
      <c r="AO131" s="15"/>
      <c r="AP131" s="15"/>
      <c r="AQ131" s="15"/>
      <c r="AR131" s="23"/>
      <c r="AS131" s="15"/>
      <c r="AT131" s="15"/>
      <c r="AU131" s="23"/>
      <c r="AV131" s="23"/>
    </row>
    <row r="132" spans="1:48" x14ac:dyDescent="0.25">
      <c r="A132" t="s">
        <v>385</v>
      </c>
      <c r="B132" t="s">
        <v>239</v>
      </c>
      <c r="C132" s="3" t="e">
        <f t="shared" ref="C132" si="39">IF(ISNUMBER(SEARCH("Landed", A132)), TIMEVALUE(_xlfn.TEXTAFTER(A132, " ")), NA())</f>
        <v>#N/A</v>
      </c>
      <c r="D132" t="s">
        <v>386</v>
      </c>
      <c r="E132" s="2">
        <f t="shared" si="16"/>
        <v>46206</v>
      </c>
      <c r="F132" s="3" t="e">
        <f t="shared" si="38"/>
        <v>#N/A</v>
      </c>
      <c r="G132" t="s">
        <v>15</v>
      </c>
      <c r="H132" t="s">
        <v>16</v>
      </c>
      <c r="I132" t="s">
        <v>83</v>
      </c>
      <c r="J132" s="2">
        <v>46206</v>
      </c>
      <c r="K132" s="1">
        <v>0.96180555555555547</v>
      </c>
      <c r="L132" s="10" t="e">
        <f t="shared" si="34"/>
        <v>#N/A</v>
      </c>
      <c r="M132" s="1" t="e">
        <f t="shared" si="17"/>
        <v>#N/A</v>
      </c>
      <c r="N132" s="27" t="str">
        <f t="shared" si="35"/>
        <v>Eurowings</v>
      </c>
      <c r="O132" s="3" t="e">
        <v>#N/A</v>
      </c>
      <c r="P132" s="20" t="e">
        <f t="shared" si="36"/>
        <v>#N/A</v>
      </c>
      <c r="Q132" s="3" t="e">
        <v>#N/A</v>
      </c>
      <c r="R132" s="23" t="str">
        <f t="shared" si="37"/>
        <v>Friday</v>
      </c>
      <c r="S132" s="3" t="e">
        <v>#N/A</v>
      </c>
      <c r="T132" s="23" t="s">
        <v>239</v>
      </c>
      <c r="W132" s="32">
        <f>IF(OR(ISNA(W25), ISNA(Z25)), "", W25)</f>
        <v>26800000</v>
      </c>
      <c r="X132" s="33">
        <f t="shared" si="29"/>
        <v>1939</v>
      </c>
      <c r="Y132" s="34">
        <f t="shared" si="30"/>
        <v>220</v>
      </c>
      <c r="Z132" s="32">
        <f>IF(OR(ISNA(W25), ISNA(Z25)), "", Z25)</f>
        <v>3.9999999999999956</v>
      </c>
      <c r="AA132" s="33">
        <f t="shared" si="32"/>
        <v>13.000000000000032</v>
      </c>
      <c r="AB132" s="34">
        <f t="shared" si="33"/>
        <v>13.000000000000032</v>
      </c>
      <c r="AO132" s="15"/>
      <c r="AP132" s="15"/>
      <c r="AQ132" s="15"/>
      <c r="AR132" s="23"/>
      <c r="AS132" s="15"/>
      <c r="AT132" s="15"/>
      <c r="AU132" s="23"/>
      <c r="AV132" s="23"/>
    </row>
    <row r="133" spans="1:48" x14ac:dyDescent="0.25">
      <c r="A133" t="s">
        <v>387</v>
      </c>
      <c r="B133" t="s">
        <v>388</v>
      </c>
      <c r="C133" s="10">
        <v>-17</v>
      </c>
      <c r="D133" t="s">
        <v>389</v>
      </c>
      <c r="E133" s="2">
        <f t="shared" si="16"/>
        <v>46206</v>
      </c>
      <c r="F133" s="3">
        <f t="shared" si="38"/>
        <v>0.96319444444444446</v>
      </c>
      <c r="G133" t="s">
        <v>119</v>
      </c>
      <c r="H133" t="s">
        <v>120</v>
      </c>
      <c r="I133" t="s">
        <v>390</v>
      </c>
      <c r="J133" s="2">
        <v>46206</v>
      </c>
      <c r="K133" s="1">
        <v>0.96736111111111101</v>
      </c>
      <c r="L133" s="10">
        <f t="shared" si="34"/>
        <v>5.9999999999998188</v>
      </c>
      <c r="M133" s="1" t="str">
        <f t="shared" si="17"/>
        <v>On Time</v>
      </c>
      <c r="N133" s="27" t="e">
        <f t="shared" si="35"/>
        <v>#N/A</v>
      </c>
      <c r="O133" s="3" t="s">
        <v>1385</v>
      </c>
      <c r="P133" s="20">
        <f t="shared" si="36"/>
        <v>23</v>
      </c>
      <c r="Q133" s="3" t="s">
        <v>1385</v>
      </c>
      <c r="R133" s="23" t="str">
        <f t="shared" si="37"/>
        <v>Friday</v>
      </c>
      <c r="S133" s="3" t="s">
        <v>1385</v>
      </c>
      <c r="T133" s="23" t="s">
        <v>388</v>
      </c>
      <c r="U133" s="3" t="s">
        <v>1385</v>
      </c>
      <c r="W133" s="32">
        <f>IF(OR(ISNA(W26), ISNA(Z26)), "", W26)</f>
        <v>3800000</v>
      </c>
      <c r="X133" s="33">
        <f t="shared" ref="X133:X167" si="40">IF(OR(ISNA(X25), ISNA(Z25)), "", X25)</f>
        <v>811</v>
      </c>
      <c r="Y133" s="34">
        <f t="shared" ref="Y133:Y167" si="41">IF(OR(ISNA(Y25), ISNA(Z25)), "", Y25)</f>
        <v>1100</v>
      </c>
      <c r="Z133" s="32">
        <f>IF(OR(ISNA(W26), ISNA(Z26)), "", Z26)</f>
        <v>7.4999999999999734</v>
      </c>
      <c r="AA133" s="33">
        <f t="shared" ref="AA133:AA167" si="42">IF(OR(ISNA(X25), ISNA(Z25)), "", Z25)</f>
        <v>3.9999999999999956</v>
      </c>
      <c r="AB133" s="34">
        <f t="shared" ref="AB133:AB167" si="43">IF(OR(ISNA(Y25), ISNA(Z25)), "", Z25)</f>
        <v>3.9999999999999956</v>
      </c>
      <c r="AO133" s="15"/>
      <c r="AP133" s="15"/>
      <c r="AQ133" s="15"/>
      <c r="AR133" s="23"/>
      <c r="AS133" s="15"/>
      <c r="AT133" s="15"/>
      <c r="AU133" s="23"/>
      <c r="AV133" s="23"/>
    </row>
    <row r="134" spans="1:48" x14ac:dyDescent="0.25">
      <c r="A134" t="s">
        <v>100</v>
      </c>
      <c r="B134" t="s">
        <v>85</v>
      </c>
      <c r="C134" s="10">
        <v>-21</v>
      </c>
      <c r="D134" t="s">
        <v>391</v>
      </c>
      <c r="E134" s="2">
        <f t="shared" si="16"/>
        <v>46206</v>
      </c>
      <c r="F134" s="3">
        <f t="shared" si="38"/>
        <v>0.97777777777777775</v>
      </c>
      <c r="G134" t="s">
        <v>102</v>
      </c>
      <c r="H134" t="s">
        <v>103</v>
      </c>
      <c r="I134" t="s">
        <v>162</v>
      </c>
      <c r="J134" s="2">
        <v>46206</v>
      </c>
      <c r="K134" s="1">
        <v>0.98263888888888884</v>
      </c>
      <c r="L134" s="10">
        <f t="shared" si="34"/>
        <v>6.9999999999999751</v>
      </c>
      <c r="M134" s="1" t="str">
        <f t="shared" si="17"/>
        <v>On Time</v>
      </c>
      <c r="N134" s="27" t="str">
        <f t="shared" si="35"/>
        <v>Ryanair</v>
      </c>
      <c r="O134" s="3" t="s">
        <v>1385</v>
      </c>
      <c r="P134" s="20">
        <f t="shared" si="36"/>
        <v>23</v>
      </c>
      <c r="Q134" s="3" t="s">
        <v>1385</v>
      </c>
      <c r="R134" s="23" t="str">
        <f t="shared" si="37"/>
        <v>Friday</v>
      </c>
      <c r="S134" s="3" t="s">
        <v>1385</v>
      </c>
      <c r="T134" s="23" t="s">
        <v>85</v>
      </c>
      <c r="U134" s="3" t="s">
        <v>1385</v>
      </c>
      <c r="W134" s="32">
        <f>IF(OR(ISNA(W27), ISNA(Z27)), "", W27)</f>
        <v>3100000</v>
      </c>
      <c r="X134" s="33">
        <f t="shared" si="40"/>
        <v>1684</v>
      </c>
      <c r="Y134" s="34">
        <f t="shared" si="41"/>
        <v>80</v>
      </c>
      <c r="Z134" s="32">
        <f>IF(OR(ISNA(W27), ISNA(Z27)), "", Z27)</f>
        <v>12.499999999999876</v>
      </c>
      <c r="AA134" s="33">
        <f t="shared" si="42"/>
        <v>7.4999999999999734</v>
      </c>
      <c r="AB134" s="34">
        <f t="shared" si="43"/>
        <v>7.4999999999999734</v>
      </c>
      <c r="AO134" s="15"/>
      <c r="AP134" s="15"/>
      <c r="AQ134" s="15"/>
      <c r="AR134" s="23"/>
      <c r="AS134" s="15"/>
      <c r="AT134" s="15"/>
      <c r="AU134" s="23"/>
      <c r="AV134" s="23"/>
    </row>
    <row r="135" spans="1:48" x14ac:dyDescent="0.25">
      <c r="A135" t="s">
        <v>258</v>
      </c>
      <c r="B135" t="s">
        <v>190</v>
      </c>
      <c r="C135" s="10">
        <v>-14</v>
      </c>
      <c r="D135" t="s">
        <v>392</v>
      </c>
      <c r="E135" s="2">
        <f t="shared" si="16"/>
        <v>46206</v>
      </c>
      <c r="F135" s="3">
        <f t="shared" si="38"/>
        <v>0.97499999999999998</v>
      </c>
      <c r="G135" t="s">
        <v>110</v>
      </c>
      <c r="H135" t="s">
        <v>111</v>
      </c>
      <c r="I135" t="s">
        <v>210</v>
      </c>
      <c r="J135" s="2">
        <v>46206</v>
      </c>
      <c r="K135" s="1">
        <v>0.98263888888888884</v>
      </c>
      <c r="L135" s="10">
        <f t="shared" si="34"/>
        <v>10.999999999999961</v>
      </c>
      <c r="M135" s="1" t="str">
        <f t="shared" si="17"/>
        <v>On Time</v>
      </c>
      <c r="N135" s="27" t="str">
        <f t="shared" si="35"/>
        <v>Lufthansa</v>
      </c>
      <c r="O135" s="3" t="s">
        <v>1385</v>
      </c>
      <c r="P135" s="20">
        <f t="shared" si="36"/>
        <v>23</v>
      </c>
      <c r="Q135" s="3" t="s">
        <v>1385</v>
      </c>
      <c r="R135" s="23" t="str">
        <f t="shared" si="37"/>
        <v>Friday</v>
      </c>
      <c r="S135" s="3" t="s">
        <v>1385</v>
      </c>
      <c r="T135" s="23" t="s">
        <v>190</v>
      </c>
      <c r="U135" s="3" t="s">
        <v>1385</v>
      </c>
      <c r="W135" s="32">
        <f>IF(OR(ISNA(W28), ISNA(Z28)), "", W28)</f>
        <v>32000000</v>
      </c>
      <c r="X135" s="33">
        <f t="shared" si="40"/>
        <v>1180</v>
      </c>
      <c r="Y135" s="34">
        <f t="shared" si="41"/>
        <v>126</v>
      </c>
      <c r="Z135" s="32">
        <f>IF(OR(ISNA(W28), ISNA(Z28)), "", Z28)</f>
        <v>10.999999999999961</v>
      </c>
      <c r="AA135" s="33">
        <f t="shared" si="42"/>
        <v>12.499999999999876</v>
      </c>
      <c r="AB135" s="34">
        <f t="shared" si="43"/>
        <v>12.499999999999876</v>
      </c>
      <c r="AO135" s="15"/>
      <c r="AP135" s="15"/>
      <c r="AQ135" s="15"/>
      <c r="AR135" s="23"/>
      <c r="AS135" s="15"/>
      <c r="AT135" s="15"/>
      <c r="AU135" s="23"/>
      <c r="AV135" s="23"/>
    </row>
    <row r="136" spans="1:48" x14ac:dyDescent="0.25">
      <c r="A136" t="s">
        <v>393</v>
      </c>
      <c r="B136" t="s">
        <v>85</v>
      </c>
      <c r="C136" s="10">
        <v>-10</v>
      </c>
      <c r="D136" t="s">
        <v>394</v>
      </c>
      <c r="E136" s="2">
        <f>J136</f>
        <v>46206</v>
      </c>
      <c r="F136" s="3">
        <f t="shared" si="38"/>
        <v>0.98125000000000007</v>
      </c>
      <c r="G136" t="s">
        <v>153</v>
      </c>
      <c r="H136" t="s">
        <v>154</v>
      </c>
      <c r="I136" t="s">
        <v>89</v>
      </c>
      <c r="J136" s="2">
        <v>46206</v>
      </c>
      <c r="K136" s="1">
        <v>0.99305555555555547</v>
      </c>
      <c r="L136" s="10">
        <f t="shared" si="34"/>
        <v>16.99999999999978</v>
      </c>
      <c r="M136" s="1" t="str">
        <f t="shared" si="17"/>
        <v>On Time</v>
      </c>
      <c r="N136" s="27" t="str">
        <f t="shared" si="35"/>
        <v>Ryanair</v>
      </c>
      <c r="O136" s="3" t="s">
        <v>1385</v>
      </c>
      <c r="P136" s="20">
        <f t="shared" si="36"/>
        <v>23</v>
      </c>
      <c r="Q136" s="3" t="s">
        <v>1385</v>
      </c>
      <c r="R136" s="23" t="str">
        <f t="shared" si="37"/>
        <v>Friday</v>
      </c>
      <c r="S136" s="3" t="s">
        <v>1385</v>
      </c>
      <c r="T136" s="23" t="s">
        <v>85</v>
      </c>
      <c r="U136" s="3" t="s">
        <v>1385</v>
      </c>
      <c r="W136" s="32">
        <f>IF(OR(ISNA(W29), ISNA(Z29)), "", W29)</f>
        <v>19100000</v>
      </c>
      <c r="X136" s="33">
        <f t="shared" si="40"/>
        <v>1968</v>
      </c>
      <c r="Y136" s="34">
        <f t="shared" si="41"/>
        <v>670</v>
      </c>
      <c r="Z136" s="32">
        <f>IF(OR(ISNA(W29), ISNA(Z29)), "", Z29)</f>
        <v>-5.0000000000001421</v>
      </c>
      <c r="AA136" s="33">
        <f t="shared" si="42"/>
        <v>10.999999999999961</v>
      </c>
      <c r="AB136" s="34">
        <f t="shared" si="43"/>
        <v>10.999999999999961</v>
      </c>
      <c r="AO136" s="15"/>
      <c r="AP136" s="15"/>
      <c r="AQ136" s="15"/>
      <c r="AR136" s="23"/>
      <c r="AS136" s="15"/>
      <c r="AT136" s="15"/>
      <c r="AU136" s="23"/>
      <c r="AV136" s="23"/>
    </row>
    <row r="137" spans="1:48" x14ac:dyDescent="0.25">
      <c r="A137" t="s">
        <v>395</v>
      </c>
      <c r="B137" t="s">
        <v>85</v>
      </c>
      <c r="C137" s="10">
        <v>-12</v>
      </c>
      <c r="D137" t="s">
        <v>396</v>
      </c>
      <c r="E137" s="2">
        <v>46206</v>
      </c>
      <c r="F137" s="3">
        <f t="shared" si="38"/>
        <v>0.99305555555555547</v>
      </c>
      <c r="G137" t="s">
        <v>34</v>
      </c>
      <c r="H137" t="s">
        <v>161</v>
      </c>
      <c r="I137" t="s">
        <v>89</v>
      </c>
      <c r="J137" s="2">
        <v>46207</v>
      </c>
      <c r="K137" s="1">
        <v>6.9444444444444441E-3</v>
      </c>
      <c r="L137" s="10">
        <f t="shared" si="34"/>
        <v>20.000000000000089</v>
      </c>
      <c r="M137" s="1" t="str">
        <f t="shared" si="17"/>
        <v>On Time</v>
      </c>
      <c r="N137" s="27" t="str">
        <f t="shared" si="35"/>
        <v>Ryanair</v>
      </c>
      <c r="O137" s="3" t="s">
        <v>1385</v>
      </c>
      <c r="P137" s="20">
        <f t="shared" si="36"/>
        <v>23</v>
      </c>
      <c r="Q137" s="3" t="s">
        <v>1385</v>
      </c>
      <c r="R137" s="23" t="str">
        <f t="shared" si="37"/>
        <v>Friday</v>
      </c>
      <c r="S137" s="3" t="s">
        <v>1385</v>
      </c>
      <c r="T137" s="23" t="s">
        <v>85</v>
      </c>
      <c r="U137" s="3" t="s">
        <v>1385</v>
      </c>
      <c r="W137" s="32">
        <f t="shared" ref="W137:W149" si="44">IF(OR(ISNA(W31), ISNA(Z31)), "", W31)</f>
        <v>6800000</v>
      </c>
      <c r="X137" s="33">
        <f t="shared" si="40"/>
        <v>1234</v>
      </c>
      <c r="Y137" s="34">
        <f t="shared" si="41"/>
        <v>613</v>
      </c>
      <c r="Z137" s="32">
        <f t="shared" ref="Z137:Z149" si="45">IF(OR(ISNA(W31), ISNA(Z31)), "", Z31)</f>
        <v>5.9999999999998188</v>
      </c>
      <c r="AA137" s="33">
        <f t="shared" si="42"/>
        <v>-5.0000000000001421</v>
      </c>
      <c r="AB137" s="34">
        <f t="shared" si="43"/>
        <v>-5.0000000000001421</v>
      </c>
      <c r="AO137" s="15"/>
      <c r="AP137" s="15"/>
      <c r="AQ137" s="15"/>
      <c r="AR137" s="23"/>
      <c r="AS137" s="15"/>
      <c r="AT137" s="15"/>
      <c r="AU137" s="23"/>
      <c r="AV137" s="23"/>
    </row>
    <row r="138" spans="1:48" x14ac:dyDescent="0.25">
      <c r="A138" t="s">
        <v>6</v>
      </c>
      <c r="B138" t="s">
        <v>7</v>
      </c>
      <c r="C138" s="10">
        <v>-110</v>
      </c>
      <c r="D138" t="s">
        <v>397</v>
      </c>
      <c r="E138" s="2">
        <f>J138</f>
        <v>46207</v>
      </c>
      <c r="F138" s="3">
        <f t="shared" si="38"/>
        <v>8.3333333333333329E-2</v>
      </c>
      <c r="G138" t="s">
        <v>9</v>
      </c>
      <c r="H138" t="s">
        <v>10</v>
      </c>
      <c r="I138" t="s">
        <v>11</v>
      </c>
      <c r="J138" s="2">
        <v>46207</v>
      </c>
      <c r="K138" s="1">
        <v>2.0833333333333332E-2</v>
      </c>
      <c r="L138" s="10">
        <f t="shared" si="34"/>
        <v>-90</v>
      </c>
      <c r="M138" s="1" t="str">
        <f t="shared" si="17"/>
        <v>Delayed</v>
      </c>
      <c r="N138" s="27" t="str">
        <f t="shared" si="35"/>
        <v>airBaltic</v>
      </c>
      <c r="O138" s="3" t="s">
        <v>1318</v>
      </c>
      <c r="P138" s="20">
        <f t="shared" si="36"/>
        <v>2</v>
      </c>
      <c r="Q138" s="3" t="s">
        <v>1318</v>
      </c>
      <c r="R138" s="23" t="str">
        <f t="shared" si="37"/>
        <v>Saturday</v>
      </c>
      <c r="S138" s="3" t="s">
        <v>1318</v>
      </c>
      <c r="T138" s="23" t="s">
        <v>7</v>
      </c>
      <c r="U138" s="3" t="s">
        <v>1318</v>
      </c>
      <c r="W138" s="32">
        <f t="shared" si="44"/>
        <v>1500000</v>
      </c>
      <c r="X138" s="33">
        <f t="shared" si="40"/>
        <v>1250</v>
      </c>
      <c r="Y138" s="34">
        <f t="shared" si="41"/>
        <v>120</v>
      </c>
      <c r="Z138" s="32">
        <f t="shared" si="45"/>
        <v>6.9999999999999751</v>
      </c>
      <c r="AA138" s="33">
        <f t="shared" si="42"/>
        <v>-16.99999999999994</v>
      </c>
      <c r="AB138" s="34">
        <f t="shared" si="43"/>
        <v>-16.99999999999994</v>
      </c>
      <c r="AO138" s="15"/>
      <c r="AP138" s="15"/>
      <c r="AQ138" s="15"/>
      <c r="AR138" s="23"/>
      <c r="AS138" s="15"/>
      <c r="AT138" s="15"/>
      <c r="AU138" s="23"/>
      <c r="AV138" s="23"/>
    </row>
    <row r="139" spans="1:48" x14ac:dyDescent="0.25">
      <c r="A139" t="s">
        <v>18</v>
      </c>
      <c r="B139" t="s">
        <v>19</v>
      </c>
      <c r="C139" s="10">
        <v>-25</v>
      </c>
      <c r="D139" t="s">
        <v>398</v>
      </c>
      <c r="E139" s="2">
        <f t="shared" ref="E139:E195" si="46">J139</f>
        <v>46207</v>
      </c>
      <c r="F139" s="3">
        <f t="shared" si="38"/>
        <v>2.9861111111111113E-2</v>
      </c>
      <c r="G139" t="s">
        <v>21</v>
      </c>
      <c r="H139" t="s">
        <v>22</v>
      </c>
      <c r="I139" t="s">
        <v>276</v>
      </c>
      <c r="J139" s="2">
        <v>46207</v>
      </c>
      <c r="K139" s="1">
        <v>2.7777777777777776E-2</v>
      </c>
      <c r="L139" s="10">
        <f t="shared" si="34"/>
        <v>-3.0000000000000044</v>
      </c>
      <c r="M139" s="1" t="str">
        <f t="shared" si="17"/>
        <v>On Time</v>
      </c>
      <c r="N139" s="27" t="str">
        <f t="shared" si="35"/>
        <v>LOT</v>
      </c>
      <c r="O139" s="3" t="s">
        <v>1385</v>
      </c>
      <c r="P139" s="20">
        <f t="shared" si="36"/>
        <v>0</v>
      </c>
      <c r="Q139" s="3" t="s">
        <v>1385</v>
      </c>
      <c r="R139" s="23" t="str">
        <f t="shared" si="37"/>
        <v>Saturday</v>
      </c>
      <c r="S139" s="3" t="s">
        <v>1385</v>
      </c>
      <c r="T139" s="23" t="s">
        <v>19</v>
      </c>
      <c r="U139" s="3" t="s">
        <v>1385</v>
      </c>
      <c r="W139" s="32">
        <f t="shared" si="44"/>
        <v>1700000</v>
      </c>
      <c r="X139" s="33">
        <f t="shared" si="40"/>
        <v>1324</v>
      </c>
      <c r="Y139" s="34">
        <f t="shared" si="41"/>
        <v>330</v>
      </c>
      <c r="Z139" s="32">
        <f t="shared" si="45"/>
        <v>26.999999999999904</v>
      </c>
      <c r="AA139" s="33">
        <f t="shared" si="42"/>
        <v>5.9999999999998188</v>
      </c>
      <c r="AB139" s="34">
        <f t="shared" si="43"/>
        <v>5.9999999999998188</v>
      </c>
      <c r="AO139" s="15"/>
      <c r="AP139" s="15"/>
      <c r="AQ139" s="15"/>
      <c r="AR139" s="23"/>
      <c r="AS139" s="15"/>
      <c r="AT139" s="15"/>
      <c r="AU139" s="23"/>
      <c r="AV139" s="23"/>
    </row>
    <row r="140" spans="1:48" x14ac:dyDescent="0.25">
      <c r="A140" t="s">
        <v>163</v>
      </c>
      <c r="B140" t="s">
        <v>13</v>
      </c>
      <c r="C140" s="10">
        <v>-16</v>
      </c>
      <c r="D140" t="s">
        <v>399</v>
      </c>
      <c r="E140" s="2">
        <f t="shared" si="46"/>
        <v>46207</v>
      </c>
      <c r="F140" s="3">
        <f t="shared" si="38"/>
        <v>1.8055555555555557E-2</v>
      </c>
      <c r="G140" t="s">
        <v>165</v>
      </c>
      <c r="H140" t="s">
        <v>166</v>
      </c>
      <c r="I140" t="s">
        <v>17</v>
      </c>
      <c r="J140" s="2">
        <v>46207</v>
      </c>
      <c r="K140" s="1">
        <v>2.7777777777777776E-2</v>
      </c>
      <c r="L140" s="10">
        <f t="shared" si="34"/>
        <v>13.999999999999995</v>
      </c>
      <c r="M140" s="1" t="str">
        <f t="shared" si="17"/>
        <v>On Time</v>
      </c>
      <c r="N140" s="27" t="str">
        <f t="shared" si="35"/>
        <v>Wizz Air</v>
      </c>
      <c r="O140" s="3" t="s">
        <v>1385</v>
      </c>
      <c r="P140" s="20">
        <f t="shared" si="36"/>
        <v>0</v>
      </c>
      <c r="Q140" s="3" t="s">
        <v>1385</v>
      </c>
      <c r="R140" s="23" t="str">
        <f t="shared" si="37"/>
        <v>Saturday</v>
      </c>
      <c r="S140" s="3" t="s">
        <v>1385</v>
      </c>
      <c r="T140" s="23" t="s">
        <v>13</v>
      </c>
      <c r="U140" s="3" t="s">
        <v>1385</v>
      </c>
      <c r="W140" s="32">
        <f t="shared" si="44"/>
        <v>130000</v>
      </c>
      <c r="X140" s="33">
        <f t="shared" si="40"/>
        <v>2307</v>
      </c>
      <c r="Y140" s="34">
        <f t="shared" si="41"/>
        <v>4300</v>
      </c>
      <c r="Z140" s="32">
        <f t="shared" si="45"/>
        <v>0.99999999999999645</v>
      </c>
      <c r="AA140" s="33">
        <f t="shared" si="42"/>
        <v>6.9999999999999751</v>
      </c>
      <c r="AB140" s="34">
        <f t="shared" si="43"/>
        <v>6.9999999999999751</v>
      </c>
      <c r="AO140" s="15"/>
      <c r="AP140" s="15"/>
      <c r="AQ140" s="15"/>
      <c r="AR140" s="23"/>
      <c r="AS140" s="15"/>
      <c r="AT140" s="15"/>
      <c r="AU140" s="23"/>
      <c r="AV140" s="23"/>
    </row>
    <row r="141" spans="1:48" x14ac:dyDescent="0.25">
      <c r="A141" t="s">
        <v>400</v>
      </c>
      <c r="B141" t="s">
        <v>7</v>
      </c>
      <c r="D141" t="s">
        <v>401</v>
      </c>
      <c r="E141" s="2">
        <f t="shared" si="46"/>
        <v>46207</v>
      </c>
      <c r="F141" s="3">
        <f t="shared" si="38"/>
        <v>8.6111111111111124E-2</v>
      </c>
      <c r="G141" t="s">
        <v>9</v>
      </c>
      <c r="H141" t="s">
        <v>10</v>
      </c>
      <c r="I141" t="s">
        <v>11</v>
      </c>
      <c r="J141" s="2">
        <v>46207</v>
      </c>
      <c r="K141" s="1">
        <v>2.9861111111111113E-2</v>
      </c>
      <c r="L141" s="10">
        <f t="shared" si="34"/>
        <v>-81.000000000000014</v>
      </c>
      <c r="M141" s="1" t="str">
        <f t="shared" si="17"/>
        <v>Delayed</v>
      </c>
      <c r="N141" s="27" t="str">
        <f t="shared" si="35"/>
        <v>airBaltic</v>
      </c>
      <c r="O141" s="3" t="s">
        <v>1318</v>
      </c>
      <c r="P141" s="20">
        <f t="shared" si="36"/>
        <v>2</v>
      </c>
      <c r="Q141" s="3" t="s">
        <v>1318</v>
      </c>
      <c r="R141" s="23" t="str">
        <f t="shared" si="37"/>
        <v>Saturday</v>
      </c>
      <c r="S141" s="3" t="s">
        <v>1318</v>
      </c>
      <c r="T141" s="23" t="s">
        <v>7</v>
      </c>
      <c r="U141" s="3" t="s">
        <v>1318</v>
      </c>
      <c r="W141" s="32">
        <f t="shared" si="44"/>
        <v>59400000</v>
      </c>
      <c r="X141" s="33">
        <f t="shared" si="40"/>
        <v>3365</v>
      </c>
      <c r="Y141" s="34">
        <f t="shared" si="41"/>
        <v>150</v>
      </c>
      <c r="Z141" s="32">
        <f t="shared" si="45"/>
        <v>1.9999999999999929</v>
      </c>
      <c r="AA141" s="33">
        <f t="shared" si="42"/>
        <v>26.999999999999904</v>
      </c>
      <c r="AB141" s="34">
        <f t="shared" si="43"/>
        <v>26.999999999999904</v>
      </c>
      <c r="AO141" s="15"/>
      <c r="AP141" s="15"/>
      <c r="AQ141" s="15"/>
      <c r="AR141" s="23"/>
      <c r="AS141" s="15"/>
      <c r="AT141" s="15"/>
      <c r="AU141" s="23"/>
      <c r="AV141" s="23"/>
    </row>
    <row r="142" spans="1:48" x14ac:dyDescent="0.25">
      <c r="A142" t="s">
        <v>402</v>
      </c>
      <c r="B142" t="s">
        <v>13</v>
      </c>
      <c r="C142" s="10">
        <v>-27</v>
      </c>
      <c r="D142" t="s">
        <v>403</v>
      </c>
      <c r="E142" s="2">
        <f t="shared" si="46"/>
        <v>46207</v>
      </c>
      <c r="F142" s="3">
        <f t="shared" si="38"/>
        <v>4.2361111111111106E-2</v>
      </c>
      <c r="G142" t="s">
        <v>404</v>
      </c>
      <c r="H142" t="s">
        <v>405</v>
      </c>
      <c r="I142" t="s">
        <v>17</v>
      </c>
      <c r="J142" s="2">
        <v>46207</v>
      </c>
      <c r="K142" s="1">
        <v>4.5138888888888888E-2</v>
      </c>
      <c r="L142" s="10">
        <f t="shared" si="34"/>
        <v>4.0000000000000053</v>
      </c>
      <c r="M142" s="1" t="str">
        <f t="shared" si="17"/>
        <v>On Time</v>
      </c>
      <c r="N142" s="27" t="str">
        <f t="shared" si="35"/>
        <v>Wizz Air</v>
      </c>
      <c r="O142" s="3" t="s">
        <v>1385</v>
      </c>
      <c r="P142" s="20">
        <f t="shared" si="36"/>
        <v>1</v>
      </c>
      <c r="Q142" s="3" t="s">
        <v>1385</v>
      </c>
      <c r="R142" s="23" t="str">
        <f t="shared" si="37"/>
        <v>Saturday</v>
      </c>
      <c r="S142" s="3" t="s">
        <v>1385</v>
      </c>
      <c r="T142" s="23" t="s">
        <v>13</v>
      </c>
      <c r="U142" s="3" t="s">
        <v>1385</v>
      </c>
      <c r="W142" s="32">
        <f t="shared" si="44"/>
        <v>1700000</v>
      </c>
      <c r="X142" s="33">
        <f t="shared" si="40"/>
        <v>1387</v>
      </c>
      <c r="Y142" s="34">
        <f t="shared" si="41"/>
        <v>160</v>
      </c>
      <c r="Z142" s="32">
        <f t="shared" si="45"/>
        <v>17.999999999999936</v>
      </c>
      <c r="AA142" s="33">
        <f t="shared" si="42"/>
        <v>0.99999999999999645</v>
      </c>
      <c r="AB142" s="34">
        <f t="shared" si="43"/>
        <v>0.99999999999999645</v>
      </c>
      <c r="AO142" s="15"/>
      <c r="AP142" s="15"/>
      <c r="AQ142" s="15"/>
      <c r="AR142" s="23"/>
      <c r="AS142" s="15"/>
      <c r="AT142" s="15"/>
      <c r="AU142" s="23"/>
      <c r="AV142" s="23"/>
    </row>
    <row r="143" spans="1:48" x14ac:dyDescent="0.25">
      <c r="A143" t="s">
        <v>32</v>
      </c>
      <c r="B143" t="s">
        <v>13</v>
      </c>
      <c r="C143" s="10">
        <v>-56</v>
      </c>
      <c r="D143" t="s">
        <v>406</v>
      </c>
      <c r="E143" s="2">
        <f t="shared" si="46"/>
        <v>46207</v>
      </c>
      <c r="F143" s="3">
        <f t="shared" si="38"/>
        <v>7.8472222222222221E-2</v>
      </c>
      <c r="G143" t="s">
        <v>34</v>
      </c>
      <c r="H143" t="s">
        <v>35</v>
      </c>
      <c r="I143" t="s">
        <v>17</v>
      </c>
      <c r="J143" s="2">
        <v>46207</v>
      </c>
      <c r="K143" s="1">
        <v>5.5555555555555552E-2</v>
      </c>
      <c r="L143" s="10">
        <f t="shared" si="34"/>
        <v>-33</v>
      </c>
      <c r="M143" s="1" t="str">
        <f t="shared" si="17"/>
        <v>Delayed</v>
      </c>
      <c r="N143" s="27" t="str">
        <f t="shared" si="35"/>
        <v>Wizz Air</v>
      </c>
      <c r="O143" s="3" t="s">
        <v>1318</v>
      </c>
      <c r="P143" s="20">
        <f t="shared" si="36"/>
        <v>1</v>
      </c>
      <c r="Q143" s="3" t="s">
        <v>1318</v>
      </c>
      <c r="R143" s="23" t="str">
        <f t="shared" si="37"/>
        <v>Saturday</v>
      </c>
      <c r="S143" s="3" t="s">
        <v>1318</v>
      </c>
      <c r="T143" s="23" t="s">
        <v>13</v>
      </c>
      <c r="U143" s="3" t="s">
        <v>1318</v>
      </c>
      <c r="W143" s="32">
        <f t="shared" si="44"/>
        <v>4800000</v>
      </c>
      <c r="X143" s="33">
        <f t="shared" si="40"/>
        <v>1182</v>
      </c>
      <c r="Y143" s="34">
        <f t="shared" si="41"/>
        <v>2300</v>
      </c>
      <c r="Z143" s="32">
        <f t="shared" si="45"/>
        <v>5.0000000000000222</v>
      </c>
      <c r="AA143" s="33">
        <f t="shared" si="42"/>
        <v>1.9999999999999929</v>
      </c>
      <c r="AB143" s="34">
        <f t="shared" si="43"/>
        <v>1.9999999999999929</v>
      </c>
      <c r="AO143" s="15"/>
      <c r="AP143" s="15"/>
      <c r="AQ143" s="15"/>
      <c r="AR143" s="23"/>
      <c r="AS143" s="15"/>
      <c r="AT143" s="15"/>
      <c r="AU143" s="23"/>
      <c r="AV143" s="23"/>
    </row>
    <row r="144" spans="1:48" x14ac:dyDescent="0.25">
      <c r="A144" t="s">
        <v>36</v>
      </c>
      <c r="B144" t="s">
        <v>7</v>
      </c>
      <c r="C144" s="10">
        <v>-43</v>
      </c>
      <c r="D144" t="s">
        <v>407</v>
      </c>
      <c r="E144" s="2">
        <f t="shared" si="46"/>
        <v>46207</v>
      </c>
      <c r="F144" s="3">
        <f t="shared" si="38"/>
        <v>6.5972222222222224E-2</v>
      </c>
      <c r="G144" t="s">
        <v>38</v>
      </c>
      <c r="H144" t="s">
        <v>39</v>
      </c>
      <c r="I144" t="s">
        <v>11</v>
      </c>
      <c r="J144" s="2">
        <v>46207</v>
      </c>
      <c r="K144" s="1">
        <v>5.9027777777777783E-2</v>
      </c>
      <c r="L144" s="10">
        <f t="shared" si="34"/>
        <v>-9.9999999999999947</v>
      </c>
      <c r="M144" s="1" t="str">
        <f t="shared" si="17"/>
        <v>On Time</v>
      </c>
      <c r="N144" s="27" t="str">
        <f t="shared" si="35"/>
        <v>airBaltic</v>
      </c>
      <c r="O144" s="3" t="s">
        <v>1385</v>
      </c>
      <c r="P144" s="20">
        <f t="shared" si="36"/>
        <v>1</v>
      </c>
      <c r="Q144" s="3" t="s">
        <v>1385</v>
      </c>
      <c r="R144" s="23" t="str">
        <f t="shared" si="37"/>
        <v>Saturday</v>
      </c>
      <c r="S144" s="3" t="s">
        <v>1385</v>
      </c>
      <c r="T144" s="23" t="s">
        <v>7</v>
      </c>
      <c r="U144" s="3" t="s">
        <v>1385</v>
      </c>
      <c r="W144" s="32">
        <f t="shared" si="44"/>
        <v>5900000</v>
      </c>
      <c r="X144" s="33">
        <f t="shared" si="40"/>
        <v>1273</v>
      </c>
      <c r="Y144" s="34">
        <f t="shared" si="41"/>
        <v>560</v>
      </c>
      <c r="Z144" s="32">
        <f t="shared" si="45"/>
        <v>12.500000000000036</v>
      </c>
      <c r="AA144" s="33">
        <f t="shared" si="42"/>
        <v>17.999999999999936</v>
      </c>
      <c r="AB144" s="34">
        <f t="shared" si="43"/>
        <v>17.999999999999936</v>
      </c>
      <c r="AO144" s="15"/>
      <c r="AP144" s="15"/>
      <c r="AQ144" s="15"/>
      <c r="AR144" s="23"/>
      <c r="AS144" s="15"/>
      <c r="AT144" s="15"/>
      <c r="AU144" s="23"/>
      <c r="AV144" s="23"/>
    </row>
    <row r="145" spans="1:48" x14ac:dyDescent="0.25">
      <c r="A145" t="s">
        <v>40</v>
      </c>
      <c r="B145" t="s">
        <v>41</v>
      </c>
      <c r="C145" s="10">
        <v>-18</v>
      </c>
      <c r="D145" t="s">
        <v>408</v>
      </c>
      <c r="E145" s="2">
        <f t="shared" si="46"/>
        <v>46207</v>
      </c>
      <c r="F145" s="3">
        <f t="shared" si="38"/>
        <v>5.9027777777777783E-2</v>
      </c>
      <c r="G145" t="s">
        <v>43</v>
      </c>
      <c r="H145" t="s">
        <v>44</v>
      </c>
      <c r="I145" t="s">
        <v>45</v>
      </c>
      <c r="J145" s="2">
        <v>46207</v>
      </c>
      <c r="K145" s="1">
        <v>5.9027777777777783E-2</v>
      </c>
      <c r="L145" s="10">
        <f t="shared" si="34"/>
        <v>0</v>
      </c>
      <c r="M145" s="1" t="str">
        <f t="shared" si="17"/>
        <v>On Time</v>
      </c>
      <c r="N145" s="27" t="str">
        <f t="shared" si="35"/>
        <v>SAS</v>
      </c>
      <c r="O145" s="3" t="s">
        <v>1385</v>
      </c>
      <c r="P145" s="20">
        <f t="shared" si="36"/>
        <v>1</v>
      </c>
      <c r="Q145" s="3" t="s">
        <v>1385</v>
      </c>
      <c r="R145" s="23" t="str">
        <f t="shared" si="37"/>
        <v>Saturday</v>
      </c>
      <c r="S145" s="3" t="s">
        <v>1385</v>
      </c>
      <c r="T145" s="23" t="s">
        <v>41</v>
      </c>
      <c r="U145" s="3" t="s">
        <v>1385</v>
      </c>
      <c r="W145" s="32">
        <f t="shared" si="44"/>
        <v>1300000</v>
      </c>
      <c r="X145" s="33">
        <f t="shared" si="40"/>
        <v>3923</v>
      </c>
      <c r="Y145" s="34">
        <f t="shared" si="41"/>
        <v>100</v>
      </c>
      <c r="Z145" s="32">
        <f t="shared" si="45"/>
        <v>-3.0000000000001492</v>
      </c>
      <c r="AA145" s="33">
        <f t="shared" si="42"/>
        <v>5.0000000000000222</v>
      </c>
      <c r="AB145" s="34">
        <f t="shared" si="43"/>
        <v>5.0000000000000222</v>
      </c>
      <c r="AO145" s="15"/>
      <c r="AP145" s="15"/>
      <c r="AQ145" s="15"/>
      <c r="AR145" s="23"/>
      <c r="AS145" s="15"/>
      <c r="AT145" s="15"/>
      <c r="AU145" s="23"/>
      <c r="AV145" s="23"/>
    </row>
    <row r="146" spans="1:48" x14ac:dyDescent="0.25">
      <c r="A146" t="s">
        <v>409</v>
      </c>
      <c r="B146" t="s">
        <v>96</v>
      </c>
      <c r="C146" s="10" t="e">
        <f>NA()</f>
        <v>#N/A</v>
      </c>
      <c r="D146" t="s">
        <v>242</v>
      </c>
      <c r="E146" s="2">
        <f t="shared" si="46"/>
        <v>46207</v>
      </c>
      <c r="F146" s="3" t="e">
        <f t="shared" si="38"/>
        <v>#N/A</v>
      </c>
      <c r="G146" t="s">
        <v>98</v>
      </c>
      <c r="H146" t="s">
        <v>99</v>
      </c>
      <c r="I146" t="s">
        <v>123</v>
      </c>
      <c r="J146" s="2">
        <v>46207</v>
      </c>
      <c r="K146" s="1">
        <v>0.31597222222222221</v>
      </c>
      <c r="L146" s="10" t="e">
        <f t="shared" si="34"/>
        <v>#N/A</v>
      </c>
      <c r="M146" s="1" t="e">
        <f t="shared" si="17"/>
        <v>#N/A</v>
      </c>
      <c r="N146" s="27" t="str">
        <f t="shared" si="35"/>
        <v>Turkish Airlines</v>
      </c>
      <c r="O146" s="3" t="e">
        <v>#N/A</v>
      </c>
      <c r="P146" s="20" t="e">
        <f t="shared" si="36"/>
        <v>#N/A</v>
      </c>
      <c r="Q146" s="3" t="e">
        <v>#N/A</v>
      </c>
      <c r="R146" s="23" t="str">
        <f t="shared" si="37"/>
        <v>Saturday</v>
      </c>
      <c r="S146" s="3" t="e">
        <v>#N/A</v>
      </c>
      <c r="T146" s="23" t="s">
        <v>96</v>
      </c>
      <c r="W146" s="32">
        <f t="shared" si="44"/>
        <v>13600000</v>
      </c>
      <c r="X146" s="33">
        <f t="shared" si="40"/>
        <v>428</v>
      </c>
      <c r="Y146" s="34">
        <f t="shared" si="41"/>
        <v>240</v>
      </c>
      <c r="Z146" s="32">
        <f t="shared" si="45"/>
        <v>10.999999999999961</v>
      </c>
      <c r="AA146" s="33">
        <f t="shared" si="42"/>
        <v>12.500000000000036</v>
      </c>
      <c r="AB146" s="34">
        <f t="shared" si="43"/>
        <v>12.500000000000036</v>
      </c>
      <c r="AO146" s="15"/>
      <c r="AP146" s="15"/>
      <c r="AQ146" s="15"/>
      <c r="AR146" s="23"/>
      <c r="AS146" s="15"/>
      <c r="AT146" s="15"/>
      <c r="AU146" s="23"/>
      <c r="AV146" s="23"/>
    </row>
    <row r="147" spans="1:48" x14ac:dyDescent="0.25">
      <c r="A147" t="s">
        <v>60</v>
      </c>
      <c r="B147" t="s">
        <v>7</v>
      </c>
      <c r="C147" s="10">
        <v>-88</v>
      </c>
      <c r="D147" t="s">
        <v>410</v>
      </c>
      <c r="E147" s="2">
        <f t="shared" si="46"/>
        <v>46207</v>
      </c>
      <c r="F147" s="3">
        <f t="shared" si="38"/>
        <v>0.40763888888888888</v>
      </c>
      <c r="G147" t="s">
        <v>9</v>
      </c>
      <c r="H147" t="s">
        <v>10</v>
      </c>
      <c r="I147" t="s">
        <v>11</v>
      </c>
      <c r="J147" s="2">
        <v>46207</v>
      </c>
      <c r="K147" s="1">
        <v>0.3611111111111111</v>
      </c>
      <c r="L147" s="10">
        <f t="shared" si="34"/>
        <v>-67</v>
      </c>
      <c r="M147" s="1" t="str">
        <f t="shared" ref="M147:M210" si="47">IF(L147&gt;=-15, "On Time", "Delayed")</f>
        <v>Delayed</v>
      </c>
      <c r="N147" s="27" t="str">
        <f t="shared" si="35"/>
        <v>airBaltic</v>
      </c>
      <c r="O147" s="3" t="s">
        <v>1318</v>
      </c>
      <c r="P147" s="20">
        <f t="shared" si="36"/>
        <v>9</v>
      </c>
      <c r="Q147" s="3" t="s">
        <v>1318</v>
      </c>
      <c r="R147" s="23" t="str">
        <f t="shared" si="37"/>
        <v>Saturday</v>
      </c>
      <c r="S147" s="3" t="s">
        <v>1318</v>
      </c>
      <c r="T147" s="23" t="s">
        <v>7</v>
      </c>
      <c r="U147" s="3" t="s">
        <v>1318</v>
      </c>
      <c r="W147" s="32">
        <f t="shared" si="44"/>
        <v>8700000</v>
      </c>
      <c r="X147" s="33">
        <f t="shared" si="40"/>
        <v>1570</v>
      </c>
      <c r="Y147" s="34">
        <f t="shared" si="41"/>
        <v>145</v>
      </c>
      <c r="Z147" s="32">
        <f t="shared" si="45"/>
        <v>-6.9999999999999751</v>
      </c>
      <c r="AA147" s="33">
        <f t="shared" si="42"/>
        <v>-3.0000000000001492</v>
      </c>
      <c r="AB147" s="34">
        <f t="shared" si="43"/>
        <v>-3.0000000000001492</v>
      </c>
      <c r="AO147" s="15"/>
      <c r="AP147" s="15"/>
      <c r="AQ147" s="15"/>
      <c r="AR147" s="23"/>
      <c r="AS147" s="15"/>
      <c r="AT147" s="15"/>
      <c r="AU147" s="23"/>
      <c r="AV147" s="23"/>
    </row>
    <row r="148" spans="1:48" x14ac:dyDescent="0.25">
      <c r="A148" t="s">
        <v>68</v>
      </c>
      <c r="B148" t="s">
        <v>69</v>
      </c>
      <c r="C148" s="10">
        <v>-5</v>
      </c>
      <c r="D148" t="s">
        <v>411</v>
      </c>
      <c r="E148" s="2">
        <f t="shared" si="46"/>
        <v>46207</v>
      </c>
      <c r="F148" s="3">
        <f t="shared" si="38"/>
        <v>0.37986111111111115</v>
      </c>
      <c r="G148" t="s">
        <v>71</v>
      </c>
      <c r="H148" t="s">
        <v>72</v>
      </c>
      <c r="I148" t="s">
        <v>73</v>
      </c>
      <c r="J148" s="2">
        <v>46207</v>
      </c>
      <c r="K148" s="1">
        <v>0.3888888888888889</v>
      </c>
      <c r="L148" s="10">
        <f t="shared" si="34"/>
        <v>12.999999999999954</v>
      </c>
      <c r="M148" s="1" t="str">
        <f t="shared" si="47"/>
        <v>On Time</v>
      </c>
      <c r="N148" s="27" t="str">
        <f t="shared" si="35"/>
        <v>Finnair</v>
      </c>
      <c r="O148" s="3" t="s">
        <v>1385</v>
      </c>
      <c r="P148" s="20">
        <f t="shared" si="36"/>
        <v>9</v>
      </c>
      <c r="Q148" s="3" t="s">
        <v>1385</v>
      </c>
      <c r="R148" s="23" t="str">
        <f t="shared" si="37"/>
        <v>Saturday</v>
      </c>
      <c r="S148" s="3" t="s">
        <v>1385</v>
      </c>
      <c r="T148" s="23" t="s">
        <v>69</v>
      </c>
      <c r="U148" s="3" t="s">
        <v>1385</v>
      </c>
      <c r="W148" s="32">
        <f t="shared" si="44"/>
        <v>15300000</v>
      </c>
      <c r="X148" s="33">
        <f t="shared" si="40"/>
        <v>884</v>
      </c>
      <c r="Y148" s="34">
        <f t="shared" si="41"/>
        <v>570</v>
      </c>
      <c r="Z148" s="32">
        <f t="shared" si="45"/>
        <v>0</v>
      </c>
      <c r="AA148" s="33">
        <f t="shared" si="42"/>
        <v>10.999999999999961</v>
      </c>
      <c r="AB148" s="34">
        <f t="shared" si="43"/>
        <v>10.999999999999961</v>
      </c>
      <c r="AO148" s="15"/>
      <c r="AP148" s="15"/>
      <c r="AQ148" s="15"/>
      <c r="AR148" s="23"/>
      <c r="AS148" s="15"/>
      <c r="AT148" s="15"/>
      <c r="AU148" s="23"/>
      <c r="AV148" s="23"/>
    </row>
    <row r="149" spans="1:48" x14ac:dyDescent="0.25">
      <c r="A149" t="s">
        <v>74</v>
      </c>
      <c r="B149" t="s">
        <v>13</v>
      </c>
      <c r="C149" s="10">
        <v>8</v>
      </c>
      <c r="D149" t="s">
        <v>412</v>
      </c>
      <c r="E149" s="2">
        <f t="shared" si="46"/>
        <v>46207</v>
      </c>
      <c r="F149" s="3">
        <f t="shared" si="38"/>
        <v>0.3659722222222222</v>
      </c>
      <c r="G149" t="s">
        <v>76</v>
      </c>
      <c r="H149" t="s">
        <v>77</v>
      </c>
      <c r="I149" t="s">
        <v>17</v>
      </c>
      <c r="J149" s="2">
        <v>46207</v>
      </c>
      <c r="K149" s="1">
        <v>0.3888888888888889</v>
      </c>
      <c r="L149" s="10">
        <f t="shared" si="34"/>
        <v>33.000000000000043</v>
      </c>
      <c r="M149" s="1" t="str">
        <f t="shared" si="47"/>
        <v>On Time</v>
      </c>
      <c r="N149" s="27" t="str">
        <f t="shared" si="35"/>
        <v>Wizz Air</v>
      </c>
      <c r="O149" s="3" t="s">
        <v>1385</v>
      </c>
      <c r="P149" s="20">
        <f t="shared" si="36"/>
        <v>8</v>
      </c>
      <c r="Q149" s="3" t="s">
        <v>1385</v>
      </c>
      <c r="R149" s="23" t="str">
        <f t="shared" si="37"/>
        <v>Saturday</v>
      </c>
      <c r="S149" s="3" t="s">
        <v>1385</v>
      </c>
      <c r="T149" s="23" t="s">
        <v>13</v>
      </c>
      <c r="U149" s="3" t="s">
        <v>1385</v>
      </c>
      <c r="W149" s="32">
        <f t="shared" si="44"/>
        <v>8000000</v>
      </c>
      <c r="X149" s="33">
        <f t="shared" si="40"/>
        <v>2126</v>
      </c>
      <c r="Y149" s="34">
        <f t="shared" si="41"/>
        <v>210</v>
      </c>
      <c r="Z149" s="32">
        <f t="shared" si="45"/>
        <v>123.99999999999996</v>
      </c>
      <c r="AA149" s="33">
        <f t="shared" si="42"/>
        <v>-6.9999999999999751</v>
      </c>
      <c r="AB149" s="34">
        <f t="shared" si="43"/>
        <v>-6.9999999999999751</v>
      </c>
      <c r="AO149" s="15"/>
      <c r="AP149" s="15"/>
      <c r="AQ149" s="15"/>
      <c r="AR149" s="23"/>
      <c r="AS149" s="15"/>
      <c r="AT149" s="15"/>
      <c r="AU149" s="23"/>
      <c r="AV149" s="23"/>
    </row>
    <row r="150" spans="1:48" x14ac:dyDescent="0.25">
      <c r="A150" t="s">
        <v>150</v>
      </c>
      <c r="B150" t="s">
        <v>151</v>
      </c>
      <c r="C150" s="10">
        <v>-2</v>
      </c>
      <c r="D150" t="s">
        <v>413</v>
      </c>
      <c r="E150" s="2">
        <f t="shared" si="46"/>
        <v>46207</v>
      </c>
      <c r="F150" s="3">
        <f t="shared" si="38"/>
        <v>0.38541666666666669</v>
      </c>
      <c r="G150" t="s">
        <v>153</v>
      </c>
      <c r="H150" t="s">
        <v>154</v>
      </c>
      <c r="I150" t="s">
        <v>155</v>
      </c>
      <c r="J150" s="2">
        <v>46207</v>
      </c>
      <c r="K150" s="1">
        <v>0.40277777777777773</v>
      </c>
      <c r="L150" s="10">
        <f t="shared" si="34"/>
        <v>24.999999999999911</v>
      </c>
      <c r="M150" s="1" t="str">
        <f t="shared" si="47"/>
        <v>On Time</v>
      </c>
      <c r="N150" s="27" t="e">
        <f t="shared" si="35"/>
        <v>#N/A</v>
      </c>
      <c r="O150" s="3" t="s">
        <v>1385</v>
      </c>
      <c r="P150" s="20">
        <f t="shared" si="36"/>
        <v>9</v>
      </c>
      <c r="Q150" s="3" t="s">
        <v>1385</v>
      </c>
      <c r="R150" s="23" t="str">
        <f t="shared" si="37"/>
        <v>Saturday</v>
      </c>
      <c r="S150" s="3" t="s">
        <v>1385</v>
      </c>
      <c r="T150" s="23" t="s">
        <v>151</v>
      </c>
      <c r="U150" s="3" t="s">
        <v>1385</v>
      </c>
      <c r="W150" s="32">
        <f>IF(OR(ISNA(W45), ISNA(Z45)), "", W45)</f>
        <v>80000000</v>
      </c>
      <c r="X150" s="33">
        <f t="shared" si="40"/>
        <v>627</v>
      </c>
      <c r="Y150" s="34">
        <f t="shared" si="41"/>
        <v>1800</v>
      </c>
      <c r="Z150" s="32">
        <f>IF(OR(ISNA(W45), ISNA(Z45)), "", Z45)</f>
        <v>7.9999999999999716</v>
      </c>
      <c r="AA150" s="33">
        <f t="shared" si="42"/>
        <v>0</v>
      </c>
      <c r="AB150" s="34">
        <f t="shared" si="43"/>
        <v>0</v>
      </c>
      <c r="AO150" s="15"/>
      <c r="AP150" s="15"/>
      <c r="AQ150" s="15"/>
      <c r="AR150" s="23"/>
      <c r="AS150" s="15"/>
      <c r="AT150" s="15"/>
      <c r="AU150" s="23"/>
      <c r="AV150" s="23"/>
    </row>
    <row r="151" spans="1:48" x14ac:dyDescent="0.25">
      <c r="A151" t="s">
        <v>184</v>
      </c>
      <c r="B151" t="s">
        <v>85</v>
      </c>
      <c r="C151" s="10">
        <v>2</v>
      </c>
      <c r="D151" t="s">
        <v>414</v>
      </c>
      <c r="E151" s="2">
        <f t="shared" si="46"/>
        <v>46207</v>
      </c>
      <c r="F151" s="3">
        <f t="shared" si="38"/>
        <v>0.40208333333333335</v>
      </c>
      <c r="G151" t="s">
        <v>153</v>
      </c>
      <c r="H151" t="s">
        <v>154</v>
      </c>
      <c r="I151" t="s">
        <v>89</v>
      </c>
      <c r="J151" s="2">
        <v>46207</v>
      </c>
      <c r="K151" s="1">
        <v>0.41319444444444442</v>
      </c>
      <c r="L151" s="10">
        <f t="shared" si="34"/>
        <v>15.999999999999943</v>
      </c>
      <c r="M151" s="1" t="str">
        <f t="shared" si="47"/>
        <v>On Time</v>
      </c>
      <c r="N151" s="27" t="str">
        <f t="shared" si="35"/>
        <v>Ryanair</v>
      </c>
      <c r="O151" s="3" t="s">
        <v>1385</v>
      </c>
      <c r="P151" s="20">
        <f t="shared" si="36"/>
        <v>9</v>
      </c>
      <c r="Q151" s="3" t="s">
        <v>1385</v>
      </c>
      <c r="R151" s="23" t="str">
        <f t="shared" si="37"/>
        <v>Saturday</v>
      </c>
      <c r="S151" s="3" t="s">
        <v>1385</v>
      </c>
      <c r="T151" s="23" t="s">
        <v>85</v>
      </c>
      <c r="U151" s="3" t="s">
        <v>1385</v>
      </c>
      <c r="W151" s="32">
        <f>IF(OR(ISNA(W46), ISNA(Z46)), "", W46)</f>
        <v>5600000</v>
      </c>
      <c r="X151" s="33">
        <f t="shared" si="40"/>
        <v>2987</v>
      </c>
      <c r="Y151" s="34">
        <f t="shared" si="41"/>
        <v>1200</v>
      </c>
      <c r="Z151" s="32">
        <f>IF(OR(ISNA(W46), ISNA(Z46)), "", Z46)</f>
        <v>-18.999999999999932</v>
      </c>
      <c r="AA151" s="33">
        <f t="shared" si="42"/>
        <v>123.99999999999996</v>
      </c>
      <c r="AB151" s="34">
        <f t="shared" si="43"/>
        <v>123.99999999999996</v>
      </c>
      <c r="AO151" s="15"/>
      <c r="AP151" s="15"/>
      <c r="AQ151" s="15"/>
      <c r="AR151" s="23"/>
      <c r="AS151" s="15"/>
      <c r="AT151" s="15"/>
      <c r="AU151" s="23"/>
      <c r="AV151" s="23"/>
    </row>
    <row r="152" spans="1:48" x14ac:dyDescent="0.25">
      <c r="A152" t="s">
        <v>90</v>
      </c>
      <c r="B152" t="s">
        <v>19</v>
      </c>
      <c r="C152" s="10">
        <v>-44</v>
      </c>
      <c r="D152" t="s">
        <v>415</v>
      </c>
      <c r="E152" s="2">
        <f t="shared" si="46"/>
        <v>46207</v>
      </c>
      <c r="F152" s="3">
        <f t="shared" si="38"/>
        <v>0.43541666666666662</v>
      </c>
      <c r="G152" t="s">
        <v>21</v>
      </c>
      <c r="H152" t="s">
        <v>22</v>
      </c>
      <c r="I152" t="s">
        <v>143</v>
      </c>
      <c r="J152" s="2">
        <v>46207</v>
      </c>
      <c r="K152" s="1">
        <v>0.4201388888888889</v>
      </c>
      <c r="L152" s="10">
        <f t="shared" si="34"/>
        <v>-21.999999999999922</v>
      </c>
      <c r="M152" s="1" t="str">
        <f t="shared" si="47"/>
        <v>Delayed</v>
      </c>
      <c r="N152" s="27" t="str">
        <f t="shared" si="35"/>
        <v>LOT</v>
      </c>
      <c r="O152" s="3" t="s">
        <v>1318</v>
      </c>
      <c r="P152" s="20">
        <f t="shared" si="36"/>
        <v>10</v>
      </c>
      <c r="Q152" s="3" t="s">
        <v>1318</v>
      </c>
      <c r="R152" s="23" t="str">
        <f t="shared" si="37"/>
        <v>Saturday</v>
      </c>
      <c r="S152" s="3" t="s">
        <v>1318</v>
      </c>
      <c r="T152" s="23" t="s">
        <v>19</v>
      </c>
      <c r="U152" s="3" t="s">
        <v>1318</v>
      </c>
      <c r="W152" s="32">
        <f>IF(OR(ISNA(W47), ISNA(Z47)), "", W47)</f>
        <v>1300000</v>
      </c>
      <c r="X152" s="33">
        <f t="shared" si="40"/>
        <v>1061</v>
      </c>
      <c r="Y152" s="34">
        <f t="shared" si="41"/>
        <v>360</v>
      </c>
      <c r="Z152" s="32">
        <f>IF(OR(ISNA(W47), ISNA(Z47)), "", Z47)</f>
        <v>-8.999999999999968</v>
      </c>
      <c r="AA152" s="33">
        <f t="shared" si="42"/>
        <v>-4.0000000000001457</v>
      </c>
      <c r="AB152" s="34">
        <f t="shared" si="43"/>
        <v>-4.0000000000001457</v>
      </c>
      <c r="AO152" s="15"/>
      <c r="AP152" s="15"/>
      <c r="AQ152" s="15"/>
      <c r="AR152" s="23"/>
      <c r="AS152" s="15"/>
      <c r="AT152" s="15"/>
      <c r="AU152" s="23"/>
      <c r="AV152" s="23"/>
    </row>
    <row r="153" spans="1:48" x14ac:dyDescent="0.25">
      <c r="A153" t="s">
        <v>319</v>
      </c>
      <c r="B153" t="s">
        <v>85</v>
      </c>
      <c r="C153" s="10">
        <v>-22</v>
      </c>
      <c r="D153" t="s">
        <v>416</v>
      </c>
      <c r="E153" s="2">
        <f t="shared" si="46"/>
        <v>46207</v>
      </c>
      <c r="F153" s="3">
        <f t="shared" si="38"/>
        <v>0.41805555555555557</v>
      </c>
      <c r="G153" t="s">
        <v>15</v>
      </c>
      <c r="H153" t="s">
        <v>16</v>
      </c>
      <c r="I153" t="s">
        <v>89</v>
      </c>
      <c r="J153" s="2">
        <v>46207</v>
      </c>
      <c r="K153" s="1">
        <v>0.42708333333333331</v>
      </c>
      <c r="L153" s="10">
        <f t="shared" si="34"/>
        <v>12.999999999999954</v>
      </c>
      <c r="M153" s="1" t="str">
        <f t="shared" si="47"/>
        <v>On Time</v>
      </c>
      <c r="N153" s="27" t="str">
        <f t="shared" si="35"/>
        <v>Ryanair</v>
      </c>
      <c r="O153" s="3" t="s">
        <v>1385</v>
      </c>
      <c r="P153" s="20">
        <f t="shared" si="36"/>
        <v>10</v>
      </c>
      <c r="Q153" s="3" t="s">
        <v>1385</v>
      </c>
      <c r="R153" s="23" t="str">
        <f t="shared" si="37"/>
        <v>Saturday</v>
      </c>
      <c r="S153" s="3" t="s">
        <v>1385</v>
      </c>
      <c r="T153" s="23" t="s">
        <v>85</v>
      </c>
      <c r="U153" s="3" t="s">
        <v>1385</v>
      </c>
      <c r="W153" s="32">
        <f t="shared" ref="W153:W160" si="48">IF(OR(ISNA(W49), ISNA(Z49)), "", W49)</f>
        <v>7800000</v>
      </c>
      <c r="X153" s="33">
        <f t="shared" si="40"/>
        <v>1380</v>
      </c>
      <c r="Y153" s="34">
        <f t="shared" si="41"/>
        <v>7650</v>
      </c>
      <c r="Z153" s="32">
        <f t="shared" ref="Z153:Z160" si="49">IF(OR(ISNA(W49), ISNA(Z49)), "", Z49)</f>
        <v>6.4999999999999867</v>
      </c>
      <c r="AA153" s="33">
        <f t="shared" si="42"/>
        <v>7.9999999999999716</v>
      </c>
      <c r="AB153" s="34">
        <f t="shared" si="43"/>
        <v>7.9999999999999716</v>
      </c>
      <c r="AO153" s="15"/>
      <c r="AP153" s="15"/>
      <c r="AQ153" s="15"/>
      <c r="AR153" s="23"/>
      <c r="AS153" s="15"/>
      <c r="AT153" s="15"/>
      <c r="AU153" s="23"/>
      <c r="AV153" s="23"/>
    </row>
    <row r="154" spans="1:48" x14ac:dyDescent="0.25">
      <c r="A154" t="s">
        <v>95</v>
      </c>
      <c r="B154" t="s">
        <v>96</v>
      </c>
      <c r="C154" s="10">
        <v>-10</v>
      </c>
      <c r="D154" t="s">
        <v>417</v>
      </c>
      <c r="E154" s="2">
        <f t="shared" si="46"/>
        <v>46207</v>
      </c>
      <c r="F154" s="3">
        <f t="shared" si="38"/>
        <v>0.44236111111111115</v>
      </c>
      <c r="G154" t="s">
        <v>98</v>
      </c>
      <c r="H154" t="s">
        <v>99</v>
      </c>
      <c r="I154" t="s">
        <v>188</v>
      </c>
      <c r="J154" s="2">
        <v>46207</v>
      </c>
      <c r="K154" s="1">
        <v>0.44791666666666669</v>
      </c>
      <c r="L154" s="10">
        <f t="shared" si="34"/>
        <v>7.9999999999999716</v>
      </c>
      <c r="M154" s="1" t="str">
        <f t="shared" si="47"/>
        <v>On Time</v>
      </c>
      <c r="N154" s="27" t="str">
        <f t="shared" si="35"/>
        <v>Turkish Airlines</v>
      </c>
      <c r="O154" s="3" t="s">
        <v>1385</v>
      </c>
      <c r="P154" s="20">
        <f t="shared" si="36"/>
        <v>10</v>
      </c>
      <c r="Q154" s="3" t="s">
        <v>1385</v>
      </c>
      <c r="R154" s="23" t="str">
        <f t="shared" si="37"/>
        <v>Saturday</v>
      </c>
      <c r="S154" s="3" t="s">
        <v>1385</v>
      </c>
      <c r="T154" s="23" t="s">
        <v>96</v>
      </c>
      <c r="U154" s="3" t="s">
        <v>1385</v>
      </c>
      <c r="W154" s="32">
        <f t="shared" si="48"/>
        <v>9300000</v>
      </c>
      <c r="X154" s="33">
        <f t="shared" si="40"/>
        <v>622</v>
      </c>
      <c r="Y154" s="34">
        <f t="shared" si="41"/>
        <v>460</v>
      </c>
      <c r="Z154" s="32">
        <f t="shared" si="49"/>
        <v>10.500000000000043</v>
      </c>
      <c r="AA154" s="33">
        <f t="shared" si="42"/>
        <v>-18.999999999999932</v>
      </c>
      <c r="AB154" s="34">
        <f t="shared" si="43"/>
        <v>-18.999999999999932</v>
      </c>
      <c r="AO154" s="15"/>
      <c r="AP154" s="15"/>
      <c r="AQ154" s="15"/>
      <c r="AR154" s="23"/>
      <c r="AS154" s="15"/>
      <c r="AT154" s="15"/>
      <c r="AU154" s="23"/>
      <c r="AV154" s="23"/>
    </row>
    <row r="155" spans="1:48" x14ac:dyDescent="0.25">
      <c r="A155" t="s">
        <v>418</v>
      </c>
      <c r="B155" t="s">
        <v>85</v>
      </c>
      <c r="C155" s="10">
        <v>0</v>
      </c>
      <c r="D155" t="s">
        <v>91</v>
      </c>
      <c r="E155" s="2">
        <f t="shared" si="46"/>
        <v>46207</v>
      </c>
      <c r="F155" s="3">
        <f t="shared" si="38"/>
        <v>0.44444444444444442</v>
      </c>
      <c r="G155" t="s">
        <v>419</v>
      </c>
      <c r="H155" t="s">
        <v>420</v>
      </c>
      <c r="I155" t="s">
        <v>89</v>
      </c>
      <c r="J155" s="2">
        <v>46207</v>
      </c>
      <c r="K155" s="1">
        <v>0.45833333333333331</v>
      </c>
      <c r="L155" s="10">
        <f t="shared" si="34"/>
        <v>20.000000000000007</v>
      </c>
      <c r="M155" s="1" t="str">
        <f t="shared" si="47"/>
        <v>On Time</v>
      </c>
      <c r="N155" s="27" t="str">
        <f t="shared" si="35"/>
        <v>Ryanair</v>
      </c>
      <c r="O155" s="3" t="s">
        <v>1385</v>
      </c>
      <c r="P155" s="20">
        <f t="shared" si="36"/>
        <v>10</v>
      </c>
      <c r="Q155" s="3" t="s">
        <v>1385</v>
      </c>
      <c r="R155" s="23" t="str">
        <f t="shared" si="37"/>
        <v>Saturday</v>
      </c>
      <c r="S155" s="3" t="s">
        <v>1385</v>
      </c>
      <c r="T155" s="23" t="s">
        <v>85</v>
      </c>
      <c r="U155" s="3" t="s">
        <v>1385</v>
      </c>
      <c r="W155" s="32">
        <f t="shared" si="48"/>
        <v>1700000</v>
      </c>
      <c r="X155" s="33">
        <f t="shared" si="40"/>
        <v>85</v>
      </c>
      <c r="Y155" s="34">
        <f t="shared" si="41"/>
        <v>280</v>
      </c>
      <c r="Z155" s="32">
        <f t="shared" si="49"/>
        <v>15.000000000000107</v>
      </c>
      <c r="AA155" s="33">
        <f t="shared" si="42"/>
        <v>-8.999999999999968</v>
      </c>
      <c r="AB155" s="34">
        <f t="shared" si="43"/>
        <v>-8.999999999999968</v>
      </c>
      <c r="AO155" s="15"/>
      <c r="AP155" s="15"/>
      <c r="AQ155" s="15"/>
      <c r="AR155" s="23"/>
      <c r="AS155" s="15"/>
      <c r="AT155" s="15"/>
      <c r="AU155" s="23"/>
      <c r="AV155" s="23"/>
    </row>
    <row r="156" spans="1:48" x14ac:dyDescent="0.25">
      <c r="A156" t="s">
        <v>178</v>
      </c>
      <c r="B156" t="s">
        <v>85</v>
      </c>
      <c r="C156" s="10">
        <v>0</v>
      </c>
      <c r="D156" t="s">
        <v>421</v>
      </c>
      <c r="E156" s="2">
        <f t="shared" si="46"/>
        <v>46207</v>
      </c>
      <c r="F156" s="3">
        <f t="shared" si="38"/>
        <v>0.44861111111111113</v>
      </c>
      <c r="G156" t="s">
        <v>180</v>
      </c>
      <c r="H156" t="s">
        <v>181</v>
      </c>
      <c r="I156" t="s">
        <v>89</v>
      </c>
      <c r="J156" s="2">
        <v>46207</v>
      </c>
      <c r="K156" s="1">
        <v>0.46180555555555558</v>
      </c>
      <c r="L156" s="10">
        <f t="shared" si="34"/>
        <v>19.000000000000014</v>
      </c>
      <c r="M156" s="1" t="str">
        <f t="shared" si="47"/>
        <v>On Time</v>
      </c>
      <c r="N156" s="27" t="str">
        <f t="shared" si="35"/>
        <v>Ryanair</v>
      </c>
      <c r="O156" s="3" t="s">
        <v>1385</v>
      </c>
      <c r="P156" s="20">
        <f t="shared" si="36"/>
        <v>10</v>
      </c>
      <c r="Q156" s="3" t="s">
        <v>1385</v>
      </c>
      <c r="R156" s="23" t="str">
        <f t="shared" si="37"/>
        <v>Saturday</v>
      </c>
      <c r="S156" s="3" t="s">
        <v>1385</v>
      </c>
      <c r="T156" s="23" t="s">
        <v>85</v>
      </c>
      <c r="U156" s="3" t="s">
        <v>1385</v>
      </c>
      <c r="W156" s="32">
        <f t="shared" si="48"/>
        <v>2800000</v>
      </c>
      <c r="X156" s="33">
        <f t="shared" si="40"/>
        <v>88</v>
      </c>
      <c r="Y156" s="34">
        <f t="shared" si="41"/>
        <v>112</v>
      </c>
      <c r="Z156" s="32">
        <f t="shared" si="49"/>
        <v>30.50000000000005</v>
      </c>
      <c r="AA156" s="33">
        <f t="shared" si="42"/>
        <v>-94.999999999999829</v>
      </c>
      <c r="AB156" s="34">
        <f t="shared" si="43"/>
        <v>-94.999999999999829</v>
      </c>
      <c r="AO156" s="15"/>
      <c r="AP156" s="15"/>
      <c r="AQ156" s="15"/>
      <c r="AR156" s="23"/>
      <c r="AS156" s="15"/>
      <c r="AT156" s="15"/>
      <c r="AU156" s="23"/>
      <c r="AV156" s="23"/>
    </row>
    <row r="157" spans="1:48" x14ac:dyDescent="0.25">
      <c r="A157" t="s">
        <v>422</v>
      </c>
      <c r="B157" t="s">
        <v>13</v>
      </c>
      <c r="C157" s="10">
        <v>-10</v>
      </c>
      <c r="D157" t="s">
        <v>423</v>
      </c>
      <c r="E157" s="2">
        <f t="shared" si="46"/>
        <v>46207</v>
      </c>
      <c r="F157" s="3">
        <f t="shared" si="38"/>
        <v>0.47569444444444442</v>
      </c>
      <c r="G157" t="s">
        <v>424</v>
      </c>
      <c r="H157" t="s">
        <v>425</v>
      </c>
      <c r="I157" t="s">
        <v>17</v>
      </c>
      <c r="J157" s="2">
        <v>46207</v>
      </c>
      <c r="K157" s="1">
        <v>0.4826388888888889</v>
      </c>
      <c r="L157" s="10">
        <f t="shared" si="34"/>
        <v>10.000000000000044</v>
      </c>
      <c r="M157" s="1" t="str">
        <f t="shared" si="47"/>
        <v>On Time</v>
      </c>
      <c r="N157" s="27" t="str">
        <f t="shared" si="35"/>
        <v>Wizz Air</v>
      </c>
      <c r="O157" s="3" t="s">
        <v>1385</v>
      </c>
      <c r="P157" s="20">
        <f t="shared" si="36"/>
        <v>11</v>
      </c>
      <c r="Q157" s="3" t="s">
        <v>1385</v>
      </c>
      <c r="R157" s="23" t="str">
        <f t="shared" si="37"/>
        <v>Saturday</v>
      </c>
      <c r="S157" s="3" t="s">
        <v>1385</v>
      </c>
      <c r="T157" s="23" t="s">
        <v>13</v>
      </c>
      <c r="U157" s="3" t="s">
        <v>1385</v>
      </c>
      <c r="W157" s="32">
        <f t="shared" si="48"/>
        <v>8100000</v>
      </c>
      <c r="X157" s="33">
        <f t="shared" si="40"/>
        <v>2803</v>
      </c>
      <c r="Y157" s="34">
        <f t="shared" si="41"/>
        <v>2500</v>
      </c>
      <c r="Z157" s="32">
        <f t="shared" si="49"/>
        <v>14</v>
      </c>
      <c r="AA157" s="33">
        <f t="shared" si="42"/>
        <v>6.4999999999999867</v>
      </c>
      <c r="AB157" s="34">
        <f t="shared" si="43"/>
        <v>6.4999999999999867</v>
      </c>
      <c r="AO157" s="15"/>
      <c r="AP157" s="15"/>
      <c r="AQ157" s="15"/>
      <c r="AR157" s="23"/>
      <c r="AS157" s="15"/>
      <c r="AT157" s="15"/>
      <c r="AU157" s="23"/>
      <c r="AV157" s="23"/>
    </row>
    <row r="158" spans="1:48" x14ac:dyDescent="0.25">
      <c r="A158" t="s">
        <v>383</v>
      </c>
      <c r="B158" t="s">
        <v>7</v>
      </c>
      <c r="C158" s="10">
        <v>-22</v>
      </c>
      <c r="D158" t="s">
        <v>426</v>
      </c>
      <c r="E158" s="2">
        <f t="shared" si="46"/>
        <v>46207</v>
      </c>
      <c r="F158" s="3">
        <f t="shared" si="38"/>
        <v>0.50416666666666665</v>
      </c>
      <c r="G158" t="s">
        <v>26</v>
      </c>
      <c r="H158" t="s">
        <v>27</v>
      </c>
      <c r="I158" t="s">
        <v>11</v>
      </c>
      <c r="J158" s="2">
        <v>46207</v>
      </c>
      <c r="K158" s="1">
        <v>0.5</v>
      </c>
      <c r="L158" s="10">
        <f t="shared" si="34"/>
        <v>-5.9999999999999787</v>
      </c>
      <c r="M158" s="1" t="str">
        <f t="shared" si="47"/>
        <v>On Time</v>
      </c>
      <c r="N158" s="27" t="str">
        <f t="shared" si="35"/>
        <v>airBaltic</v>
      </c>
      <c r="O158" s="3" t="s">
        <v>1385</v>
      </c>
      <c r="P158" s="20">
        <f t="shared" si="36"/>
        <v>12</v>
      </c>
      <c r="Q158" s="3" t="s">
        <v>1385</v>
      </c>
      <c r="R158" s="23" t="str">
        <f t="shared" si="37"/>
        <v>Saturday</v>
      </c>
      <c r="S158" s="3" t="s">
        <v>1385</v>
      </c>
      <c r="T158" s="23" t="s">
        <v>7</v>
      </c>
      <c r="U158" s="3" t="s">
        <v>1385</v>
      </c>
      <c r="W158" s="32">
        <f t="shared" si="48"/>
        <v>2100000</v>
      </c>
      <c r="X158" s="33">
        <f t="shared" si="40"/>
        <v>632</v>
      </c>
      <c r="Y158" s="34">
        <f t="shared" si="41"/>
        <v>310</v>
      </c>
      <c r="Z158" s="32">
        <f t="shared" si="49"/>
        <v>-0.99999999999991651</v>
      </c>
      <c r="AA158" s="33">
        <f t="shared" si="42"/>
        <v>10.500000000000043</v>
      </c>
      <c r="AB158" s="34">
        <f t="shared" si="43"/>
        <v>10.500000000000043</v>
      </c>
      <c r="AO158" s="15"/>
      <c r="AP158" s="15"/>
      <c r="AQ158" s="15"/>
      <c r="AR158" s="23"/>
      <c r="AS158" s="15"/>
      <c r="AT158" s="15"/>
      <c r="AU158" s="23"/>
      <c r="AV158" s="23"/>
    </row>
    <row r="159" spans="1:48" x14ac:dyDescent="0.25">
      <c r="A159" t="s">
        <v>427</v>
      </c>
      <c r="B159" t="s">
        <v>117</v>
      </c>
      <c r="C159" s="10">
        <v>-31</v>
      </c>
      <c r="D159" t="s">
        <v>428</v>
      </c>
      <c r="E159" s="2">
        <f t="shared" si="46"/>
        <v>46207</v>
      </c>
      <c r="F159" s="3">
        <f t="shared" si="38"/>
        <v>0.53125</v>
      </c>
      <c r="G159" t="s">
        <v>119</v>
      </c>
      <c r="H159" t="s">
        <v>120</v>
      </c>
      <c r="I159" t="s">
        <v>83</v>
      </c>
      <c r="J159" s="2">
        <v>46207</v>
      </c>
      <c r="K159" s="1">
        <v>0.52569444444444446</v>
      </c>
      <c r="L159" s="10">
        <f t="shared" si="34"/>
        <v>-7.9999999999999716</v>
      </c>
      <c r="M159" s="1" t="str">
        <f t="shared" si="47"/>
        <v>On Time</v>
      </c>
      <c r="N159" s="27" t="str">
        <f t="shared" si="35"/>
        <v>Heston Airlines</v>
      </c>
      <c r="O159" s="3" t="s">
        <v>1385</v>
      </c>
      <c r="P159" s="20">
        <f t="shared" si="36"/>
        <v>12</v>
      </c>
      <c r="Q159" s="3" t="s">
        <v>1385</v>
      </c>
      <c r="R159" s="23" t="str">
        <f t="shared" si="37"/>
        <v>Saturday</v>
      </c>
      <c r="S159" s="3" t="s">
        <v>1385</v>
      </c>
      <c r="T159" s="23" t="s">
        <v>117</v>
      </c>
      <c r="U159" s="3" t="s">
        <v>1385</v>
      </c>
      <c r="W159" s="32">
        <f t="shared" si="48"/>
        <v>10000</v>
      </c>
      <c r="X159" s="33">
        <f t="shared" si="40"/>
        <v>1894</v>
      </c>
      <c r="Y159" s="34">
        <f t="shared" si="41"/>
        <v>220</v>
      </c>
      <c r="Z159" s="32">
        <f t="shared" si="49"/>
        <v>12.000000000000117</v>
      </c>
      <c r="AA159" s="33">
        <f t="shared" si="42"/>
        <v>15.000000000000107</v>
      </c>
      <c r="AB159" s="34">
        <f t="shared" si="43"/>
        <v>15.000000000000107</v>
      </c>
      <c r="AO159" s="15"/>
      <c r="AP159" s="15"/>
      <c r="AQ159" s="15"/>
      <c r="AR159" s="23"/>
      <c r="AS159" s="15"/>
      <c r="AT159" s="15"/>
      <c r="AU159" s="23"/>
      <c r="AV159" s="23"/>
    </row>
    <row r="160" spans="1:48" x14ac:dyDescent="0.25">
      <c r="A160" t="s">
        <v>108</v>
      </c>
      <c r="B160" t="s">
        <v>190</v>
      </c>
      <c r="C160" s="10">
        <v>-30</v>
      </c>
      <c r="D160" t="s">
        <v>429</v>
      </c>
      <c r="E160" s="2">
        <f t="shared" si="46"/>
        <v>46207</v>
      </c>
      <c r="F160" s="3">
        <f t="shared" si="38"/>
        <v>0.53402777777777777</v>
      </c>
      <c r="G160" t="s">
        <v>110</v>
      </c>
      <c r="H160" t="s">
        <v>111</v>
      </c>
      <c r="I160" t="s">
        <v>210</v>
      </c>
      <c r="J160" s="2">
        <v>46207</v>
      </c>
      <c r="K160" s="1">
        <v>0.52777777777777779</v>
      </c>
      <c r="L160" s="10">
        <f t="shared" si="34"/>
        <v>-8.999999999999968</v>
      </c>
      <c r="M160" s="1" t="str">
        <f t="shared" si="47"/>
        <v>On Time</v>
      </c>
      <c r="N160" s="27" t="str">
        <f t="shared" si="35"/>
        <v>Lufthansa</v>
      </c>
      <c r="O160" s="3" t="s">
        <v>1385</v>
      </c>
      <c r="P160" s="20">
        <f t="shared" si="36"/>
        <v>12</v>
      </c>
      <c r="Q160" s="3" t="s">
        <v>1385</v>
      </c>
      <c r="R160" s="23" t="str">
        <f t="shared" si="37"/>
        <v>Saturday</v>
      </c>
      <c r="S160" s="3" t="s">
        <v>1385</v>
      </c>
      <c r="T160" s="23" t="s">
        <v>190</v>
      </c>
      <c r="U160" s="3" t="s">
        <v>1385</v>
      </c>
      <c r="W160" s="32">
        <f t="shared" si="48"/>
        <v>33600000</v>
      </c>
      <c r="X160" s="33">
        <f t="shared" si="40"/>
        <v>1828</v>
      </c>
      <c r="Y160" s="34">
        <f t="shared" si="41"/>
        <v>140</v>
      </c>
      <c r="Z160" s="32">
        <f t="shared" si="49"/>
        <v>6.4999999999999769</v>
      </c>
      <c r="AA160" s="33">
        <f t="shared" si="42"/>
        <v>30.50000000000005</v>
      </c>
      <c r="AB160" s="34">
        <f t="shared" si="43"/>
        <v>30.50000000000005</v>
      </c>
      <c r="AO160" s="15"/>
      <c r="AP160" s="15"/>
      <c r="AQ160" s="15"/>
      <c r="AR160" s="23"/>
      <c r="AS160" s="15"/>
      <c r="AT160" s="15"/>
      <c r="AU160" s="23"/>
      <c r="AV160" s="23"/>
    </row>
    <row r="161" spans="1:48" x14ac:dyDescent="0.25">
      <c r="A161" t="s">
        <v>123</v>
      </c>
      <c r="B161" t="s">
        <v>124</v>
      </c>
      <c r="D161" t="s">
        <v>430</v>
      </c>
      <c r="E161" s="2">
        <f t="shared" si="46"/>
        <v>46207</v>
      </c>
      <c r="F161" s="3">
        <f t="shared" si="38"/>
        <v>0.54166666666666663</v>
      </c>
      <c r="G161" t="s">
        <v>431</v>
      </c>
      <c r="H161" t="s">
        <v>432</v>
      </c>
      <c r="I161" t="s">
        <v>249</v>
      </c>
      <c r="J161" s="2">
        <v>46207</v>
      </c>
      <c r="K161" s="1">
        <v>0.53125</v>
      </c>
      <c r="L161" s="10">
        <f t="shared" si="34"/>
        <v>-14.999999999999947</v>
      </c>
      <c r="M161" s="1" t="str">
        <f t="shared" si="47"/>
        <v>On Time</v>
      </c>
      <c r="N161" s="27" t="str">
        <f t="shared" si="35"/>
        <v>GetJet Airlines</v>
      </c>
      <c r="O161" s="3" t="s">
        <v>1385</v>
      </c>
      <c r="P161" s="20">
        <f t="shared" si="36"/>
        <v>13</v>
      </c>
      <c r="Q161" s="3" t="s">
        <v>1385</v>
      </c>
      <c r="R161" s="23" t="str">
        <f t="shared" si="37"/>
        <v>Saturday</v>
      </c>
      <c r="S161" s="3" t="s">
        <v>1385</v>
      </c>
      <c r="T161" s="23" t="s">
        <v>124</v>
      </c>
      <c r="U161" s="3" t="s">
        <v>1385</v>
      </c>
      <c r="W161" s="32">
        <f>IF(OR(ISNA(W58), ISNA(Z58)), "", W58)</f>
        <v>16200000</v>
      </c>
      <c r="X161" s="33">
        <f t="shared" si="40"/>
        <v>2284</v>
      </c>
      <c r="Y161" s="34">
        <f t="shared" si="41"/>
        <v>520</v>
      </c>
      <c r="Z161" s="32">
        <f>IF(OR(ISNA(W58), ISNA(Z58)), "", Z58)</f>
        <v>4.9999999999999822</v>
      </c>
      <c r="AA161" s="33">
        <f t="shared" si="42"/>
        <v>14</v>
      </c>
      <c r="AB161" s="34">
        <f t="shared" si="43"/>
        <v>14</v>
      </c>
      <c r="AO161" s="15"/>
      <c r="AP161" s="15"/>
      <c r="AQ161" s="15"/>
      <c r="AR161" s="23"/>
      <c r="AS161" s="15"/>
      <c r="AT161" s="15"/>
      <c r="AU161" s="23"/>
      <c r="AV161" s="23"/>
    </row>
    <row r="162" spans="1:48" x14ac:dyDescent="0.25">
      <c r="A162" t="s">
        <v>121</v>
      </c>
      <c r="B162" t="s">
        <v>69</v>
      </c>
      <c r="C162" s="10">
        <v>133</v>
      </c>
      <c r="D162" t="s">
        <v>433</v>
      </c>
      <c r="E162" s="2">
        <f t="shared" si="46"/>
        <v>46207</v>
      </c>
      <c r="F162" s="3">
        <f t="shared" si="38"/>
        <v>0.56805555555555554</v>
      </c>
      <c r="G162" t="s">
        <v>71</v>
      </c>
      <c r="H162" t="s">
        <v>72</v>
      </c>
      <c r="I162" t="s">
        <v>73</v>
      </c>
      <c r="J162" s="2">
        <v>46207</v>
      </c>
      <c r="K162" s="1">
        <v>0.54166666666666663</v>
      </c>
      <c r="L162" s="10">
        <f t="shared" si="34"/>
        <v>-38.000000000000028</v>
      </c>
      <c r="M162" s="1" t="str">
        <f t="shared" si="47"/>
        <v>Delayed</v>
      </c>
      <c r="N162" s="27" t="str">
        <f t="shared" si="35"/>
        <v>Finnair</v>
      </c>
      <c r="O162" s="3" t="s">
        <v>1318</v>
      </c>
      <c r="P162" s="20">
        <f t="shared" si="36"/>
        <v>13</v>
      </c>
      <c r="Q162" s="3" t="s">
        <v>1318</v>
      </c>
      <c r="R162" s="23" t="str">
        <f t="shared" si="37"/>
        <v>Saturday</v>
      </c>
      <c r="S162" s="3" t="s">
        <v>1318</v>
      </c>
      <c r="T162" s="23" t="s">
        <v>69</v>
      </c>
      <c r="U162" s="3" t="s">
        <v>1318</v>
      </c>
      <c r="W162" s="32">
        <f>IF(OR(ISNA(W59), ISNA(Z59)), "", W59)</f>
        <v>29700000</v>
      </c>
      <c r="X162" s="33">
        <f t="shared" si="40"/>
        <v>933</v>
      </c>
      <c r="Y162" s="34">
        <f t="shared" si="41"/>
        <v>1400</v>
      </c>
      <c r="Z162" s="32">
        <f>IF(OR(ISNA(W59), ISNA(Z59)), "", Z59)</f>
        <v>6.4999999999999769</v>
      </c>
      <c r="AA162" s="33">
        <f t="shared" si="42"/>
        <v>-0.99999999999991651</v>
      </c>
      <c r="AB162" s="34">
        <f t="shared" si="43"/>
        <v>-0.99999999999991651</v>
      </c>
      <c r="AO162" s="15"/>
      <c r="AP162" s="15"/>
      <c r="AQ162" s="15"/>
      <c r="AR162" s="23"/>
      <c r="AS162" s="15"/>
      <c r="AT162" s="15"/>
      <c r="AU162" s="23"/>
      <c r="AV162" s="23"/>
    </row>
    <row r="163" spans="1:48" x14ac:dyDescent="0.25">
      <c r="A163" t="s">
        <v>123</v>
      </c>
      <c r="B163" t="s">
        <v>124</v>
      </c>
      <c r="D163" t="s">
        <v>320</v>
      </c>
      <c r="E163" s="2">
        <f t="shared" si="46"/>
        <v>46207</v>
      </c>
      <c r="F163" s="3">
        <f t="shared" si="38"/>
        <v>0.54722222222222217</v>
      </c>
      <c r="G163" t="s">
        <v>119</v>
      </c>
      <c r="H163" t="s">
        <v>120</v>
      </c>
      <c r="I163" t="s">
        <v>126</v>
      </c>
      <c r="J163" s="2">
        <v>46207</v>
      </c>
      <c r="K163" s="1">
        <v>0.5541666666666667</v>
      </c>
      <c r="L163" s="10">
        <f t="shared" si="34"/>
        <v>10.000000000000124</v>
      </c>
      <c r="M163" s="1" t="str">
        <f t="shared" si="47"/>
        <v>On Time</v>
      </c>
      <c r="N163" s="27" t="str">
        <f t="shared" si="35"/>
        <v>GetJet Airlines</v>
      </c>
      <c r="O163" s="3" t="s">
        <v>1385</v>
      </c>
      <c r="P163" s="20">
        <f t="shared" si="36"/>
        <v>13</v>
      </c>
      <c r="Q163" s="3" t="s">
        <v>1385</v>
      </c>
      <c r="R163" s="23" t="str">
        <f t="shared" si="37"/>
        <v>Saturday</v>
      </c>
      <c r="S163" s="3" t="s">
        <v>1385</v>
      </c>
      <c r="T163" s="23" t="s">
        <v>124</v>
      </c>
      <c r="U163" s="3" t="s">
        <v>1385</v>
      </c>
      <c r="W163" s="32">
        <f t="shared" ref="W163:W177" si="50">IF(OR(ISNA(W61), ISNA(Z61)), "", W61)</f>
        <v>22300000</v>
      </c>
      <c r="X163" s="33">
        <f t="shared" si="40"/>
        <v>262</v>
      </c>
      <c r="Y163" s="34">
        <f t="shared" si="41"/>
        <v>212</v>
      </c>
      <c r="Z163" s="32">
        <f t="shared" ref="Z163:Z177" si="51">IF(OR(ISNA(W61), ISNA(Z61)), "", Z61)</f>
        <v>4.0000000000000657</v>
      </c>
      <c r="AA163" s="33">
        <f t="shared" si="42"/>
        <v>12.000000000000117</v>
      </c>
      <c r="AB163" s="34">
        <f t="shared" si="43"/>
        <v>12.000000000000117</v>
      </c>
      <c r="AO163" s="15"/>
      <c r="AP163" s="15"/>
      <c r="AQ163" s="15"/>
      <c r="AR163" s="23"/>
      <c r="AS163" s="15"/>
      <c r="AT163" s="15"/>
      <c r="AU163" s="23"/>
      <c r="AV163" s="23"/>
    </row>
    <row r="164" spans="1:48" x14ac:dyDescent="0.25">
      <c r="A164" t="s">
        <v>133</v>
      </c>
      <c r="B164" t="s">
        <v>7</v>
      </c>
      <c r="C164" s="10">
        <v>-22</v>
      </c>
      <c r="D164" t="s">
        <v>434</v>
      </c>
      <c r="E164" s="2">
        <f t="shared" si="46"/>
        <v>46207</v>
      </c>
      <c r="F164" s="3">
        <f t="shared" si="38"/>
        <v>0.55972222222222223</v>
      </c>
      <c r="G164" t="s">
        <v>135</v>
      </c>
      <c r="H164" t="s">
        <v>136</v>
      </c>
      <c r="I164" t="s">
        <v>11</v>
      </c>
      <c r="J164" s="2">
        <v>46207</v>
      </c>
      <c r="K164" s="1">
        <v>0.55902777777777779</v>
      </c>
      <c r="L164" s="10">
        <f t="shared" si="34"/>
        <v>-0.99999999999999645</v>
      </c>
      <c r="M164" s="1" t="str">
        <f t="shared" si="47"/>
        <v>On Time</v>
      </c>
      <c r="N164" s="27" t="str">
        <f t="shared" si="35"/>
        <v>airBaltic</v>
      </c>
      <c r="O164" s="3" t="s">
        <v>1385</v>
      </c>
      <c r="P164" s="20">
        <f t="shared" si="36"/>
        <v>13</v>
      </c>
      <c r="Q164" s="3" t="s">
        <v>1385</v>
      </c>
      <c r="R164" s="23" t="str">
        <f t="shared" si="37"/>
        <v>Saturday</v>
      </c>
      <c r="S164" s="3" t="s">
        <v>1385</v>
      </c>
      <c r="T164" s="23" t="s">
        <v>7</v>
      </c>
      <c r="U164" s="3" t="s">
        <v>1385</v>
      </c>
      <c r="W164" s="32">
        <f t="shared" si="50"/>
        <v>7800000</v>
      </c>
      <c r="X164" s="33">
        <f t="shared" si="40"/>
        <v>3121</v>
      </c>
      <c r="Y164" s="34">
        <f t="shared" si="41"/>
        <v>500</v>
      </c>
      <c r="Z164" s="32">
        <f t="shared" si="51"/>
        <v>10.999999999999961</v>
      </c>
      <c r="AA164" s="33">
        <f t="shared" si="42"/>
        <v>6.4999999999999769</v>
      </c>
      <c r="AB164" s="34">
        <f t="shared" si="43"/>
        <v>6.4999999999999769</v>
      </c>
      <c r="AO164" s="15"/>
      <c r="AP164" s="15"/>
      <c r="AQ164" s="15"/>
      <c r="AR164" s="23"/>
      <c r="AS164" s="15"/>
      <c r="AT164" s="15"/>
      <c r="AU164" s="23"/>
      <c r="AV164" s="23"/>
    </row>
    <row r="165" spans="1:48" x14ac:dyDescent="0.25">
      <c r="A165" t="s">
        <v>213</v>
      </c>
      <c r="B165" t="s">
        <v>85</v>
      </c>
      <c r="C165" s="10">
        <v>3</v>
      </c>
      <c r="D165" t="s">
        <v>435</v>
      </c>
      <c r="E165" s="2">
        <f t="shared" si="46"/>
        <v>46207</v>
      </c>
      <c r="F165" s="3">
        <f t="shared" si="38"/>
        <v>0.5444444444444444</v>
      </c>
      <c r="G165" t="s">
        <v>102</v>
      </c>
      <c r="H165" t="s">
        <v>115</v>
      </c>
      <c r="I165" t="s">
        <v>162</v>
      </c>
      <c r="J165" s="2">
        <v>46207</v>
      </c>
      <c r="K165" s="1">
        <v>0.55902777777777779</v>
      </c>
      <c r="L165" s="10">
        <f t="shared" si="34"/>
        <v>21.000000000000085</v>
      </c>
      <c r="M165" s="1" t="str">
        <f t="shared" si="47"/>
        <v>On Time</v>
      </c>
      <c r="N165" s="27" t="str">
        <f t="shared" si="35"/>
        <v>Ryanair</v>
      </c>
      <c r="O165" s="3" t="s">
        <v>1385</v>
      </c>
      <c r="P165" s="20">
        <f t="shared" si="36"/>
        <v>13</v>
      </c>
      <c r="Q165" s="3" t="s">
        <v>1385</v>
      </c>
      <c r="R165" s="23" t="str">
        <f t="shared" si="37"/>
        <v>Saturday</v>
      </c>
      <c r="S165" s="3" t="s">
        <v>1385</v>
      </c>
      <c r="T165" s="23" t="s">
        <v>85</v>
      </c>
      <c r="U165" s="3" t="s">
        <v>1385</v>
      </c>
      <c r="W165" s="32">
        <f t="shared" si="50"/>
        <v>16000000</v>
      </c>
      <c r="X165" s="33">
        <f t="shared" si="40"/>
        <v>1732</v>
      </c>
      <c r="Y165" s="34">
        <f t="shared" si="41"/>
        <v>200</v>
      </c>
      <c r="Z165" s="32">
        <f t="shared" si="51"/>
        <v>2.9999999999999893</v>
      </c>
      <c r="AA165" s="33">
        <f t="shared" si="42"/>
        <v>1.9999999999999929</v>
      </c>
      <c r="AB165" s="34">
        <f t="shared" si="43"/>
        <v>1.9999999999999929</v>
      </c>
      <c r="AO165" s="15"/>
      <c r="AP165" s="15"/>
      <c r="AQ165" s="15"/>
      <c r="AR165" s="23"/>
      <c r="AS165" s="15"/>
      <c r="AT165" s="15"/>
      <c r="AU165" s="23"/>
      <c r="AV165" s="23"/>
    </row>
    <row r="166" spans="1:48" x14ac:dyDescent="0.25">
      <c r="A166" t="s">
        <v>254</v>
      </c>
      <c r="B166" t="s">
        <v>85</v>
      </c>
      <c r="C166" s="10">
        <v>-4</v>
      </c>
      <c r="D166" t="s">
        <v>122</v>
      </c>
      <c r="E166" s="2">
        <f t="shared" si="46"/>
        <v>46207</v>
      </c>
      <c r="F166" s="3">
        <f t="shared" si="38"/>
        <v>0.55625000000000002</v>
      </c>
      <c r="G166" t="s">
        <v>256</v>
      </c>
      <c r="H166" t="s">
        <v>257</v>
      </c>
      <c r="I166" t="s">
        <v>162</v>
      </c>
      <c r="J166" s="2">
        <v>46207</v>
      </c>
      <c r="K166" s="1">
        <v>0.56944444444444442</v>
      </c>
      <c r="L166" s="10">
        <f t="shared" si="34"/>
        <v>18.999999999999932</v>
      </c>
      <c r="M166" s="1" t="str">
        <f t="shared" si="47"/>
        <v>On Time</v>
      </c>
      <c r="N166" s="27" t="str">
        <f t="shared" si="35"/>
        <v>Ryanair</v>
      </c>
      <c r="O166" s="3" t="s">
        <v>1385</v>
      </c>
      <c r="P166" s="20">
        <f t="shared" si="36"/>
        <v>13</v>
      </c>
      <c r="Q166" s="3" t="s">
        <v>1385</v>
      </c>
      <c r="R166" s="23" t="str">
        <f t="shared" si="37"/>
        <v>Saturday</v>
      </c>
      <c r="S166" s="3" t="s">
        <v>1385</v>
      </c>
      <c r="T166" s="23" t="s">
        <v>85</v>
      </c>
      <c r="U166" s="3" t="s">
        <v>1385</v>
      </c>
      <c r="W166" s="32">
        <f t="shared" si="50"/>
        <v>26100000</v>
      </c>
      <c r="X166" s="33">
        <f t="shared" si="40"/>
        <v>1731</v>
      </c>
      <c r="Y166" s="34">
        <f t="shared" si="41"/>
        <v>225</v>
      </c>
      <c r="Z166" s="32">
        <f t="shared" si="51"/>
        <v>-8.4999999999999858</v>
      </c>
      <c r="AA166" s="33">
        <f t="shared" si="42"/>
        <v>4.9999999999999822</v>
      </c>
      <c r="AB166" s="34">
        <f t="shared" si="43"/>
        <v>4.9999999999999822</v>
      </c>
      <c r="AO166" s="15"/>
      <c r="AP166" s="15"/>
      <c r="AQ166" s="15"/>
      <c r="AR166" s="23"/>
      <c r="AS166" s="15"/>
      <c r="AT166" s="15"/>
      <c r="AU166" s="23"/>
      <c r="AV166" s="23"/>
    </row>
    <row r="167" spans="1:48" x14ac:dyDescent="0.25">
      <c r="A167" t="s">
        <v>436</v>
      </c>
      <c r="B167" t="s">
        <v>239</v>
      </c>
      <c r="C167" s="10">
        <v>-25</v>
      </c>
      <c r="D167" t="s">
        <v>437</v>
      </c>
      <c r="E167" s="2">
        <f t="shared" si="46"/>
        <v>46207</v>
      </c>
      <c r="F167" s="3">
        <f t="shared" si="38"/>
        <v>0.56874999999999998</v>
      </c>
      <c r="G167" t="s">
        <v>119</v>
      </c>
      <c r="H167" t="s">
        <v>120</v>
      </c>
      <c r="I167" t="s">
        <v>83</v>
      </c>
      <c r="J167" s="2">
        <v>46207</v>
      </c>
      <c r="K167" s="1">
        <v>0.56944444444444442</v>
      </c>
      <c r="L167" s="10">
        <f t="shared" si="34"/>
        <v>0.99999999999999645</v>
      </c>
      <c r="M167" s="1" t="str">
        <f t="shared" si="47"/>
        <v>On Time</v>
      </c>
      <c r="N167" s="27" t="str">
        <f t="shared" si="35"/>
        <v>Eurowings</v>
      </c>
      <c r="O167" s="3" t="s">
        <v>1385</v>
      </c>
      <c r="P167" s="20">
        <f t="shared" si="36"/>
        <v>13</v>
      </c>
      <c r="Q167" s="3" t="s">
        <v>1385</v>
      </c>
      <c r="R167" s="23" t="str">
        <f t="shared" si="37"/>
        <v>Saturday</v>
      </c>
      <c r="S167" s="3" t="s">
        <v>1385</v>
      </c>
      <c r="T167" s="23" t="s">
        <v>239</v>
      </c>
      <c r="U167" s="3" t="s">
        <v>1385</v>
      </c>
      <c r="W167" s="32">
        <f t="shared" si="50"/>
        <v>37000000</v>
      </c>
      <c r="X167" s="33">
        <f t="shared" si="40"/>
        <v>1682</v>
      </c>
      <c r="Y167" s="34">
        <f t="shared" si="41"/>
        <v>950</v>
      </c>
      <c r="Z167" s="32">
        <f t="shared" si="51"/>
        <v>0</v>
      </c>
      <c r="AA167" s="33">
        <f t="shared" si="42"/>
        <v>6.4999999999999769</v>
      </c>
      <c r="AB167" s="34">
        <f t="shared" si="43"/>
        <v>6.4999999999999769</v>
      </c>
      <c r="AO167" s="15"/>
      <c r="AP167" s="15"/>
      <c r="AQ167" s="15"/>
      <c r="AR167" s="23"/>
      <c r="AS167" s="15"/>
      <c r="AT167" s="15"/>
      <c r="AU167" s="23"/>
      <c r="AV167" s="23"/>
    </row>
    <row r="168" spans="1:48" x14ac:dyDescent="0.25">
      <c r="A168" t="s">
        <v>141</v>
      </c>
      <c r="B168" t="s">
        <v>19</v>
      </c>
      <c r="C168" s="10">
        <v>-118</v>
      </c>
      <c r="D168" t="s">
        <v>438</v>
      </c>
      <c r="E168" s="2">
        <f t="shared" si="46"/>
        <v>46207</v>
      </c>
      <c r="F168" s="3">
        <f t="shared" si="38"/>
        <v>0.64374999999999993</v>
      </c>
      <c r="G168" t="s">
        <v>21</v>
      </c>
      <c r="H168" t="s">
        <v>22</v>
      </c>
      <c r="I168" t="s">
        <v>237</v>
      </c>
      <c r="J168" s="2">
        <v>46207</v>
      </c>
      <c r="K168" s="1">
        <v>0.57638888888888895</v>
      </c>
      <c r="L168" s="10">
        <f t="shared" si="34"/>
        <v>-96.999999999999815</v>
      </c>
      <c r="M168" s="1" t="str">
        <f t="shared" si="47"/>
        <v>Delayed</v>
      </c>
      <c r="N168" s="27" t="str">
        <f t="shared" si="35"/>
        <v>LOT</v>
      </c>
      <c r="O168" s="3" t="s">
        <v>1318</v>
      </c>
      <c r="P168" s="20">
        <f t="shared" si="36"/>
        <v>15</v>
      </c>
      <c r="Q168" s="3" t="s">
        <v>1318</v>
      </c>
      <c r="R168" s="23" t="str">
        <f t="shared" si="37"/>
        <v>Saturday</v>
      </c>
      <c r="S168" s="3" t="s">
        <v>1318</v>
      </c>
      <c r="T168" s="23" t="s">
        <v>19</v>
      </c>
      <c r="U168" s="3" t="s">
        <v>1318</v>
      </c>
      <c r="W168" s="32">
        <f t="shared" si="50"/>
        <v>14200000</v>
      </c>
      <c r="X168" s="33">
        <f t="shared" ref="X168:X194" si="52">IF(OR(ISNA(X61), ISNA(Z61)), "", X61)</f>
        <v>2984</v>
      </c>
      <c r="Y168" s="34">
        <f t="shared" ref="Y168:Y194" si="53">IF(OR(ISNA(Y61), ISNA(Z61)), "", Y61)</f>
        <v>600</v>
      </c>
      <c r="Z168" s="32">
        <f t="shared" si="51"/>
        <v>1.5000000000000147</v>
      </c>
      <c r="AA168" s="33">
        <f t="shared" ref="AA168:AA194" si="54">IF(OR(ISNA(X61), ISNA(Z61)), "", Z61)</f>
        <v>4.0000000000000657</v>
      </c>
      <c r="AB168" s="34">
        <f t="shared" ref="AB168:AB194" si="55">IF(OR(ISNA(Y61), ISNA(Z61)), "", Z61)</f>
        <v>4.0000000000000657</v>
      </c>
      <c r="AO168" s="15"/>
      <c r="AP168" s="15"/>
      <c r="AQ168" s="15"/>
      <c r="AR168" s="23"/>
      <c r="AS168" s="15"/>
      <c r="AT168" s="15"/>
      <c r="AU168" s="23"/>
      <c r="AV168" s="23"/>
    </row>
    <row r="169" spans="1:48" x14ac:dyDescent="0.25">
      <c r="A169" t="s">
        <v>144</v>
      </c>
      <c r="B169" t="s">
        <v>13</v>
      </c>
      <c r="C169" s="10">
        <v>-7</v>
      </c>
      <c r="D169" t="s">
        <v>439</v>
      </c>
      <c r="E169" s="2">
        <f t="shared" si="46"/>
        <v>46207</v>
      </c>
      <c r="F169" s="3">
        <f t="shared" si="38"/>
        <v>0.58124999999999993</v>
      </c>
      <c r="G169" t="s">
        <v>146</v>
      </c>
      <c r="H169" t="s">
        <v>147</v>
      </c>
      <c r="I169" t="s">
        <v>17</v>
      </c>
      <c r="J169" s="2">
        <v>46207</v>
      </c>
      <c r="K169" s="1">
        <v>0.59027777777777779</v>
      </c>
      <c r="L169" s="10">
        <f t="shared" si="34"/>
        <v>13.000000000000114</v>
      </c>
      <c r="M169" s="1" t="str">
        <f t="shared" si="47"/>
        <v>On Time</v>
      </c>
      <c r="N169" s="27" t="str">
        <f t="shared" si="35"/>
        <v>Wizz Air</v>
      </c>
      <c r="O169" s="3" t="s">
        <v>1385</v>
      </c>
      <c r="P169" s="20">
        <f t="shared" si="36"/>
        <v>13</v>
      </c>
      <c r="Q169" s="3" t="s">
        <v>1385</v>
      </c>
      <c r="R169" s="23" t="str">
        <f t="shared" si="37"/>
        <v>Saturday</v>
      </c>
      <c r="S169" s="3" t="s">
        <v>1385</v>
      </c>
      <c r="T169" s="23" t="s">
        <v>13</v>
      </c>
      <c r="U169" s="3" t="s">
        <v>1385</v>
      </c>
      <c r="W169" s="32">
        <f t="shared" si="50"/>
        <v>4000000</v>
      </c>
      <c r="X169" s="33">
        <f t="shared" si="52"/>
        <v>2201</v>
      </c>
      <c r="Y169" s="34">
        <f t="shared" si="53"/>
        <v>310</v>
      </c>
      <c r="Z169" s="32">
        <f t="shared" si="51"/>
        <v>-58.000000000000114</v>
      </c>
      <c r="AA169" s="33">
        <f t="shared" si="54"/>
        <v>10.999999999999961</v>
      </c>
      <c r="AB169" s="34">
        <f t="shared" si="55"/>
        <v>10.999999999999961</v>
      </c>
      <c r="AO169" s="15"/>
      <c r="AP169" s="15"/>
      <c r="AQ169" s="15"/>
      <c r="AR169" s="23"/>
      <c r="AS169" s="15"/>
      <c r="AT169" s="15"/>
      <c r="AU169" s="23"/>
      <c r="AV169" s="23"/>
    </row>
    <row r="170" spans="1:48" x14ac:dyDescent="0.25">
      <c r="A170" t="s">
        <v>393</v>
      </c>
      <c r="B170" t="s">
        <v>85</v>
      </c>
      <c r="C170" s="10">
        <v>-8</v>
      </c>
      <c r="D170" t="s">
        <v>440</v>
      </c>
      <c r="E170" s="2">
        <f t="shared" si="46"/>
        <v>46207</v>
      </c>
      <c r="F170" s="3">
        <f t="shared" si="38"/>
        <v>0.59305555555555556</v>
      </c>
      <c r="G170" t="s">
        <v>153</v>
      </c>
      <c r="H170" t="s">
        <v>154</v>
      </c>
      <c r="I170" t="s">
        <v>89</v>
      </c>
      <c r="J170" s="2">
        <v>46207</v>
      </c>
      <c r="K170" s="1">
        <v>0.60416666666666663</v>
      </c>
      <c r="L170" s="10">
        <f t="shared" si="34"/>
        <v>15.999999999999943</v>
      </c>
      <c r="M170" s="1" t="str">
        <f t="shared" si="47"/>
        <v>On Time</v>
      </c>
      <c r="N170" s="27" t="str">
        <f t="shared" si="35"/>
        <v>Ryanair</v>
      </c>
      <c r="O170" s="3" t="s">
        <v>1385</v>
      </c>
      <c r="P170" s="20">
        <f t="shared" si="36"/>
        <v>14</v>
      </c>
      <c r="Q170" s="3" t="s">
        <v>1385</v>
      </c>
      <c r="R170" s="23" t="str">
        <f t="shared" si="37"/>
        <v>Saturday</v>
      </c>
      <c r="S170" s="3" t="s">
        <v>1385</v>
      </c>
      <c r="T170" s="23" t="s">
        <v>85</v>
      </c>
      <c r="U170" s="3" t="s">
        <v>1385</v>
      </c>
      <c r="W170" s="32">
        <f t="shared" si="50"/>
        <v>3900000</v>
      </c>
      <c r="X170" s="33">
        <f t="shared" si="52"/>
        <v>1402</v>
      </c>
      <c r="Y170" s="34">
        <f t="shared" si="53"/>
        <v>350</v>
      </c>
      <c r="Z170" s="32">
        <f t="shared" si="51"/>
        <v>17.500000000000014</v>
      </c>
      <c r="AA170" s="33">
        <f t="shared" si="54"/>
        <v>2.9999999999999893</v>
      </c>
      <c r="AB170" s="34">
        <f t="shared" si="55"/>
        <v>2.9999999999999893</v>
      </c>
      <c r="AO170" s="15"/>
      <c r="AP170" s="15"/>
      <c r="AQ170" s="15"/>
      <c r="AR170" s="23"/>
      <c r="AS170" s="15"/>
      <c r="AT170" s="15"/>
      <c r="AU170" s="23"/>
      <c r="AV170" s="23"/>
    </row>
    <row r="171" spans="1:48" x14ac:dyDescent="0.25">
      <c r="A171" t="s">
        <v>192</v>
      </c>
      <c r="B171" t="s">
        <v>13</v>
      </c>
      <c r="C171" s="10">
        <v>263</v>
      </c>
      <c r="D171" t="s">
        <v>441</v>
      </c>
      <c r="E171" s="2">
        <f t="shared" si="46"/>
        <v>46207</v>
      </c>
      <c r="F171" s="3">
        <f t="shared" si="38"/>
        <v>0.59583333333333333</v>
      </c>
      <c r="G171" t="s">
        <v>194</v>
      </c>
      <c r="H171" t="s">
        <v>195</v>
      </c>
      <c r="I171" t="s">
        <v>17</v>
      </c>
      <c r="J171" s="2">
        <v>46207</v>
      </c>
      <c r="K171" s="1">
        <v>0.60763888888888895</v>
      </c>
      <c r="L171" s="10">
        <f t="shared" si="34"/>
        <v>17.000000000000099</v>
      </c>
      <c r="M171" s="1" t="str">
        <f t="shared" si="47"/>
        <v>On Time</v>
      </c>
      <c r="N171" s="27" t="str">
        <f t="shared" si="35"/>
        <v>Wizz Air</v>
      </c>
      <c r="O171" s="3" t="s">
        <v>1385</v>
      </c>
      <c r="P171" s="20">
        <f t="shared" si="36"/>
        <v>14</v>
      </c>
      <c r="Q171" s="3" t="s">
        <v>1385</v>
      </c>
      <c r="R171" s="23" t="str">
        <f t="shared" si="37"/>
        <v>Saturday</v>
      </c>
      <c r="S171" s="3" t="s">
        <v>1385</v>
      </c>
      <c r="T171" s="23" t="s">
        <v>13</v>
      </c>
      <c r="U171" s="3" t="s">
        <v>1385</v>
      </c>
      <c r="W171" s="32">
        <f t="shared" si="50"/>
        <v>3300000</v>
      </c>
      <c r="X171" s="33">
        <f t="shared" si="52"/>
        <v>1470</v>
      </c>
      <c r="Y171" s="34">
        <f t="shared" si="53"/>
        <v>1220</v>
      </c>
      <c r="Z171" s="32">
        <f t="shared" si="51"/>
        <v>3.9999999999999858</v>
      </c>
      <c r="AA171" s="33">
        <f t="shared" si="54"/>
        <v>-8.4999999999999858</v>
      </c>
      <c r="AB171" s="34">
        <f t="shared" si="55"/>
        <v>-8.4999999999999858</v>
      </c>
      <c r="AO171" s="15"/>
      <c r="AP171" s="15"/>
      <c r="AQ171" s="15"/>
      <c r="AR171" s="23"/>
      <c r="AS171" s="15"/>
      <c r="AT171" s="15"/>
      <c r="AU171" s="23"/>
      <c r="AV171" s="23"/>
    </row>
    <row r="172" spans="1:48" x14ac:dyDescent="0.25">
      <c r="A172" t="s">
        <v>156</v>
      </c>
      <c r="B172" t="s">
        <v>41</v>
      </c>
      <c r="C172" s="10">
        <v>-17</v>
      </c>
      <c r="D172" t="s">
        <v>442</v>
      </c>
      <c r="E172" s="2">
        <f t="shared" si="46"/>
        <v>46207</v>
      </c>
      <c r="F172" s="3">
        <f t="shared" si="38"/>
        <v>0.63680555555555551</v>
      </c>
      <c r="G172" t="s">
        <v>43</v>
      </c>
      <c r="H172" t="s">
        <v>44</v>
      </c>
      <c r="I172" t="s">
        <v>45</v>
      </c>
      <c r="J172" s="2">
        <v>46207</v>
      </c>
      <c r="K172" s="1">
        <v>0.63541666666666663</v>
      </c>
      <c r="L172" s="10">
        <f t="shared" si="34"/>
        <v>-1.9999999999999929</v>
      </c>
      <c r="M172" s="1" t="str">
        <f t="shared" si="47"/>
        <v>On Time</v>
      </c>
      <c r="N172" s="27" t="str">
        <f t="shared" si="35"/>
        <v>SAS</v>
      </c>
      <c r="O172" s="3" t="s">
        <v>1385</v>
      </c>
      <c r="P172" s="20">
        <f t="shared" si="36"/>
        <v>15</v>
      </c>
      <c r="Q172" s="3" t="s">
        <v>1385</v>
      </c>
      <c r="R172" s="23" t="str">
        <f t="shared" si="37"/>
        <v>Saturday</v>
      </c>
      <c r="S172" s="3" t="s">
        <v>1385</v>
      </c>
      <c r="T172" s="23" t="s">
        <v>41</v>
      </c>
      <c r="U172" s="3" t="s">
        <v>1385</v>
      </c>
      <c r="W172" s="32">
        <f t="shared" si="50"/>
        <v>25100000</v>
      </c>
      <c r="X172" s="33">
        <f t="shared" si="52"/>
        <v>1098</v>
      </c>
      <c r="Y172" s="34">
        <f t="shared" si="53"/>
        <v>1560</v>
      </c>
      <c r="Z172" s="32">
        <f t="shared" si="51"/>
        <v>12.999999999999954</v>
      </c>
      <c r="AA172" s="33">
        <f t="shared" si="54"/>
        <v>0</v>
      </c>
      <c r="AB172" s="34">
        <f t="shared" si="55"/>
        <v>0</v>
      </c>
      <c r="AO172" s="15"/>
      <c r="AP172" s="15"/>
      <c r="AQ172" s="15"/>
      <c r="AR172" s="23"/>
      <c r="AS172" s="15"/>
      <c r="AT172" s="15"/>
      <c r="AU172" s="23"/>
      <c r="AV172" s="23"/>
    </row>
    <row r="173" spans="1:48" x14ac:dyDescent="0.25">
      <c r="A173" t="s">
        <v>261</v>
      </c>
      <c r="B173" t="s">
        <v>85</v>
      </c>
      <c r="C173" s="10">
        <v>-9</v>
      </c>
      <c r="D173" t="s">
        <v>443</v>
      </c>
      <c r="E173" s="2">
        <f t="shared" si="46"/>
        <v>46207</v>
      </c>
      <c r="F173" s="3">
        <f t="shared" si="38"/>
        <v>0.63472222222222219</v>
      </c>
      <c r="G173" t="s">
        <v>263</v>
      </c>
      <c r="H173" t="s">
        <v>264</v>
      </c>
      <c r="I173" t="s">
        <v>89</v>
      </c>
      <c r="J173" s="2">
        <v>46207</v>
      </c>
      <c r="K173" s="1">
        <v>0.64236111111111105</v>
      </c>
      <c r="L173" s="10">
        <f t="shared" si="34"/>
        <v>10.999999999999961</v>
      </c>
      <c r="M173" s="1" t="str">
        <f t="shared" si="47"/>
        <v>On Time</v>
      </c>
      <c r="N173" s="27" t="str">
        <f t="shared" si="35"/>
        <v>Ryanair</v>
      </c>
      <c r="O173" s="3" t="s">
        <v>1385</v>
      </c>
      <c r="P173" s="20">
        <f t="shared" si="36"/>
        <v>15</v>
      </c>
      <c r="Q173" s="3" t="s">
        <v>1385</v>
      </c>
      <c r="R173" s="23" t="str">
        <f t="shared" si="37"/>
        <v>Saturday</v>
      </c>
      <c r="S173" s="3" t="s">
        <v>1385</v>
      </c>
      <c r="T173" s="23" t="s">
        <v>85</v>
      </c>
      <c r="U173" s="3" t="s">
        <v>1385</v>
      </c>
      <c r="W173" s="32">
        <f t="shared" si="50"/>
        <v>350000</v>
      </c>
      <c r="X173" s="33">
        <f t="shared" si="52"/>
        <v>1805</v>
      </c>
      <c r="Y173" s="34">
        <f t="shared" si="53"/>
        <v>370</v>
      </c>
      <c r="Z173" s="32">
        <f t="shared" si="51"/>
        <v>-23.000000000000238</v>
      </c>
      <c r="AA173" s="33">
        <f t="shared" si="54"/>
        <v>1.5000000000000147</v>
      </c>
      <c r="AB173" s="34">
        <f t="shared" si="55"/>
        <v>1.5000000000000147</v>
      </c>
      <c r="AO173" s="15"/>
      <c r="AP173" s="15"/>
      <c r="AQ173" s="15"/>
      <c r="AR173" s="23"/>
      <c r="AS173" s="15"/>
      <c r="AT173" s="15"/>
      <c r="AU173" s="23"/>
      <c r="AV173" s="23"/>
    </row>
    <row r="174" spans="1:48" x14ac:dyDescent="0.25">
      <c r="A174" t="s">
        <v>148</v>
      </c>
      <c r="B174" t="s">
        <v>7</v>
      </c>
      <c r="C174" s="10">
        <v>-51</v>
      </c>
      <c r="D174" t="s">
        <v>444</v>
      </c>
      <c r="E174" s="2">
        <f t="shared" si="46"/>
        <v>46207</v>
      </c>
      <c r="F174" s="3">
        <f t="shared" si="38"/>
        <v>0.69444444444444453</v>
      </c>
      <c r="G174" t="s">
        <v>9</v>
      </c>
      <c r="H174" t="s">
        <v>10</v>
      </c>
      <c r="I174" t="s">
        <v>11</v>
      </c>
      <c r="J174" s="2">
        <v>46207</v>
      </c>
      <c r="K174" s="1">
        <v>0.67013888888888884</v>
      </c>
      <c r="L174" s="10">
        <f t="shared" si="34"/>
        <v>-35.000000000000199</v>
      </c>
      <c r="M174" s="1" t="str">
        <f t="shared" si="47"/>
        <v>Delayed</v>
      </c>
      <c r="N174" s="27" t="str">
        <f t="shared" si="35"/>
        <v>airBaltic</v>
      </c>
      <c r="O174" s="3" t="s">
        <v>1318</v>
      </c>
      <c r="P174" s="20">
        <f t="shared" si="36"/>
        <v>16</v>
      </c>
      <c r="Q174" s="3" t="s">
        <v>1318</v>
      </c>
      <c r="R174" s="23" t="str">
        <f t="shared" si="37"/>
        <v>Saturday</v>
      </c>
      <c r="S174" s="3" t="s">
        <v>1318</v>
      </c>
      <c r="T174" s="23" t="s">
        <v>7</v>
      </c>
      <c r="U174" s="3" t="s">
        <v>1318</v>
      </c>
      <c r="W174" s="32">
        <f t="shared" si="50"/>
        <v>310000</v>
      </c>
      <c r="X174" s="33">
        <f t="shared" si="52"/>
        <v>1757</v>
      </c>
      <c r="Y174" s="34">
        <f t="shared" si="53"/>
        <v>425</v>
      </c>
      <c r="Z174" s="32">
        <f t="shared" si="51"/>
        <v>-17.499999999999936</v>
      </c>
      <c r="AA174" s="33">
        <f t="shared" si="54"/>
        <v>-58.000000000000114</v>
      </c>
      <c r="AB174" s="34">
        <f t="shared" si="55"/>
        <v>-58.000000000000114</v>
      </c>
      <c r="AO174" s="15"/>
      <c r="AP174" s="15"/>
      <c r="AQ174" s="15"/>
      <c r="AR174" s="23"/>
      <c r="AS174" s="15"/>
      <c r="AT174" s="15"/>
      <c r="AU174" s="23"/>
      <c r="AV174" s="23"/>
    </row>
    <row r="175" spans="1:48" x14ac:dyDescent="0.25">
      <c r="A175" t="s">
        <v>235</v>
      </c>
      <c r="B175" t="s">
        <v>19</v>
      </c>
      <c r="C175" s="10">
        <v>-19</v>
      </c>
      <c r="D175" t="s">
        <v>445</v>
      </c>
      <c r="E175" s="2">
        <f t="shared" si="46"/>
        <v>46207</v>
      </c>
      <c r="F175" s="3">
        <f t="shared" si="38"/>
        <v>0.68958333333333333</v>
      </c>
      <c r="G175" t="s">
        <v>21</v>
      </c>
      <c r="H175" t="s">
        <v>22</v>
      </c>
      <c r="I175" t="s">
        <v>276</v>
      </c>
      <c r="J175" s="2">
        <v>46207</v>
      </c>
      <c r="K175" s="1">
        <v>0.68055555555555547</v>
      </c>
      <c r="L175" s="10">
        <f t="shared" si="34"/>
        <v>-13.000000000000114</v>
      </c>
      <c r="M175" s="1" t="str">
        <f t="shared" si="47"/>
        <v>On Time</v>
      </c>
      <c r="N175" s="27" t="str">
        <f t="shared" si="35"/>
        <v>LOT</v>
      </c>
      <c r="O175" s="3" t="s">
        <v>1385</v>
      </c>
      <c r="P175" s="20">
        <f t="shared" si="36"/>
        <v>16</v>
      </c>
      <c r="Q175" s="3" t="s">
        <v>1385</v>
      </c>
      <c r="R175" s="23" t="str">
        <f t="shared" si="37"/>
        <v>Saturday</v>
      </c>
      <c r="S175" s="3" t="s">
        <v>1385</v>
      </c>
      <c r="T175" s="23" t="s">
        <v>19</v>
      </c>
      <c r="U175" s="3" t="s">
        <v>1385</v>
      </c>
      <c r="W175" s="32">
        <f t="shared" si="50"/>
        <v>31100000</v>
      </c>
      <c r="X175" s="33">
        <f t="shared" si="52"/>
        <v>1029</v>
      </c>
      <c r="Y175" s="34">
        <f t="shared" si="53"/>
        <v>519</v>
      </c>
      <c r="Z175" s="32">
        <f t="shared" si="51"/>
        <v>3.4999999999999876</v>
      </c>
      <c r="AA175" s="33">
        <f t="shared" si="54"/>
        <v>17.500000000000014</v>
      </c>
      <c r="AB175" s="34">
        <f t="shared" si="55"/>
        <v>17.500000000000014</v>
      </c>
      <c r="AO175" s="15"/>
      <c r="AP175" s="15"/>
      <c r="AQ175" s="15"/>
      <c r="AR175" s="23"/>
      <c r="AS175" s="15"/>
      <c r="AT175" s="15"/>
      <c r="AU175" s="23"/>
      <c r="AV175" s="23"/>
    </row>
    <row r="176" spans="1:48" x14ac:dyDescent="0.25">
      <c r="A176" t="s">
        <v>446</v>
      </c>
      <c r="B176" t="s">
        <v>85</v>
      </c>
      <c r="C176" s="10">
        <v>-12</v>
      </c>
      <c r="D176" t="s">
        <v>447</v>
      </c>
      <c r="E176" s="2">
        <f t="shared" si="46"/>
        <v>46207</v>
      </c>
      <c r="F176" s="3">
        <f t="shared" si="38"/>
        <v>0.68263888888888891</v>
      </c>
      <c r="G176" t="s">
        <v>102</v>
      </c>
      <c r="H176" t="s">
        <v>103</v>
      </c>
      <c r="I176" t="s">
        <v>89</v>
      </c>
      <c r="J176" s="2">
        <v>46207</v>
      </c>
      <c r="K176" s="1">
        <v>0.69097222222222221</v>
      </c>
      <c r="L176" s="10">
        <f t="shared" si="34"/>
        <v>11.999999999999957</v>
      </c>
      <c r="M176" s="1" t="str">
        <f t="shared" si="47"/>
        <v>On Time</v>
      </c>
      <c r="N176" s="27" t="str">
        <f t="shared" si="35"/>
        <v>Ryanair</v>
      </c>
      <c r="O176" s="3" t="s">
        <v>1385</v>
      </c>
      <c r="P176" s="20">
        <f t="shared" si="36"/>
        <v>16</v>
      </c>
      <c r="Q176" s="3" t="s">
        <v>1385</v>
      </c>
      <c r="R176" s="23" t="str">
        <f t="shared" si="37"/>
        <v>Saturday</v>
      </c>
      <c r="S176" s="3" t="s">
        <v>1385</v>
      </c>
      <c r="T176" s="23" t="s">
        <v>85</v>
      </c>
      <c r="U176" s="3" t="s">
        <v>1385</v>
      </c>
      <c r="W176" s="32">
        <f t="shared" si="50"/>
        <v>5600000</v>
      </c>
      <c r="X176" s="33">
        <f t="shared" si="52"/>
        <v>1765</v>
      </c>
      <c r="Y176" s="34">
        <f t="shared" si="53"/>
        <v>170</v>
      </c>
      <c r="Z176" s="32">
        <f t="shared" si="51"/>
        <v>10.500000000000043</v>
      </c>
      <c r="AA176" s="33">
        <f t="shared" si="54"/>
        <v>3.9999999999999858</v>
      </c>
      <c r="AB176" s="34">
        <f t="shared" si="55"/>
        <v>3.9999999999999858</v>
      </c>
      <c r="AO176" s="15"/>
      <c r="AP176" s="15"/>
      <c r="AQ176" s="15"/>
      <c r="AR176" s="23"/>
      <c r="AS176" s="15"/>
      <c r="AT176" s="15"/>
      <c r="AU176" s="23"/>
      <c r="AV176" s="23"/>
    </row>
    <row r="177" spans="1:48" x14ac:dyDescent="0.25">
      <c r="A177" t="s">
        <v>159</v>
      </c>
      <c r="B177" t="s">
        <v>85</v>
      </c>
      <c r="C177" s="10">
        <v>-4</v>
      </c>
      <c r="D177" t="s">
        <v>448</v>
      </c>
      <c r="E177" s="2">
        <f t="shared" si="46"/>
        <v>46207</v>
      </c>
      <c r="F177" s="3">
        <f t="shared" si="38"/>
        <v>0.6958333333333333</v>
      </c>
      <c r="G177" t="s">
        <v>34</v>
      </c>
      <c r="H177" t="s">
        <v>161</v>
      </c>
      <c r="I177" t="s">
        <v>89</v>
      </c>
      <c r="J177" s="2">
        <v>46207</v>
      </c>
      <c r="K177" s="1">
        <v>0.70486111111111116</v>
      </c>
      <c r="L177" s="10">
        <f t="shared" si="34"/>
        <v>13.000000000000114</v>
      </c>
      <c r="M177" s="1" t="str">
        <f t="shared" si="47"/>
        <v>On Time</v>
      </c>
      <c r="N177" s="27" t="str">
        <f t="shared" si="35"/>
        <v>Ryanair</v>
      </c>
      <c r="O177" s="3" t="s">
        <v>1385</v>
      </c>
      <c r="P177" s="20">
        <f t="shared" si="36"/>
        <v>16</v>
      </c>
      <c r="Q177" s="3" t="s">
        <v>1385</v>
      </c>
      <c r="R177" s="23" t="str">
        <f t="shared" si="37"/>
        <v>Saturday</v>
      </c>
      <c r="S177" s="3" t="s">
        <v>1385</v>
      </c>
      <c r="T177" s="23" t="s">
        <v>85</v>
      </c>
      <c r="U177" s="3" t="s">
        <v>1385</v>
      </c>
      <c r="W177" s="32">
        <f t="shared" si="50"/>
        <v>70300000</v>
      </c>
      <c r="X177" s="33">
        <f t="shared" si="52"/>
        <v>1003</v>
      </c>
      <c r="Y177" s="34">
        <f t="shared" si="53"/>
        <v>1300</v>
      </c>
      <c r="Z177" s="32">
        <f t="shared" si="51"/>
        <v>-2.4999999999999112</v>
      </c>
      <c r="AA177" s="33">
        <f t="shared" si="54"/>
        <v>12.999999999999954</v>
      </c>
      <c r="AB177" s="34">
        <f t="shared" si="55"/>
        <v>12.999999999999954</v>
      </c>
      <c r="AO177" s="15"/>
      <c r="AP177" s="15"/>
      <c r="AQ177" s="15"/>
      <c r="AR177" s="23"/>
      <c r="AS177" s="15"/>
      <c r="AT177" s="15"/>
      <c r="AU177" s="23"/>
      <c r="AV177" s="23"/>
    </row>
    <row r="178" spans="1:48" x14ac:dyDescent="0.25">
      <c r="A178" t="s">
        <v>196</v>
      </c>
      <c r="B178" t="s">
        <v>13</v>
      </c>
      <c r="C178" s="10">
        <v>-28</v>
      </c>
      <c r="D178" t="s">
        <v>449</v>
      </c>
      <c r="E178" s="2">
        <f t="shared" si="46"/>
        <v>46207</v>
      </c>
      <c r="F178" s="3">
        <f t="shared" si="38"/>
        <v>0.71458333333333324</v>
      </c>
      <c r="G178" t="s">
        <v>198</v>
      </c>
      <c r="H178" t="s">
        <v>199</v>
      </c>
      <c r="I178" t="s">
        <v>17</v>
      </c>
      <c r="J178" s="2">
        <v>46207</v>
      </c>
      <c r="K178" s="1">
        <v>0.70833333333333337</v>
      </c>
      <c r="L178" s="10">
        <f t="shared" si="34"/>
        <v>-8.9999999999998082</v>
      </c>
      <c r="M178" s="1" t="str">
        <f t="shared" si="47"/>
        <v>On Time</v>
      </c>
      <c r="N178" s="27" t="str">
        <f t="shared" si="35"/>
        <v>Wizz Air</v>
      </c>
      <c r="O178" s="3" t="s">
        <v>1385</v>
      </c>
      <c r="P178" s="20">
        <f t="shared" si="36"/>
        <v>17</v>
      </c>
      <c r="Q178" s="3" t="s">
        <v>1385</v>
      </c>
      <c r="R178" s="23" t="str">
        <f t="shared" si="37"/>
        <v>Saturday</v>
      </c>
      <c r="S178" s="3" t="s">
        <v>1385</v>
      </c>
      <c r="T178" s="23" t="s">
        <v>13</v>
      </c>
      <c r="U178" s="3" t="s">
        <v>1385</v>
      </c>
      <c r="W178" s="32">
        <f t="shared" ref="W178:W188" si="56">IF(OR(ISNA(W77), ISNA(Z77)), "", W77)</f>
        <v>120000</v>
      </c>
      <c r="X178" s="33">
        <f t="shared" si="52"/>
        <v>699</v>
      </c>
      <c r="Y178" s="34">
        <f t="shared" si="53"/>
        <v>260</v>
      </c>
      <c r="Z178" s="32">
        <f t="shared" ref="Z178:Z188" si="57">IF(OR(ISNA(W77), ISNA(Z77)), "", Z77)</f>
        <v>-1.0000000000000764</v>
      </c>
      <c r="AA178" s="33">
        <f t="shared" si="54"/>
        <v>-23.000000000000238</v>
      </c>
      <c r="AB178" s="34">
        <f t="shared" si="55"/>
        <v>-23.000000000000238</v>
      </c>
      <c r="AO178" s="15"/>
      <c r="AP178" s="15"/>
      <c r="AQ178" s="15"/>
      <c r="AR178" s="23"/>
      <c r="AS178" s="15"/>
      <c r="AT178" s="15"/>
      <c r="AU178" s="23"/>
      <c r="AV178" s="23"/>
    </row>
    <row r="179" spans="1:48" x14ac:dyDescent="0.25">
      <c r="A179" t="s">
        <v>182</v>
      </c>
      <c r="B179" t="s">
        <v>69</v>
      </c>
      <c r="C179" s="10">
        <v>-40</v>
      </c>
      <c r="D179" t="s">
        <v>450</v>
      </c>
      <c r="E179" s="2">
        <f t="shared" si="46"/>
        <v>46207</v>
      </c>
      <c r="F179" s="3">
        <f t="shared" si="38"/>
        <v>0.76388888888888884</v>
      </c>
      <c r="G179" t="s">
        <v>71</v>
      </c>
      <c r="H179" t="s">
        <v>72</v>
      </c>
      <c r="I179" t="s">
        <v>73</v>
      </c>
      <c r="J179" s="2">
        <v>46207</v>
      </c>
      <c r="K179" s="1">
        <v>0.74652777777777779</v>
      </c>
      <c r="L179" s="10">
        <f t="shared" si="34"/>
        <v>-24.999999999999911</v>
      </c>
      <c r="M179" s="1" t="str">
        <f t="shared" si="47"/>
        <v>Delayed</v>
      </c>
      <c r="N179" s="27" t="str">
        <f t="shared" si="35"/>
        <v>Finnair</v>
      </c>
      <c r="O179" s="3" t="s">
        <v>1318</v>
      </c>
      <c r="P179" s="20">
        <f t="shared" si="36"/>
        <v>18</v>
      </c>
      <c r="Q179" s="3" t="s">
        <v>1318</v>
      </c>
      <c r="R179" s="23" t="str">
        <f t="shared" si="37"/>
        <v>Saturday</v>
      </c>
      <c r="S179" s="3" t="s">
        <v>1318</v>
      </c>
      <c r="T179" s="23" t="s">
        <v>69</v>
      </c>
      <c r="U179" s="3" t="s">
        <v>1318</v>
      </c>
      <c r="W179" s="32">
        <f t="shared" si="56"/>
        <v>1600000</v>
      </c>
      <c r="X179" s="33">
        <f t="shared" si="52"/>
        <v>271</v>
      </c>
      <c r="Y179" s="34">
        <f t="shared" si="53"/>
        <v>176</v>
      </c>
      <c r="Z179" s="32">
        <f t="shared" si="57"/>
        <v>5.0000000000000124</v>
      </c>
      <c r="AA179" s="33">
        <f t="shared" si="54"/>
        <v>-17.499999999999936</v>
      </c>
      <c r="AB179" s="34">
        <f t="shared" si="55"/>
        <v>-17.499999999999936</v>
      </c>
      <c r="AO179" s="15"/>
      <c r="AP179" s="15"/>
      <c r="AQ179" s="15"/>
      <c r="AR179" s="23"/>
      <c r="AS179" s="15"/>
      <c r="AT179" s="15"/>
      <c r="AU179" s="23"/>
      <c r="AV179" s="23"/>
    </row>
    <row r="180" spans="1:48" x14ac:dyDescent="0.25">
      <c r="A180" t="s">
        <v>200</v>
      </c>
      <c r="B180" t="s">
        <v>13</v>
      </c>
      <c r="C180" s="10">
        <v>-19</v>
      </c>
      <c r="D180" t="s">
        <v>451</v>
      </c>
      <c r="E180" s="2">
        <f t="shared" si="46"/>
        <v>46207</v>
      </c>
      <c r="F180" s="3">
        <f t="shared" si="38"/>
        <v>0.75138888888888899</v>
      </c>
      <c r="G180" t="s">
        <v>202</v>
      </c>
      <c r="H180" t="s">
        <v>203</v>
      </c>
      <c r="I180" t="s">
        <v>17</v>
      </c>
      <c r="J180" s="2">
        <v>46207</v>
      </c>
      <c r="K180" s="1">
        <v>0.75347222222222221</v>
      </c>
      <c r="L180" s="10">
        <f t="shared" si="34"/>
        <v>2.9999999999998295</v>
      </c>
      <c r="M180" s="1" t="str">
        <f t="shared" si="47"/>
        <v>On Time</v>
      </c>
      <c r="N180" s="27" t="str">
        <f t="shared" si="35"/>
        <v>Wizz Air</v>
      </c>
      <c r="O180" s="3" t="s">
        <v>1385</v>
      </c>
      <c r="P180" s="20">
        <f t="shared" si="36"/>
        <v>18</v>
      </c>
      <c r="Q180" s="3" t="s">
        <v>1385</v>
      </c>
      <c r="R180" s="23" t="str">
        <f t="shared" si="37"/>
        <v>Saturday</v>
      </c>
      <c r="S180" s="3" t="s">
        <v>1385</v>
      </c>
      <c r="T180" s="23" t="s">
        <v>13</v>
      </c>
      <c r="U180" s="3" t="s">
        <v>1385</v>
      </c>
      <c r="W180" s="32">
        <f t="shared" si="56"/>
        <v>13800000</v>
      </c>
      <c r="X180" s="33">
        <f t="shared" si="52"/>
        <v>2339</v>
      </c>
      <c r="Y180" s="34">
        <f t="shared" si="53"/>
        <v>630</v>
      </c>
      <c r="Z180" s="32">
        <f t="shared" si="57"/>
        <v>14.000000000000005</v>
      </c>
      <c r="AA180" s="33">
        <f t="shared" si="54"/>
        <v>3.4999999999999876</v>
      </c>
      <c r="AB180" s="34">
        <f t="shared" si="55"/>
        <v>3.4999999999999876</v>
      </c>
      <c r="AO180" s="15"/>
      <c r="AP180" s="15"/>
      <c r="AQ180" s="15"/>
      <c r="AR180" s="23"/>
      <c r="AS180" s="15"/>
      <c r="AT180" s="15"/>
      <c r="AU180" s="23"/>
      <c r="AV180" s="23"/>
    </row>
    <row r="181" spans="1:48" x14ac:dyDescent="0.25">
      <c r="A181" t="s">
        <v>452</v>
      </c>
      <c r="B181" t="s">
        <v>7</v>
      </c>
      <c r="C181" s="10">
        <v>-44</v>
      </c>
      <c r="D181" t="s">
        <v>370</v>
      </c>
      <c r="E181" s="2">
        <f t="shared" si="46"/>
        <v>46207</v>
      </c>
      <c r="F181" s="3">
        <f t="shared" si="38"/>
        <v>0.78055555555555556</v>
      </c>
      <c r="G181" t="s">
        <v>349</v>
      </c>
      <c r="H181" t="s">
        <v>350</v>
      </c>
      <c r="I181" t="s">
        <v>11</v>
      </c>
      <c r="J181" s="2">
        <v>46207</v>
      </c>
      <c r="K181" s="1">
        <v>0.76388888888888884</v>
      </c>
      <c r="L181" s="10">
        <f t="shared" si="34"/>
        <v>-24.000000000000075</v>
      </c>
      <c r="M181" s="1" t="str">
        <f t="shared" si="47"/>
        <v>Delayed</v>
      </c>
      <c r="N181" s="27" t="str">
        <f t="shared" si="35"/>
        <v>airBaltic</v>
      </c>
      <c r="O181" s="3" t="s">
        <v>1318</v>
      </c>
      <c r="P181" s="20">
        <f t="shared" si="36"/>
        <v>18</v>
      </c>
      <c r="Q181" s="3" t="s">
        <v>1318</v>
      </c>
      <c r="R181" s="23" t="str">
        <f t="shared" si="37"/>
        <v>Saturday</v>
      </c>
      <c r="S181" s="3" t="s">
        <v>1318</v>
      </c>
      <c r="T181" s="23" t="s">
        <v>7</v>
      </c>
      <c r="U181" s="3" t="s">
        <v>1318</v>
      </c>
      <c r="W181" s="32">
        <f t="shared" si="56"/>
        <v>400000</v>
      </c>
      <c r="X181" s="33">
        <f t="shared" si="52"/>
        <v>1659</v>
      </c>
      <c r="Y181" s="34">
        <f t="shared" si="53"/>
        <v>110</v>
      </c>
      <c r="Z181" s="32">
        <f t="shared" si="57"/>
        <v>-0.99999999999983658</v>
      </c>
      <c r="AA181" s="33">
        <f t="shared" si="54"/>
        <v>10.500000000000043</v>
      </c>
      <c r="AB181" s="34">
        <f t="shared" si="55"/>
        <v>10.500000000000043</v>
      </c>
      <c r="AO181" s="15"/>
      <c r="AP181" s="15"/>
      <c r="AQ181" s="15"/>
      <c r="AR181" s="23"/>
      <c r="AS181" s="15"/>
      <c r="AT181" s="15"/>
      <c r="AU181" s="23"/>
      <c r="AV181" s="23"/>
    </row>
    <row r="182" spans="1:48" x14ac:dyDescent="0.25">
      <c r="A182" t="s">
        <v>186</v>
      </c>
      <c r="B182" t="s">
        <v>19</v>
      </c>
      <c r="C182" s="10">
        <v>-56</v>
      </c>
      <c r="D182" t="s">
        <v>209</v>
      </c>
      <c r="E182" s="2">
        <f t="shared" si="46"/>
        <v>46207</v>
      </c>
      <c r="F182" s="3">
        <f t="shared" si="38"/>
        <v>0.79999999999999993</v>
      </c>
      <c r="G182" t="s">
        <v>21</v>
      </c>
      <c r="H182" t="s">
        <v>22</v>
      </c>
      <c r="I182" t="s">
        <v>237</v>
      </c>
      <c r="J182" s="2">
        <v>46207</v>
      </c>
      <c r="K182" s="1">
        <v>0.77430555555555547</v>
      </c>
      <c r="L182" s="10">
        <f t="shared" si="34"/>
        <v>-37.000000000000028</v>
      </c>
      <c r="M182" s="1" t="str">
        <f t="shared" si="47"/>
        <v>Delayed</v>
      </c>
      <c r="N182" s="27" t="str">
        <f t="shared" si="35"/>
        <v>LOT</v>
      </c>
      <c r="O182" s="3" t="s">
        <v>1318</v>
      </c>
      <c r="P182" s="20">
        <f t="shared" si="36"/>
        <v>19</v>
      </c>
      <c r="Q182" s="3" t="s">
        <v>1318</v>
      </c>
      <c r="R182" s="23" t="str">
        <f t="shared" si="37"/>
        <v>Saturday</v>
      </c>
      <c r="S182" s="3" t="s">
        <v>1318</v>
      </c>
      <c r="T182" s="23" t="s">
        <v>19</v>
      </c>
      <c r="U182" s="3" t="s">
        <v>1318</v>
      </c>
      <c r="W182" s="32">
        <f t="shared" si="56"/>
        <v>6100000</v>
      </c>
      <c r="X182" s="33">
        <f t="shared" si="52"/>
        <v>1677</v>
      </c>
      <c r="Y182" s="34">
        <f t="shared" si="53"/>
        <v>3238</v>
      </c>
      <c r="Z182" s="32">
        <f t="shared" si="57"/>
        <v>9.0000000000001279</v>
      </c>
      <c r="AA182" s="33">
        <f t="shared" si="54"/>
        <v>-2.4999999999999112</v>
      </c>
      <c r="AB182" s="34">
        <f t="shared" si="55"/>
        <v>-2.4999999999999112</v>
      </c>
      <c r="AO182" s="15"/>
      <c r="AP182" s="15"/>
      <c r="AQ182" s="15"/>
      <c r="AR182" s="23"/>
      <c r="AS182" s="15"/>
      <c r="AT182" s="15"/>
      <c r="AU182" s="23"/>
      <c r="AV182" s="23"/>
    </row>
    <row r="183" spans="1:48" x14ac:dyDescent="0.25">
      <c r="A183" t="s">
        <v>208</v>
      </c>
      <c r="B183" t="s">
        <v>96</v>
      </c>
      <c r="C183" s="10">
        <v>-31</v>
      </c>
      <c r="D183" t="s">
        <v>453</v>
      </c>
      <c r="E183" s="2">
        <f t="shared" si="46"/>
        <v>46207</v>
      </c>
      <c r="F183" s="3">
        <f t="shared" si="38"/>
        <v>0.81388888888888899</v>
      </c>
      <c r="G183" t="s">
        <v>98</v>
      </c>
      <c r="H183" t="s">
        <v>99</v>
      </c>
      <c r="I183" t="s">
        <v>305</v>
      </c>
      <c r="J183" s="2">
        <v>46207</v>
      </c>
      <c r="K183" s="1">
        <v>0.8125</v>
      </c>
      <c r="L183" s="10">
        <f t="shared" si="34"/>
        <v>-2.0000000000001528</v>
      </c>
      <c r="M183" s="1" t="str">
        <f t="shared" si="47"/>
        <v>On Time</v>
      </c>
      <c r="N183" s="27" t="str">
        <f t="shared" si="35"/>
        <v>Turkish Airlines</v>
      </c>
      <c r="O183" s="3" t="s">
        <v>1385</v>
      </c>
      <c r="P183" s="20">
        <f t="shared" si="36"/>
        <v>19</v>
      </c>
      <c r="Q183" s="3" t="s">
        <v>1385</v>
      </c>
      <c r="R183" s="23" t="str">
        <f t="shared" si="37"/>
        <v>Saturday</v>
      </c>
      <c r="S183" s="3" t="s">
        <v>1385</v>
      </c>
      <c r="T183" s="23" t="s">
        <v>96</v>
      </c>
      <c r="U183" s="3" t="s">
        <v>1385</v>
      </c>
      <c r="W183" s="32">
        <f t="shared" si="56"/>
        <v>6600000</v>
      </c>
      <c r="X183" s="33">
        <f t="shared" si="52"/>
        <v>1684</v>
      </c>
      <c r="Y183" s="34">
        <f t="shared" si="53"/>
        <v>553</v>
      </c>
      <c r="Z183" s="32">
        <f t="shared" si="57"/>
        <v>-24.499999999999915</v>
      </c>
      <c r="AA183" s="33">
        <f t="shared" si="54"/>
        <v>-3.9999999999999858</v>
      </c>
      <c r="AB183" s="34">
        <f t="shared" si="55"/>
        <v>-3.9999999999999858</v>
      </c>
      <c r="AO183" s="15"/>
      <c r="AP183" s="15"/>
      <c r="AQ183" s="15"/>
      <c r="AR183" s="23"/>
      <c r="AS183" s="15"/>
      <c r="AT183" s="15"/>
      <c r="AU183" s="23"/>
      <c r="AV183" s="23"/>
    </row>
    <row r="184" spans="1:48" x14ac:dyDescent="0.25">
      <c r="A184" t="s">
        <v>211</v>
      </c>
      <c r="B184" t="s">
        <v>7</v>
      </c>
      <c r="C184" s="10">
        <v>-13</v>
      </c>
      <c r="D184" t="s">
        <v>454</v>
      </c>
      <c r="E184" s="2">
        <f t="shared" si="46"/>
        <v>46207</v>
      </c>
      <c r="F184" s="3">
        <f t="shared" si="38"/>
        <v>0.8208333333333333</v>
      </c>
      <c r="G184" t="s">
        <v>135</v>
      </c>
      <c r="H184" t="s">
        <v>136</v>
      </c>
      <c r="I184" t="s">
        <v>11</v>
      </c>
      <c r="J184" s="2">
        <v>46207</v>
      </c>
      <c r="K184" s="1">
        <v>0.82638888888888884</v>
      </c>
      <c r="L184" s="10">
        <f t="shared" si="34"/>
        <v>7.9999999999999716</v>
      </c>
      <c r="M184" s="1" t="str">
        <f t="shared" si="47"/>
        <v>On Time</v>
      </c>
      <c r="N184" s="27" t="str">
        <f t="shared" si="35"/>
        <v>airBaltic</v>
      </c>
      <c r="O184" s="3" t="s">
        <v>1385</v>
      </c>
      <c r="P184" s="20">
        <f t="shared" si="36"/>
        <v>19</v>
      </c>
      <c r="Q184" s="3" t="s">
        <v>1385</v>
      </c>
      <c r="R184" s="23" t="str">
        <f t="shared" si="37"/>
        <v>Saturday</v>
      </c>
      <c r="S184" s="3" t="s">
        <v>1385</v>
      </c>
      <c r="T184" s="23" t="s">
        <v>7</v>
      </c>
      <c r="U184" s="3" t="s">
        <v>1385</v>
      </c>
      <c r="W184" s="32">
        <f t="shared" si="56"/>
        <v>280000</v>
      </c>
      <c r="X184" s="33">
        <f t="shared" si="52"/>
        <v>1770</v>
      </c>
      <c r="Y184" s="34">
        <f t="shared" si="53"/>
        <v>180</v>
      </c>
      <c r="Z184" s="32">
        <f t="shared" si="57"/>
        <v>19.999999999999929</v>
      </c>
      <c r="AA184" s="33">
        <f t="shared" si="54"/>
        <v>-1.0000000000000764</v>
      </c>
      <c r="AB184" s="34">
        <f t="shared" si="55"/>
        <v>-1.0000000000000764</v>
      </c>
      <c r="AO184" s="15"/>
      <c r="AP184" s="15"/>
      <c r="AQ184" s="15"/>
      <c r="AR184" s="23"/>
      <c r="AS184" s="15"/>
      <c r="AT184" s="15"/>
      <c r="AU184" s="23"/>
      <c r="AV184" s="23"/>
    </row>
    <row r="185" spans="1:48" x14ac:dyDescent="0.25">
      <c r="A185" t="s">
        <v>215</v>
      </c>
      <c r="B185" t="s">
        <v>13</v>
      </c>
      <c r="C185" s="10">
        <v>0</v>
      </c>
      <c r="D185" t="s">
        <v>455</v>
      </c>
      <c r="E185" s="2">
        <f t="shared" si="46"/>
        <v>46207</v>
      </c>
      <c r="F185" s="3">
        <f t="shared" si="38"/>
        <v>0.82777777777777783</v>
      </c>
      <c r="G185" t="s">
        <v>217</v>
      </c>
      <c r="H185" t="s">
        <v>218</v>
      </c>
      <c r="I185" t="s">
        <v>17</v>
      </c>
      <c r="J185" s="2">
        <v>46207</v>
      </c>
      <c r="K185" s="1">
        <v>0.84375</v>
      </c>
      <c r="L185" s="10">
        <f t="shared" si="34"/>
        <v>22.999999999999918</v>
      </c>
      <c r="M185" s="1" t="str">
        <f t="shared" si="47"/>
        <v>On Time</v>
      </c>
      <c r="N185" s="27" t="str">
        <f t="shared" si="35"/>
        <v>Wizz Air</v>
      </c>
      <c r="O185" s="3" t="s">
        <v>1385</v>
      </c>
      <c r="P185" s="20">
        <f t="shared" si="36"/>
        <v>19</v>
      </c>
      <c r="Q185" s="3" t="s">
        <v>1385</v>
      </c>
      <c r="R185" s="23" t="str">
        <f t="shared" si="37"/>
        <v>Saturday</v>
      </c>
      <c r="S185" s="3" t="s">
        <v>1385</v>
      </c>
      <c r="T185" s="23" t="s">
        <v>13</v>
      </c>
      <c r="U185" s="3" t="s">
        <v>1385</v>
      </c>
      <c r="W185" s="32">
        <f t="shared" si="56"/>
        <v>3900000</v>
      </c>
      <c r="X185" s="33">
        <f t="shared" si="52"/>
        <v>1323</v>
      </c>
      <c r="Y185" s="34">
        <f t="shared" si="53"/>
        <v>270</v>
      </c>
      <c r="Z185" s="32">
        <f t="shared" si="57"/>
        <v>8.0000000000000515</v>
      </c>
      <c r="AA185" s="33">
        <f t="shared" si="54"/>
        <v>5.0000000000000124</v>
      </c>
      <c r="AB185" s="34">
        <f t="shared" si="55"/>
        <v>5.0000000000000124</v>
      </c>
      <c r="AO185" s="15"/>
      <c r="AP185" s="15"/>
      <c r="AQ185" s="15"/>
      <c r="AR185" s="23"/>
      <c r="AS185" s="15"/>
      <c r="AT185" s="15"/>
      <c r="AU185" s="23"/>
      <c r="AV185" s="23"/>
    </row>
    <row r="186" spans="1:48" x14ac:dyDescent="0.25">
      <c r="A186" t="s">
        <v>219</v>
      </c>
      <c r="B186" t="s">
        <v>7</v>
      </c>
      <c r="C186" s="10">
        <v>-20</v>
      </c>
      <c r="D186" t="s">
        <v>456</v>
      </c>
      <c r="E186" s="2">
        <f t="shared" si="46"/>
        <v>46207</v>
      </c>
      <c r="F186" s="3">
        <f t="shared" si="38"/>
        <v>0.86736111111111114</v>
      </c>
      <c r="G186" t="s">
        <v>9</v>
      </c>
      <c r="H186" t="s">
        <v>10</v>
      </c>
      <c r="I186" t="s">
        <v>11</v>
      </c>
      <c r="J186" s="2">
        <v>46207</v>
      </c>
      <c r="K186" s="1">
        <v>0.86805555555555547</v>
      </c>
      <c r="L186" s="10">
        <f t="shared" si="34"/>
        <v>0.99999999999983658</v>
      </c>
      <c r="M186" s="1" t="str">
        <f t="shared" si="47"/>
        <v>On Time</v>
      </c>
      <c r="N186" s="27" t="str">
        <f t="shared" si="35"/>
        <v>airBaltic</v>
      </c>
      <c r="O186" s="3" t="s">
        <v>1385</v>
      </c>
      <c r="P186" s="20">
        <f t="shared" si="36"/>
        <v>20</v>
      </c>
      <c r="Q186" s="3" t="s">
        <v>1385</v>
      </c>
      <c r="R186" s="23" t="str">
        <f t="shared" si="37"/>
        <v>Saturday</v>
      </c>
      <c r="S186" s="3" t="s">
        <v>1385</v>
      </c>
      <c r="T186" s="23" t="s">
        <v>7</v>
      </c>
      <c r="U186" s="3" t="s">
        <v>1385</v>
      </c>
      <c r="W186" s="32">
        <f t="shared" si="56"/>
        <v>60000</v>
      </c>
      <c r="X186" s="33">
        <f t="shared" si="52"/>
        <v>892</v>
      </c>
      <c r="Y186" s="34">
        <f t="shared" si="53"/>
        <v>920</v>
      </c>
      <c r="Z186" s="32">
        <f t="shared" si="57"/>
        <v>-12.999999999999794</v>
      </c>
      <c r="AA186" s="33">
        <f t="shared" si="54"/>
        <v>14.000000000000005</v>
      </c>
      <c r="AB186" s="34">
        <f t="shared" si="55"/>
        <v>14.000000000000005</v>
      </c>
      <c r="AO186" s="15"/>
      <c r="AP186" s="15"/>
      <c r="AQ186" s="15"/>
      <c r="AR186" s="23"/>
      <c r="AS186" s="15"/>
      <c r="AT186" s="15"/>
      <c r="AU186" s="23"/>
      <c r="AV186" s="23"/>
    </row>
    <row r="187" spans="1:48" x14ac:dyDescent="0.25">
      <c r="A187" t="s">
        <v>457</v>
      </c>
      <c r="B187" t="s">
        <v>117</v>
      </c>
      <c r="D187" t="s">
        <v>458</v>
      </c>
      <c r="E187" s="2">
        <f t="shared" si="46"/>
        <v>46207</v>
      </c>
      <c r="F187" s="3">
        <f t="shared" si="38"/>
        <v>0.88750000000000007</v>
      </c>
      <c r="G187" t="s">
        <v>247</v>
      </c>
      <c r="H187" t="s">
        <v>248</v>
      </c>
      <c r="I187" t="s">
        <v>83</v>
      </c>
      <c r="J187" s="2">
        <v>46207</v>
      </c>
      <c r="K187" s="1">
        <v>0.88055555555555554</v>
      </c>
      <c r="L187" s="10">
        <f t="shared" si="34"/>
        <v>-10.000000000000124</v>
      </c>
      <c r="M187" s="1" t="str">
        <f t="shared" si="47"/>
        <v>On Time</v>
      </c>
      <c r="N187" s="27" t="str">
        <f t="shared" si="35"/>
        <v>Heston Airlines</v>
      </c>
      <c r="O187" s="3" t="s">
        <v>1385</v>
      </c>
      <c r="P187" s="20">
        <f t="shared" si="36"/>
        <v>21</v>
      </c>
      <c r="Q187" s="3" t="s">
        <v>1385</v>
      </c>
      <c r="R187" s="23" t="str">
        <f t="shared" si="37"/>
        <v>Saturday</v>
      </c>
      <c r="S187" s="3" t="s">
        <v>1385</v>
      </c>
      <c r="T187" s="23" t="s">
        <v>117</v>
      </c>
      <c r="U187" s="3" t="s">
        <v>1385</v>
      </c>
      <c r="W187" s="32">
        <f t="shared" si="56"/>
        <v>200000</v>
      </c>
      <c r="X187" s="33">
        <f t="shared" si="52"/>
        <v>1263</v>
      </c>
      <c r="Y187" s="34">
        <f t="shared" si="53"/>
        <v>215</v>
      </c>
      <c r="Z187" s="32">
        <f t="shared" si="57"/>
        <v>-39.000000000000021</v>
      </c>
      <c r="AA187" s="33">
        <f t="shared" si="54"/>
        <v>-0.99999999999983658</v>
      </c>
      <c r="AB187" s="34">
        <f t="shared" si="55"/>
        <v>-0.99999999999983658</v>
      </c>
      <c r="AO187" s="15"/>
      <c r="AP187" s="15"/>
      <c r="AQ187" s="15"/>
      <c r="AR187" s="23"/>
      <c r="AS187" s="15"/>
      <c r="AT187" s="15"/>
      <c r="AU187" s="23"/>
      <c r="AV187" s="23"/>
    </row>
    <row r="188" spans="1:48" x14ac:dyDescent="0.25">
      <c r="A188" t="s">
        <v>228</v>
      </c>
      <c r="B188" t="s">
        <v>69</v>
      </c>
      <c r="C188" s="10">
        <v>-5</v>
      </c>
      <c r="D188" t="s">
        <v>459</v>
      </c>
      <c r="E188" s="2">
        <f t="shared" si="46"/>
        <v>46207</v>
      </c>
      <c r="F188" s="3">
        <f t="shared" si="38"/>
        <v>0.87986111111111109</v>
      </c>
      <c r="G188" t="s">
        <v>71</v>
      </c>
      <c r="H188" t="s">
        <v>72</v>
      </c>
      <c r="I188" t="s">
        <v>73</v>
      </c>
      <c r="J188" s="2">
        <v>46207</v>
      </c>
      <c r="K188" s="1">
        <v>0.88194444444444453</v>
      </c>
      <c r="L188" s="10">
        <f t="shared" si="34"/>
        <v>3.0000000000001492</v>
      </c>
      <c r="M188" s="1" t="str">
        <f t="shared" si="47"/>
        <v>On Time</v>
      </c>
      <c r="N188" s="27" t="str">
        <f t="shared" si="35"/>
        <v>Finnair</v>
      </c>
      <c r="O188" s="3" t="s">
        <v>1385</v>
      </c>
      <c r="P188" s="20">
        <f t="shared" si="36"/>
        <v>21</v>
      </c>
      <c r="Q188" s="3" t="s">
        <v>1385</v>
      </c>
      <c r="R188" s="23" t="str">
        <f t="shared" si="37"/>
        <v>Saturday</v>
      </c>
      <c r="S188" s="3" t="s">
        <v>1385</v>
      </c>
      <c r="T188" s="23" t="s">
        <v>69</v>
      </c>
      <c r="U188" s="3" t="s">
        <v>1385</v>
      </c>
      <c r="W188" s="32">
        <f t="shared" si="56"/>
        <v>4500000</v>
      </c>
      <c r="X188" s="33">
        <f t="shared" si="52"/>
        <v>2058</v>
      </c>
      <c r="Y188" s="34">
        <f t="shared" si="53"/>
        <v>190</v>
      </c>
      <c r="Z188" s="32">
        <f t="shared" si="57"/>
        <v>-1.0000000000000764</v>
      </c>
      <c r="AA188" s="33">
        <f t="shared" si="54"/>
        <v>9.0000000000001279</v>
      </c>
      <c r="AB188" s="34">
        <f t="shared" si="55"/>
        <v>9.0000000000001279</v>
      </c>
      <c r="AO188" s="15"/>
      <c r="AP188" s="15"/>
      <c r="AQ188" s="15"/>
      <c r="AR188" s="23"/>
      <c r="AS188" s="15"/>
      <c r="AT188" s="15"/>
      <c r="AU188" s="23"/>
      <c r="AV188" s="23"/>
    </row>
    <row r="189" spans="1:48" x14ac:dyDescent="0.25">
      <c r="A189" t="s">
        <v>62</v>
      </c>
      <c r="B189" t="s">
        <v>85</v>
      </c>
      <c r="C189" s="10">
        <v>-11</v>
      </c>
      <c r="D189" t="s">
        <v>460</v>
      </c>
      <c r="E189" s="2">
        <f t="shared" si="46"/>
        <v>46207</v>
      </c>
      <c r="F189" s="3">
        <f t="shared" si="38"/>
        <v>0.89583333333333337</v>
      </c>
      <c r="G189" t="s">
        <v>65</v>
      </c>
      <c r="H189" t="s">
        <v>66</v>
      </c>
      <c r="I189" t="s">
        <v>89</v>
      </c>
      <c r="J189" s="2">
        <v>46207</v>
      </c>
      <c r="K189" s="1">
        <v>0.90972222222222221</v>
      </c>
      <c r="L189" s="10">
        <f t="shared" si="34"/>
        <v>19.999999999999929</v>
      </c>
      <c r="M189" s="1" t="str">
        <f t="shared" si="47"/>
        <v>On Time</v>
      </c>
      <c r="N189" s="27" t="str">
        <f t="shared" si="35"/>
        <v>Ryanair</v>
      </c>
      <c r="O189" s="3" t="s">
        <v>1385</v>
      </c>
      <c r="P189" s="20">
        <f t="shared" si="36"/>
        <v>21</v>
      </c>
      <c r="Q189" s="3" t="s">
        <v>1385</v>
      </c>
      <c r="R189" s="23" t="str">
        <f t="shared" si="37"/>
        <v>Saturday</v>
      </c>
      <c r="S189" s="3" t="s">
        <v>1385</v>
      </c>
      <c r="T189" s="23" t="s">
        <v>85</v>
      </c>
      <c r="U189" s="3" t="s">
        <v>1385</v>
      </c>
      <c r="W189" s="32">
        <f>IF(OR(ISNA(W89), ISNA(Z89)), "", W89)</f>
        <v>7200000</v>
      </c>
      <c r="X189" s="33">
        <f t="shared" si="52"/>
        <v>261</v>
      </c>
      <c r="Y189" s="34">
        <f t="shared" si="53"/>
        <v>650</v>
      </c>
      <c r="Z189" s="32">
        <f>IF(OR(ISNA(W89), ISNA(Z89)), "", Z89)</f>
        <v>-75.000000000000057</v>
      </c>
      <c r="AA189" s="33">
        <f t="shared" si="54"/>
        <v>-24.499999999999915</v>
      </c>
      <c r="AB189" s="34">
        <f t="shared" si="55"/>
        <v>-24.499999999999915</v>
      </c>
      <c r="AO189" s="15"/>
      <c r="AP189" s="15"/>
      <c r="AQ189" s="15"/>
      <c r="AR189" s="23"/>
      <c r="AS189" s="15"/>
      <c r="AT189" s="15"/>
      <c r="AU189" s="23"/>
      <c r="AV189" s="23"/>
    </row>
    <row r="190" spans="1:48" x14ac:dyDescent="0.25">
      <c r="A190" t="s">
        <v>104</v>
      </c>
      <c r="B190" t="s">
        <v>85</v>
      </c>
      <c r="C190" s="10">
        <v>-28</v>
      </c>
      <c r="D190" t="s">
        <v>461</v>
      </c>
      <c r="E190" s="2">
        <f t="shared" si="46"/>
        <v>46207</v>
      </c>
      <c r="F190" s="3">
        <f t="shared" si="38"/>
        <v>0.91388888888888886</v>
      </c>
      <c r="G190" t="s">
        <v>106</v>
      </c>
      <c r="H190" t="s">
        <v>107</v>
      </c>
      <c r="I190" t="s">
        <v>89</v>
      </c>
      <c r="J190" s="2">
        <v>46207</v>
      </c>
      <c r="K190" s="1">
        <v>0.91319444444444453</v>
      </c>
      <c r="L190" s="10">
        <f t="shared" si="34"/>
        <v>-0.99999999999983658</v>
      </c>
      <c r="M190" s="1" t="str">
        <f t="shared" si="47"/>
        <v>On Time</v>
      </c>
      <c r="N190" s="27" t="str">
        <f t="shared" si="35"/>
        <v>Ryanair</v>
      </c>
      <c r="O190" s="3" t="s">
        <v>1385</v>
      </c>
      <c r="P190" s="20">
        <f t="shared" si="36"/>
        <v>21</v>
      </c>
      <c r="Q190" s="3" t="s">
        <v>1385</v>
      </c>
      <c r="R190" s="23" t="str">
        <f t="shared" si="37"/>
        <v>Saturday</v>
      </c>
      <c r="S190" s="3" t="s">
        <v>1385</v>
      </c>
      <c r="T190" s="23" t="s">
        <v>85</v>
      </c>
      <c r="U190" s="3" t="s">
        <v>1385</v>
      </c>
      <c r="W190" s="32">
        <f>IF(OR(ISNA(W90), ISNA(Z90)), "", W90)</f>
        <v>21800000</v>
      </c>
      <c r="X190" s="33">
        <f t="shared" si="52"/>
        <v>1399</v>
      </c>
      <c r="Y190" s="34">
        <f t="shared" si="53"/>
        <v>160</v>
      </c>
      <c r="Z190" s="32">
        <f>IF(OR(ISNA(W90), ISNA(Z90)), "", Z90)</f>
        <v>-1.0000000000000764</v>
      </c>
      <c r="AA190" s="33">
        <f t="shared" si="54"/>
        <v>19.999999999999929</v>
      </c>
      <c r="AB190" s="34">
        <f t="shared" si="55"/>
        <v>19.999999999999929</v>
      </c>
      <c r="AO190" s="15"/>
      <c r="AP190" s="15"/>
      <c r="AQ190" s="15"/>
      <c r="AR190" s="23"/>
      <c r="AS190" s="15"/>
      <c r="AT190" s="15"/>
      <c r="AU190" s="23"/>
      <c r="AV190" s="23"/>
    </row>
    <row r="191" spans="1:48" x14ac:dyDescent="0.25">
      <c r="A191" t="s">
        <v>245</v>
      </c>
      <c r="B191" t="s">
        <v>124</v>
      </c>
      <c r="D191" t="s">
        <v>462</v>
      </c>
      <c r="E191" s="2">
        <f t="shared" si="46"/>
        <v>46207</v>
      </c>
      <c r="F191" s="3">
        <f t="shared" si="38"/>
        <v>0.91736111111111107</v>
      </c>
      <c r="G191" t="s">
        <v>247</v>
      </c>
      <c r="H191" t="s">
        <v>248</v>
      </c>
      <c r="I191" t="s">
        <v>249</v>
      </c>
      <c r="J191" s="2">
        <v>46207</v>
      </c>
      <c r="K191" s="1">
        <v>0.91875000000000007</v>
      </c>
      <c r="L191" s="10">
        <f t="shared" si="34"/>
        <v>2.0000000000001528</v>
      </c>
      <c r="M191" s="1" t="str">
        <f t="shared" si="47"/>
        <v>On Time</v>
      </c>
      <c r="N191" s="27" t="str">
        <f t="shared" si="35"/>
        <v>GetJet Airlines</v>
      </c>
      <c r="O191" s="3" t="s">
        <v>1385</v>
      </c>
      <c r="P191" s="20">
        <f t="shared" si="36"/>
        <v>22</v>
      </c>
      <c r="Q191" s="3" t="s">
        <v>1385</v>
      </c>
      <c r="R191" s="23" t="str">
        <f t="shared" si="37"/>
        <v>Saturday</v>
      </c>
      <c r="S191" s="3" t="s">
        <v>1385</v>
      </c>
      <c r="T191" s="23" t="s">
        <v>124</v>
      </c>
      <c r="U191" s="3" t="s">
        <v>1385</v>
      </c>
      <c r="W191" s="32">
        <f>IF(OR(ISNA(W91), ISNA(Z91)), "", W91)</f>
        <v>800000</v>
      </c>
      <c r="X191" s="33">
        <f t="shared" si="52"/>
        <v>1708</v>
      </c>
      <c r="Y191" s="34">
        <f t="shared" si="53"/>
        <v>160</v>
      </c>
      <c r="Z191" s="32">
        <f>IF(OR(ISNA(W91), ISNA(Z91)), "", Z91)</f>
        <v>-14.999999999999947</v>
      </c>
      <c r="AA191" s="33">
        <f t="shared" si="54"/>
        <v>8.0000000000000515</v>
      </c>
      <c r="AB191" s="34">
        <f t="shared" si="55"/>
        <v>8.0000000000000515</v>
      </c>
      <c r="AO191" s="15"/>
      <c r="AP191" s="15"/>
      <c r="AQ191" s="15"/>
      <c r="AR191" s="23"/>
      <c r="AS191" s="15"/>
      <c r="AT191" s="15"/>
      <c r="AU191" s="23"/>
      <c r="AV191" s="23"/>
    </row>
    <row r="192" spans="1:48" x14ac:dyDescent="0.25">
      <c r="A192" t="s">
        <v>463</v>
      </c>
      <c r="B192" t="s">
        <v>239</v>
      </c>
      <c r="D192" t="s">
        <v>464</v>
      </c>
      <c r="E192" s="2">
        <f t="shared" si="46"/>
        <v>46207</v>
      </c>
      <c r="F192" s="3">
        <f t="shared" si="38"/>
        <v>0.93888888888888899</v>
      </c>
      <c r="G192" t="s">
        <v>247</v>
      </c>
      <c r="H192" t="s">
        <v>248</v>
      </c>
      <c r="I192" t="s">
        <v>83</v>
      </c>
      <c r="J192" s="2">
        <v>46207</v>
      </c>
      <c r="K192" s="1">
        <v>0.92361111111111116</v>
      </c>
      <c r="L192" s="10">
        <f t="shared" si="34"/>
        <v>-22.000000000000082</v>
      </c>
      <c r="M192" s="1" t="str">
        <f t="shared" si="47"/>
        <v>Delayed</v>
      </c>
      <c r="N192" s="27" t="str">
        <f t="shared" si="35"/>
        <v>Eurowings</v>
      </c>
      <c r="O192" s="3" t="s">
        <v>1318</v>
      </c>
      <c r="P192" s="20">
        <f t="shared" si="36"/>
        <v>22</v>
      </c>
      <c r="Q192" s="3" t="s">
        <v>1318</v>
      </c>
      <c r="R192" s="23" t="str">
        <f t="shared" si="37"/>
        <v>Saturday</v>
      </c>
      <c r="S192" s="3" t="s">
        <v>1318</v>
      </c>
      <c r="T192" s="23" t="s">
        <v>239</v>
      </c>
      <c r="U192" s="3" t="s">
        <v>1318</v>
      </c>
      <c r="W192" s="32">
        <f>IF(OR(ISNA(W93), ISNA(Z93)), "", W93)</f>
        <v>3000000</v>
      </c>
      <c r="X192" s="33">
        <f t="shared" si="52"/>
        <v>711</v>
      </c>
      <c r="Y192" s="34">
        <f t="shared" si="53"/>
        <v>300</v>
      </c>
      <c r="Z192" s="32">
        <f>IF(OR(ISNA(W93), ISNA(Z93)), "", Z93)</f>
        <v>15.500000000000064</v>
      </c>
      <c r="AA192" s="33">
        <f t="shared" si="54"/>
        <v>-12.999999999999794</v>
      </c>
      <c r="AB192" s="34">
        <f t="shared" si="55"/>
        <v>-12.999999999999794</v>
      </c>
      <c r="AO192" s="15"/>
      <c r="AP192" s="15"/>
      <c r="AQ192" s="15"/>
      <c r="AR192" s="23"/>
      <c r="AS192" s="15"/>
      <c r="AT192" s="15"/>
      <c r="AU192" s="23"/>
      <c r="AV192" s="23"/>
    </row>
    <row r="193" spans="1:48" x14ac:dyDescent="0.25">
      <c r="A193" t="s">
        <v>123</v>
      </c>
      <c r="B193" t="s">
        <v>124</v>
      </c>
      <c r="D193" t="s">
        <v>465</v>
      </c>
      <c r="E193" s="2">
        <f t="shared" si="46"/>
        <v>46207</v>
      </c>
      <c r="F193" s="3">
        <f t="shared" si="38"/>
        <v>0.95763888888888893</v>
      </c>
      <c r="G193" t="s">
        <v>466</v>
      </c>
      <c r="H193" t="s">
        <v>467</v>
      </c>
      <c r="I193" t="s">
        <v>126</v>
      </c>
      <c r="J193" s="2">
        <v>46207</v>
      </c>
      <c r="K193" s="1">
        <v>0.95763888888888893</v>
      </c>
      <c r="L193" s="10">
        <f t="shared" si="34"/>
        <v>0</v>
      </c>
      <c r="M193" s="1" t="str">
        <f t="shared" si="47"/>
        <v>On Time</v>
      </c>
      <c r="N193" s="27" t="str">
        <f t="shared" si="35"/>
        <v>GetJet Airlines</v>
      </c>
      <c r="O193" s="3" t="s">
        <v>1385</v>
      </c>
      <c r="P193" s="20">
        <f t="shared" si="36"/>
        <v>22</v>
      </c>
      <c r="Q193" s="3" t="s">
        <v>1385</v>
      </c>
      <c r="R193" s="23" t="str">
        <f t="shared" si="37"/>
        <v>Saturday</v>
      </c>
      <c r="S193" s="3" t="s">
        <v>1385</v>
      </c>
      <c r="T193" s="23" t="s">
        <v>124</v>
      </c>
      <c r="U193" s="3" t="s">
        <v>1385</v>
      </c>
      <c r="W193" s="32">
        <f>IF(OR(ISNA(W94), ISNA(Z94)), "", W94)</f>
        <v>3700000</v>
      </c>
      <c r="X193" s="33">
        <f t="shared" si="52"/>
        <v>1653</v>
      </c>
      <c r="Y193" s="34">
        <f t="shared" si="53"/>
        <v>110</v>
      </c>
      <c r="Z193" s="32">
        <f>IF(OR(ISNA(W94), ISNA(Z94)), "", Z94)</f>
        <v>11.999999999999957</v>
      </c>
      <c r="AA193" s="33">
        <f t="shared" si="54"/>
        <v>-39.000000000000021</v>
      </c>
      <c r="AB193" s="34">
        <f t="shared" si="55"/>
        <v>-39.000000000000021</v>
      </c>
      <c r="AO193" s="15"/>
      <c r="AP193" s="15"/>
      <c r="AQ193" s="15"/>
      <c r="AR193" s="23"/>
      <c r="AS193" s="15"/>
      <c r="AT193" s="15"/>
      <c r="AU193" s="23"/>
      <c r="AV193" s="23"/>
    </row>
    <row r="194" spans="1:48" x14ac:dyDescent="0.25">
      <c r="A194" t="s">
        <v>258</v>
      </c>
      <c r="B194" t="s">
        <v>190</v>
      </c>
      <c r="C194" s="10">
        <v>-8</v>
      </c>
      <c r="D194" t="s">
        <v>468</v>
      </c>
      <c r="E194" s="2">
        <f t="shared" si="46"/>
        <v>46207</v>
      </c>
      <c r="F194" s="3">
        <f t="shared" si="38"/>
        <v>0.97638888888888886</v>
      </c>
      <c r="G194" t="s">
        <v>110</v>
      </c>
      <c r="H194" t="s">
        <v>111</v>
      </c>
      <c r="I194" t="s">
        <v>469</v>
      </c>
      <c r="J194" s="2">
        <v>46207</v>
      </c>
      <c r="K194" s="1">
        <v>0.98958333333333337</v>
      </c>
      <c r="L194" s="10">
        <f t="shared" ref="L194:L257" si="58">IF(J194&gt;E194,(K194+1-F194)*1440,IF(J194&lt;E194,-(F194+1-K194)*1440,(K194-F194)*1440))</f>
        <v>19.000000000000092</v>
      </c>
      <c r="M194" s="1" t="str">
        <f t="shared" si="47"/>
        <v>On Time</v>
      </c>
      <c r="N194" s="27" t="str">
        <f t="shared" ref="N194:N257" si="59">IF(COUNTIFS($B$2:$B$1553,B194,$M$2:$M$1553,"&lt;&gt;#N/A")&gt;=30,B194,NA())</f>
        <v>Lufthansa</v>
      </c>
      <c r="O194" s="3" t="s">
        <v>1385</v>
      </c>
      <c r="P194" s="20">
        <f t="shared" ref="P194:P257" si="60">HOUR(F194)</f>
        <v>23</v>
      </c>
      <c r="Q194" s="3" t="s">
        <v>1385</v>
      </c>
      <c r="R194" s="23" t="str">
        <f t="shared" ref="R194:R257" si="61">TEXT(E194, "dddd")</f>
        <v>Saturday</v>
      </c>
      <c r="S194" s="3" t="s">
        <v>1385</v>
      </c>
      <c r="T194" s="23" t="s">
        <v>190</v>
      </c>
      <c r="U194" s="3" t="s">
        <v>1385</v>
      </c>
      <c r="W194" s="32">
        <f>IF(OR(ISNA(W95), ISNA(Z95)), "", W95)</f>
        <v>15000000</v>
      </c>
      <c r="X194" s="33">
        <f t="shared" si="52"/>
        <v>2876</v>
      </c>
      <c r="Y194" s="34">
        <f t="shared" si="53"/>
        <v>1100</v>
      </c>
      <c r="Z194" s="32">
        <f>IF(OR(ISNA(W95), ISNA(Z95)), "", Z95)</f>
        <v>-21.000000000000007</v>
      </c>
      <c r="AA194" s="33">
        <f t="shared" si="54"/>
        <v>-1.0000000000000764</v>
      </c>
      <c r="AB194" s="34">
        <f t="shared" si="55"/>
        <v>-1.0000000000000764</v>
      </c>
      <c r="AO194" s="15"/>
      <c r="AP194" s="15"/>
      <c r="AQ194" s="15"/>
      <c r="AR194" s="23"/>
      <c r="AS194" s="15"/>
      <c r="AT194" s="15"/>
      <c r="AU194" s="23"/>
      <c r="AV194" s="23"/>
    </row>
    <row r="195" spans="1:48" x14ac:dyDescent="0.25">
      <c r="A195" t="s">
        <v>470</v>
      </c>
      <c r="B195" t="s">
        <v>13</v>
      </c>
      <c r="C195" s="10">
        <v>-20</v>
      </c>
      <c r="D195" t="s">
        <v>396</v>
      </c>
      <c r="E195" s="2">
        <f t="shared" si="46"/>
        <v>46207</v>
      </c>
      <c r="F195" s="3">
        <f t="shared" ref="F195:F258" si="62">IF(ISNUMBER(SEARCH("Landed", D195)), TIMEVALUE(_xlfn.TEXTAFTER(D195, " ")), NA())</f>
        <v>0.99305555555555547</v>
      </c>
      <c r="G195" t="s">
        <v>280</v>
      </c>
      <c r="H195" t="s">
        <v>281</v>
      </c>
      <c r="I195" t="s">
        <v>17</v>
      </c>
      <c r="J195" s="2">
        <v>46207</v>
      </c>
      <c r="K195" s="1">
        <v>0.99652777777777779</v>
      </c>
      <c r="L195" s="10">
        <f t="shared" si="58"/>
        <v>5.0000000000001421</v>
      </c>
      <c r="M195" s="1" t="str">
        <f t="shared" si="47"/>
        <v>On Time</v>
      </c>
      <c r="N195" s="27" t="str">
        <f t="shared" si="59"/>
        <v>Wizz Air</v>
      </c>
      <c r="O195" s="3" t="s">
        <v>1385</v>
      </c>
      <c r="P195" s="20">
        <f t="shared" si="60"/>
        <v>23</v>
      </c>
      <c r="Q195" s="3" t="s">
        <v>1385</v>
      </c>
      <c r="R195" s="23" t="str">
        <f t="shared" si="61"/>
        <v>Saturday</v>
      </c>
      <c r="S195" s="3" t="s">
        <v>1385</v>
      </c>
      <c r="T195" s="23" t="s">
        <v>13</v>
      </c>
      <c r="U195" s="3" t="s">
        <v>1385</v>
      </c>
      <c r="W195" s="32">
        <f>IF(OR(ISNA(W96), ISNA(Z96)), "", W96)</f>
        <v>7200000</v>
      </c>
      <c r="X195" s="33">
        <f t="shared" ref="X195:X210" si="63">IF(OR(ISNA(X89), ISNA(Z89)), "", X89)</f>
        <v>1250</v>
      </c>
      <c r="Y195" s="34">
        <f t="shared" ref="Y195:Y210" si="64">IF(OR(ISNA(Y89), ISNA(Z89)), "", Y89)</f>
        <v>500</v>
      </c>
      <c r="Z195" s="32">
        <f>IF(OR(ISNA(W96), ISNA(Z96)), "", Z96)</f>
        <v>-3.9999999999999858</v>
      </c>
      <c r="AA195" s="33">
        <f t="shared" ref="AA195:AA210" si="65">IF(OR(ISNA(X89), ISNA(Z89)), "", Z89)</f>
        <v>-75.000000000000057</v>
      </c>
      <c r="AB195" s="34">
        <f t="shared" ref="AB195:AB210" si="66">IF(OR(ISNA(Y89), ISNA(Z89)), "", Z89)</f>
        <v>-75.000000000000057</v>
      </c>
      <c r="AO195" s="15"/>
      <c r="AP195" s="15"/>
      <c r="AQ195" s="15"/>
      <c r="AR195" s="23"/>
      <c r="AS195" s="15"/>
      <c r="AT195" s="15"/>
      <c r="AU195" s="23"/>
      <c r="AV195" s="23"/>
    </row>
    <row r="196" spans="1:48" x14ac:dyDescent="0.25">
      <c r="A196" t="s">
        <v>267</v>
      </c>
      <c r="B196" t="s">
        <v>13</v>
      </c>
      <c r="C196" s="10">
        <v>-3</v>
      </c>
      <c r="D196" t="s">
        <v>471</v>
      </c>
      <c r="E196" s="2">
        <v>46207</v>
      </c>
      <c r="F196" s="3">
        <f t="shared" si="62"/>
        <v>0.99722222222222223</v>
      </c>
      <c r="G196" t="s">
        <v>269</v>
      </c>
      <c r="H196" t="s">
        <v>270</v>
      </c>
      <c r="I196" t="s">
        <v>17</v>
      </c>
      <c r="J196" s="2">
        <v>46208</v>
      </c>
      <c r="K196" s="1">
        <v>1.0416666666666666E-2</v>
      </c>
      <c r="L196" s="10">
        <f t="shared" si="58"/>
        <v>19.000000000000092</v>
      </c>
      <c r="M196" s="1" t="str">
        <f t="shared" si="47"/>
        <v>On Time</v>
      </c>
      <c r="N196" s="27" t="str">
        <f t="shared" si="59"/>
        <v>Wizz Air</v>
      </c>
      <c r="O196" s="3" t="s">
        <v>1385</v>
      </c>
      <c r="P196" s="20">
        <f t="shared" si="60"/>
        <v>23</v>
      </c>
      <c r="Q196" s="3" t="s">
        <v>1385</v>
      </c>
      <c r="R196" s="23" t="str">
        <f t="shared" si="61"/>
        <v>Saturday</v>
      </c>
      <c r="S196" s="3" t="s">
        <v>1385</v>
      </c>
      <c r="T196" s="23" t="s">
        <v>13</v>
      </c>
      <c r="U196" s="3" t="s">
        <v>1385</v>
      </c>
      <c r="W196" s="32">
        <f>IF(OR(ISNA(W97), ISNA(Z97)), "", W97)</f>
        <v>850000</v>
      </c>
      <c r="X196" s="33">
        <f t="shared" si="63"/>
        <v>675</v>
      </c>
      <c r="Y196" s="34">
        <f t="shared" si="64"/>
        <v>3300</v>
      </c>
      <c r="Z196" s="32">
        <f>IF(OR(ISNA(W97), ISNA(Z97)), "", Z97)</f>
        <v>-4.0000000000000258</v>
      </c>
      <c r="AA196" s="33">
        <f t="shared" si="65"/>
        <v>-1.0000000000000764</v>
      </c>
      <c r="AB196" s="34">
        <f t="shared" si="66"/>
        <v>-1.0000000000000764</v>
      </c>
      <c r="AO196" s="15"/>
      <c r="AP196" s="15"/>
      <c r="AQ196" s="15"/>
      <c r="AR196" s="23"/>
      <c r="AS196" s="15"/>
      <c r="AT196" s="15"/>
      <c r="AU196" s="23"/>
      <c r="AV196" s="23"/>
    </row>
    <row r="197" spans="1:48" x14ac:dyDescent="0.25">
      <c r="A197" t="s">
        <v>6</v>
      </c>
      <c r="B197" t="s">
        <v>7</v>
      </c>
      <c r="C197" s="10">
        <v>-107</v>
      </c>
      <c r="D197" t="s">
        <v>472</v>
      </c>
      <c r="E197" s="2">
        <f>J197</f>
        <v>46208</v>
      </c>
      <c r="F197" s="3">
        <f t="shared" si="62"/>
        <v>8.1944444444444445E-2</v>
      </c>
      <c r="G197" t="s">
        <v>9</v>
      </c>
      <c r="H197" t="s">
        <v>10</v>
      </c>
      <c r="I197" t="s">
        <v>11</v>
      </c>
      <c r="J197" s="2">
        <v>46208</v>
      </c>
      <c r="K197" s="1">
        <v>2.0833333333333332E-2</v>
      </c>
      <c r="L197" s="10">
        <f t="shared" si="58"/>
        <v>-88</v>
      </c>
      <c r="M197" s="1" t="str">
        <f t="shared" si="47"/>
        <v>Delayed</v>
      </c>
      <c r="N197" s="27" t="str">
        <f t="shared" si="59"/>
        <v>airBaltic</v>
      </c>
      <c r="O197" s="3" t="s">
        <v>1318</v>
      </c>
      <c r="P197" s="20">
        <f t="shared" si="60"/>
        <v>1</v>
      </c>
      <c r="Q197" s="3" t="s">
        <v>1318</v>
      </c>
      <c r="R197" s="23" t="str">
        <f t="shared" si="61"/>
        <v>Sunday</v>
      </c>
      <c r="S197" s="3" t="s">
        <v>1318</v>
      </c>
      <c r="T197" s="23" t="s">
        <v>7</v>
      </c>
      <c r="U197" s="3" t="s">
        <v>1318</v>
      </c>
      <c r="W197" s="32">
        <f t="shared" ref="W197:W203" si="67">IF(OR(ISNA(W99), ISNA(Z99)), "", W99)</f>
        <v>4500000</v>
      </c>
      <c r="X197" s="33">
        <f t="shared" si="63"/>
        <v>674</v>
      </c>
      <c r="Y197" s="34">
        <f t="shared" si="64"/>
        <v>128</v>
      </c>
      <c r="Z197" s="32">
        <f t="shared" ref="Z197:Z203" si="68">IF(OR(ISNA(W99), ISNA(Z99)), "", Z99)</f>
        <v>19.000000000000092</v>
      </c>
      <c r="AA197" s="33">
        <f t="shared" si="65"/>
        <v>-14.999999999999947</v>
      </c>
      <c r="AB197" s="34">
        <f t="shared" si="66"/>
        <v>-14.999999999999947</v>
      </c>
      <c r="AO197" s="15"/>
      <c r="AP197" s="15"/>
      <c r="AQ197" s="15"/>
      <c r="AR197" s="23"/>
      <c r="AS197" s="15"/>
      <c r="AT197" s="15"/>
      <c r="AU197" s="23"/>
      <c r="AV197" s="23"/>
    </row>
    <row r="198" spans="1:48" x14ac:dyDescent="0.25">
      <c r="A198" t="s">
        <v>12</v>
      </c>
      <c r="B198" t="s">
        <v>13</v>
      </c>
      <c r="C198" s="10">
        <v>-24</v>
      </c>
      <c r="D198" t="s">
        <v>473</v>
      </c>
      <c r="E198" s="2">
        <f t="shared" ref="E198:E261" si="69">J198</f>
        <v>46208</v>
      </c>
      <c r="F198" s="3">
        <f t="shared" si="62"/>
        <v>1.2499999999999999E-2</v>
      </c>
      <c r="G198" t="s">
        <v>15</v>
      </c>
      <c r="H198" t="s">
        <v>16</v>
      </c>
      <c r="I198" t="s">
        <v>17</v>
      </c>
      <c r="J198" s="2">
        <v>46208</v>
      </c>
      <c r="K198" s="1">
        <v>2.0833333333333332E-2</v>
      </c>
      <c r="L198" s="10">
        <f t="shared" si="58"/>
        <v>12</v>
      </c>
      <c r="M198" s="1" t="str">
        <f t="shared" si="47"/>
        <v>On Time</v>
      </c>
      <c r="N198" s="27" t="str">
        <f t="shared" si="59"/>
        <v>Wizz Air</v>
      </c>
      <c r="O198" s="3" t="s">
        <v>1385</v>
      </c>
      <c r="P198" s="20">
        <f t="shared" si="60"/>
        <v>0</v>
      </c>
      <c r="Q198" s="3" t="s">
        <v>1385</v>
      </c>
      <c r="R198" s="23" t="str">
        <f t="shared" si="61"/>
        <v>Sunday</v>
      </c>
      <c r="S198" s="3" t="s">
        <v>1385</v>
      </c>
      <c r="T198" s="23" t="s">
        <v>13</v>
      </c>
      <c r="U198" s="3" t="s">
        <v>1385</v>
      </c>
      <c r="W198" s="32">
        <f t="shared" si="67"/>
        <v>300000</v>
      </c>
      <c r="X198" s="33">
        <f t="shared" si="63"/>
        <v>158</v>
      </c>
      <c r="Y198" s="34">
        <f t="shared" si="64"/>
        <v>110</v>
      </c>
      <c r="Z198" s="32">
        <f t="shared" si="68"/>
        <v>22.500000000000078</v>
      </c>
      <c r="AA198" s="33">
        <f t="shared" si="65"/>
        <v>14.999999999999947</v>
      </c>
      <c r="AB198" s="34">
        <f t="shared" si="66"/>
        <v>14.999999999999947</v>
      </c>
      <c r="AO198" s="15"/>
      <c r="AP198" s="15"/>
      <c r="AQ198" s="15"/>
      <c r="AR198" s="23"/>
      <c r="AS198" s="15"/>
      <c r="AT198" s="15"/>
      <c r="AU198" s="23"/>
      <c r="AV198" s="23"/>
    </row>
    <row r="199" spans="1:48" x14ac:dyDescent="0.25">
      <c r="A199" t="s">
        <v>18</v>
      </c>
      <c r="B199" t="s">
        <v>19</v>
      </c>
      <c r="C199" s="10">
        <v>-24</v>
      </c>
      <c r="D199" t="s">
        <v>474</v>
      </c>
      <c r="E199" s="2">
        <f t="shared" si="69"/>
        <v>46208</v>
      </c>
      <c r="F199" s="3">
        <f t="shared" si="62"/>
        <v>2.9166666666666664E-2</v>
      </c>
      <c r="G199" t="s">
        <v>21</v>
      </c>
      <c r="H199" t="s">
        <v>22</v>
      </c>
      <c r="I199" t="s">
        <v>177</v>
      </c>
      <c r="J199" s="2">
        <v>46208</v>
      </c>
      <c r="K199" s="1">
        <v>2.7777777777777776E-2</v>
      </c>
      <c r="L199" s="10">
        <f t="shared" si="58"/>
        <v>-1.9999999999999978</v>
      </c>
      <c r="M199" s="1" t="str">
        <f t="shared" si="47"/>
        <v>On Time</v>
      </c>
      <c r="N199" s="27" t="str">
        <f t="shared" si="59"/>
        <v>LOT</v>
      </c>
      <c r="O199" s="3" t="s">
        <v>1385</v>
      </c>
      <c r="P199" s="20">
        <f t="shared" si="60"/>
        <v>0</v>
      </c>
      <c r="Q199" s="3" t="s">
        <v>1385</v>
      </c>
      <c r="R199" s="23" t="str">
        <f t="shared" si="61"/>
        <v>Sunday</v>
      </c>
      <c r="S199" s="3" t="s">
        <v>1385</v>
      </c>
      <c r="T199" s="23" t="s">
        <v>19</v>
      </c>
      <c r="U199" s="3" t="s">
        <v>1385</v>
      </c>
      <c r="W199" s="32">
        <f t="shared" si="67"/>
        <v>1800000</v>
      </c>
      <c r="X199" s="33">
        <f t="shared" si="63"/>
        <v>529</v>
      </c>
      <c r="Y199" s="34">
        <f t="shared" si="64"/>
        <v>430</v>
      </c>
      <c r="Z199" s="32">
        <f t="shared" si="68"/>
        <v>13.000000000000034</v>
      </c>
      <c r="AA199" s="33">
        <f t="shared" si="65"/>
        <v>15.500000000000064</v>
      </c>
      <c r="AB199" s="34">
        <f t="shared" si="66"/>
        <v>15.500000000000064</v>
      </c>
      <c r="AO199" s="15"/>
      <c r="AP199" s="15"/>
      <c r="AQ199" s="15"/>
      <c r="AR199" s="23"/>
      <c r="AS199" s="15"/>
      <c r="AT199" s="15"/>
      <c r="AU199" s="23"/>
      <c r="AV199" s="23"/>
    </row>
    <row r="200" spans="1:48" x14ac:dyDescent="0.25">
      <c r="A200" t="s">
        <v>36</v>
      </c>
      <c r="B200" t="s">
        <v>7</v>
      </c>
      <c r="C200" s="10">
        <v>-23</v>
      </c>
      <c r="D200" t="s">
        <v>284</v>
      </c>
      <c r="E200" s="2">
        <f t="shared" si="69"/>
        <v>46208</v>
      </c>
      <c r="F200" s="3">
        <f t="shared" si="62"/>
        <v>5.486111111111111E-2</v>
      </c>
      <c r="G200" t="s">
        <v>38</v>
      </c>
      <c r="H200" t="s">
        <v>39</v>
      </c>
      <c r="I200" t="s">
        <v>11</v>
      </c>
      <c r="J200" s="2">
        <v>46208</v>
      </c>
      <c r="K200" s="1">
        <v>5.9027777777777783E-2</v>
      </c>
      <c r="L200" s="10">
        <f t="shared" si="58"/>
        <v>6.0000000000000089</v>
      </c>
      <c r="M200" s="1" t="str">
        <f t="shared" si="47"/>
        <v>On Time</v>
      </c>
      <c r="N200" s="27" t="str">
        <f t="shared" si="59"/>
        <v>airBaltic</v>
      </c>
      <c r="O200" s="3" t="s">
        <v>1385</v>
      </c>
      <c r="P200" s="20">
        <f t="shared" si="60"/>
        <v>1</v>
      </c>
      <c r="Q200" s="3" t="s">
        <v>1385</v>
      </c>
      <c r="R200" s="23" t="str">
        <f t="shared" si="61"/>
        <v>Sunday</v>
      </c>
      <c r="S200" s="3" t="s">
        <v>1385</v>
      </c>
      <c r="T200" s="23" t="s">
        <v>7</v>
      </c>
      <c r="U200" s="3" t="s">
        <v>1385</v>
      </c>
      <c r="W200" s="32">
        <f t="shared" si="67"/>
        <v>11300000</v>
      </c>
      <c r="X200" s="33">
        <f t="shared" si="63"/>
        <v>2082</v>
      </c>
      <c r="Y200" s="34">
        <f t="shared" si="64"/>
        <v>350</v>
      </c>
      <c r="Z200" s="32">
        <f t="shared" si="68"/>
        <v>-30.50000000000005</v>
      </c>
      <c r="AA200" s="33">
        <f t="shared" si="65"/>
        <v>11.999999999999957</v>
      </c>
      <c r="AB200" s="34">
        <f t="shared" si="66"/>
        <v>11.999999999999957</v>
      </c>
      <c r="AO200" s="15"/>
      <c r="AP200" s="15"/>
      <c r="AQ200" s="15"/>
      <c r="AR200" s="23"/>
      <c r="AS200" s="15"/>
      <c r="AT200" s="15"/>
      <c r="AU200" s="23"/>
      <c r="AV200" s="23"/>
    </row>
    <row r="201" spans="1:48" x14ac:dyDescent="0.25">
      <c r="A201" t="s">
        <v>40</v>
      </c>
      <c r="B201" t="s">
        <v>41</v>
      </c>
      <c r="C201" s="10">
        <v>0</v>
      </c>
      <c r="D201" t="s">
        <v>475</v>
      </c>
      <c r="E201" s="2">
        <f t="shared" si="69"/>
        <v>46208</v>
      </c>
      <c r="F201" s="3">
        <f t="shared" si="62"/>
        <v>5.6944444444444443E-2</v>
      </c>
      <c r="G201" t="s">
        <v>43</v>
      </c>
      <c r="H201" t="s">
        <v>44</v>
      </c>
      <c r="I201" t="s">
        <v>158</v>
      </c>
      <c r="J201" s="2">
        <v>46208</v>
      </c>
      <c r="K201" s="1">
        <v>5.9027777777777783E-2</v>
      </c>
      <c r="L201" s="10">
        <f t="shared" si="58"/>
        <v>3.0000000000000093</v>
      </c>
      <c r="M201" s="1" t="str">
        <f t="shared" si="47"/>
        <v>On Time</v>
      </c>
      <c r="N201" s="27" t="str">
        <f t="shared" si="59"/>
        <v>SAS</v>
      </c>
      <c r="O201" s="3" t="s">
        <v>1385</v>
      </c>
      <c r="P201" s="20">
        <f t="shared" si="60"/>
        <v>1</v>
      </c>
      <c r="Q201" s="3" t="s">
        <v>1385</v>
      </c>
      <c r="R201" s="23" t="str">
        <f t="shared" si="61"/>
        <v>Sunday</v>
      </c>
      <c r="S201" s="3" t="s">
        <v>1385</v>
      </c>
      <c r="T201" s="23" t="s">
        <v>41</v>
      </c>
      <c r="U201" s="3" t="s">
        <v>1385</v>
      </c>
      <c r="W201" s="32">
        <f t="shared" si="67"/>
        <v>3000000</v>
      </c>
      <c r="X201" s="33">
        <f t="shared" si="63"/>
        <v>2637</v>
      </c>
      <c r="Y201" s="34">
        <f t="shared" si="64"/>
        <v>2000</v>
      </c>
      <c r="Z201" s="32">
        <f t="shared" si="68"/>
        <v>11.999999999999957</v>
      </c>
      <c r="AA201" s="33">
        <f t="shared" si="65"/>
        <v>-21.000000000000007</v>
      </c>
      <c r="AB201" s="34">
        <f t="shared" si="66"/>
        <v>-21.000000000000007</v>
      </c>
      <c r="AO201" s="15"/>
      <c r="AP201" s="15"/>
      <c r="AQ201" s="15"/>
      <c r="AR201" s="23"/>
      <c r="AS201" s="15"/>
      <c r="AT201" s="15"/>
      <c r="AU201" s="23"/>
      <c r="AV201" s="23"/>
    </row>
    <row r="202" spans="1:48" x14ac:dyDescent="0.25">
      <c r="A202" t="s">
        <v>476</v>
      </c>
      <c r="B202" t="s">
        <v>477</v>
      </c>
      <c r="C202" s="10">
        <v>-16</v>
      </c>
      <c r="D202" t="s">
        <v>478</v>
      </c>
      <c r="E202" s="2">
        <f t="shared" si="69"/>
        <v>46208</v>
      </c>
      <c r="F202" s="3">
        <f t="shared" si="62"/>
        <v>8.819444444444445E-2</v>
      </c>
      <c r="G202" t="s">
        <v>106</v>
      </c>
      <c r="H202" t="s">
        <v>107</v>
      </c>
      <c r="I202" t="s">
        <v>112</v>
      </c>
      <c r="J202" s="2">
        <v>46208</v>
      </c>
      <c r="K202" s="1">
        <v>9.0277777777777776E-2</v>
      </c>
      <c r="L202" s="10">
        <f t="shared" si="58"/>
        <v>2.9999999999999893</v>
      </c>
      <c r="M202" s="1" t="str">
        <f t="shared" si="47"/>
        <v>On Time</v>
      </c>
      <c r="N202" s="27" t="e">
        <f t="shared" si="59"/>
        <v>#N/A</v>
      </c>
      <c r="O202" s="3" t="s">
        <v>1385</v>
      </c>
      <c r="P202" s="20">
        <f t="shared" si="60"/>
        <v>2</v>
      </c>
      <c r="Q202" s="3" t="s">
        <v>1385</v>
      </c>
      <c r="R202" s="23" t="str">
        <f t="shared" si="61"/>
        <v>Sunday</v>
      </c>
      <c r="S202" s="3" t="s">
        <v>1385</v>
      </c>
      <c r="T202" s="23" t="s">
        <v>477</v>
      </c>
      <c r="U202" s="3" t="s">
        <v>1385</v>
      </c>
      <c r="W202" s="32">
        <f t="shared" si="67"/>
        <v>29500000</v>
      </c>
      <c r="X202" s="33">
        <f t="shared" si="63"/>
        <v>1421</v>
      </c>
      <c r="Y202" s="34">
        <f t="shared" si="64"/>
        <v>290</v>
      </c>
      <c r="Z202" s="32">
        <f t="shared" si="68"/>
        <v>0.99999999999999645</v>
      </c>
      <c r="AA202" s="33">
        <f t="shared" si="65"/>
        <v>-3.9999999999999858</v>
      </c>
      <c r="AB202" s="34">
        <f t="shared" si="66"/>
        <v>-3.9999999999999858</v>
      </c>
      <c r="AO202" s="15"/>
      <c r="AP202" s="15"/>
      <c r="AQ202" s="15"/>
      <c r="AR202" s="23"/>
      <c r="AS202" s="15"/>
      <c r="AT202" s="15"/>
      <c r="AU202" s="23"/>
      <c r="AV202" s="23"/>
    </row>
    <row r="203" spans="1:48" x14ac:dyDescent="0.25">
      <c r="A203" t="s">
        <v>479</v>
      </c>
      <c r="B203" t="s">
        <v>7</v>
      </c>
      <c r="C203" s="10">
        <v>-11</v>
      </c>
      <c r="D203" t="s">
        <v>480</v>
      </c>
      <c r="E203" s="2">
        <f t="shared" si="69"/>
        <v>46208</v>
      </c>
      <c r="F203" s="3">
        <f t="shared" si="62"/>
        <v>0.11319444444444444</v>
      </c>
      <c r="G203" t="s">
        <v>481</v>
      </c>
      <c r="H203" t="s">
        <v>482</v>
      </c>
      <c r="I203" t="s">
        <v>11</v>
      </c>
      <c r="J203" s="2">
        <v>46208</v>
      </c>
      <c r="K203" s="1">
        <v>0.11805555555555557</v>
      </c>
      <c r="L203" s="10">
        <f t="shared" si="58"/>
        <v>7.0000000000000151</v>
      </c>
      <c r="M203" s="1" t="str">
        <f t="shared" si="47"/>
        <v>On Time</v>
      </c>
      <c r="N203" s="27" t="str">
        <f t="shared" si="59"/>
        <v>airBaltic</v>
      </c>
      <c r="O203" s="3" t="s">
        <v>1385</v>
      </c>
      <c r="P203" s="20">
        <f t="shared" si="60"/>
        <v>2</v>
      </c>
      <c r="Q203" s="3" t="s">
        <v>1385</v>
      </c>
      <c r="R203" s="23" t="str">
        <f t="shared" si="61"/>
        <v>Sunday</v>
      </c>
      <c r="S203" s="3" t="s">
        <v>1385</v>
      </c>
      <c r="T203" s="23" t="s">
        <v>7</v>
      </c>
      <c r="U203" s="3" t="s">
        <v>1385</v>
      </c>
      <c r="W203" s="32">
        <f t="shared" si="67"/>
        <v>4400000</v>
      </c>
      <c r="X203" s="33">
        <f t="shared" si="63"/>
        <v>1332</v>
      </c>
      <c r="Y203" s="34">
        <f t="shared" si="64"/>
        <v>85</v>
      </c>
      <c r="Z203" s="32">
        <f t="shared" si="68"/>
        <v>20.000000000000007</v>
      </c>
      <c r="AA203" s="33">
        <f t="shared" si="65"/>
        <v>-4.0000000000000258</v>
      </c>
      <c r="AB203" s="34">
        <f t="shared" si="66"/>
        <v>-4.0000000000000258</v>
      </c>
      <c r="AO203" s="15"/>
      <c r="AP203" s="15"/>
      <c r="AQ203" s="15"/>
      <c r="AR203" s="23"/>
      <c r="AS203" s="15"/>
      <c r="AT203" s="15"/>
      <c r="AU203" s="23"/>
      <c r="AV203" s="23"/>
    </row>
    <row r="204" spans="1:48" x14ac:dyDescent="0.25">
      <c r="A204" t="s">
        <v>483</v>
      </c>
      <c r="B204" t="s">
        <v>7</v>
      </c>
      <c r="C204" s="10">
        <v>-30</v>
      </c>
      <c r="D204" t="s">
        <v>484</v>
      </c>
      <c r="E204" s="2">
        <f t="shared" si="69"/>
        <v>46208</v>
      </c>
      <c r="F204" s="3">
        <f t="shared" si="62"/>
        <v>0.14375000000000002</v>
      </c>
      <c r="G204" t="s">
        <v>485</v>
      </c>
      <c r="H204" t="s">
        <v>486</v>
      </c>
      <c r="I204" t="s">
        <v>11</v>
      </c>
      <c r="J204" s="2">
        <v>46208</v>
      </c>
      <c r="K204" s="1">
        <v>0.14930555555555555</v>
      </c>
      <c r="L204" s="10">
        <f t="shared" si="58"/>
        <v>7.9999999999999716</v>
      </c>
      <c r="M204" s="1" t="str">
        <f t="shared" si="47"/>
        <v>On Time</v>
      </c>
      <c r="N204" s="27" t="str">
        <f t="shared" si="59"/>
        <v>airBaltic</v>
      </c>
      <c r="O204" s="3" t="s">
        <v>1385</v>
      </c>
      <c r="P204" s="20">
        <f t="shared" si="60"/>
        <v>3</v>
      </c>
      <c r="Q204" s="3" t="s">
        <v>1385</v>
      </c>
      <c r="R204" s="23" t="str">
        <f t="shared" si="61"/>
        <v>Sunday</v>
      </c>
      <c r="S204" s="3" t="s">
        <v>1385</v>
      </c>
      <c r="T204" s="23" t="s">
        <v>7</v>
      </c>
      <c r="U204" s="3" t="s">
        <v>1385</v>
      </c>
      <c r="W204" s="32">
        <f>IF(OR(ISNA(W107), ISNA(Z107)), "", W107)</f>
        <v>18500000</v>
      </c>
      <c r="X204" s="33">
        <f t="shared" si="63"/>
        <v>842</v>
      </c>
      <c r="Y204" s="34">
        <f t="shared" si="64"/>
        <v>140</v>
      </c>
      <c r="Z204" s="32">
        <f>IF(OR(ISNA(W107), ISNA(Z107)), "", Z107)</f>
        <v>-4.9999999999999423</v>
      </c>
      <c r="AA204" s="33">
        <f t="shared" si="65"/>
        <v>-2.9999999999999893</v>
      </c>
      <c r="AB204" s="34">
        <f t="shared" si="66"/>
        <v>-2.9999999999999893</v>
      </c>
      <c r="AO204" s="15"/>
      <c r="AP204" s="15"/>
      <c r="AQ204" s="15"/>
      <c r="AR204" s="23"/>
      <c r="AS204" s="15"/>
      <c r="AT204" s="15"/>
      <c r="AU204" s="23"/>
      <c r="AV204" s="23"/>
    </row>
    <row r="205" spans="1:48" x14ac:dyDescent="0.25">
      <c r="A205" t="s">
        <v>487</v>
      </c>
      <c r="B205" t="s">
        <v>7</v>
      </c>
      <c r="C205" s="10">
        <v>-17</v>
      </c>
      <c r="D205" t="s">
        <v>488</v>
      </c>
      <c r="E205" s="2">
        <f t="shared" si="69"/>
        <v>46208</v>
      </c>
      <c r="F205" s="3">
        <f t="shared" si="62"/>
        <v>0.16597222222222222</v>
      </c>
      <c r="G205" t="s">
        <v>489</v>
      </c>
      <c r="H205" t="s">
        <v>490</v>
      </c>
      <c r="I205" t="s">
        <v>11</v>
      </c>
      <c r="J205" s="2">
        <v>46208</v>
      </c>
      <c r="K205" s="1">
        <v>0.17013888888888887</v>
      </c>
      <c r="L205" s="10">
        <f t="shared" si="58"/>
        <v>5.9999999999999787</v>
      </c>
      <c r="M205" s="1" t="str">
        <f t="shared" si="47"/>
        <v>On Time</v>
      </c>
      <c r="N205" s="27" t="str">
        <f t="shared" si="59"/>
        <v>airBaltic</v>
      </c>
      <c r="O205" s="3" t="s">
        <v>1385</v>
      </c>
      <c r="P205" s="20">
        <f t="shared" si="60"/>
        <v>3</v>
      </c>
      <c r="Q205" s="3" t="s">
        <v>1385</v>
      </c>
      <c r="R205" s="23" t="str">
        <f t="shared" si="61"/>
        <v>Sunday</v>
      </c>
      <c r="S205" s="3" t="s">
        <v>1385</v>
      </c>
      <c r="T205" s="23" t="s">
        <v>7</v>
      </c>
      <c r="U205" s="3" t="s">
        <v>1385</v>
      </c>
      <c r="W205" s="32">
        <f>IF(OR(ISNA(W108), ISNA(Z108)), "", W108)</f>
        <v>3700000</v>
      </c>
      <c r="X205" s="33">
        <f t="shared" si="63"/>
        <v>1570</v>
      </c>
      <c r="Y205" s="34">
        <f t="shared" si="64"/>
        <v>300</v>
      </c>
      <c r="Z205" s="32">
        <f>IF(OR(ISNA(W108), ISNA(Z108)), "", Z108)</f>
        <v>19.999999999999929</v>
      </c>
      <c r="AA205" s="33">
        <f t="shared" si="65"/>
        <v>19.000000000000092</v>
      </c>
      <c r="AB205" s="34">
        <f t="shared" si="66"/>
        <v>19.000000000000092</v>
      </c>
      <c r="AO205" s="15"/>
      <c r="AP205" s="15"/>
      <c r="AQ205" s="15"/>
      <c r="AR205" s="23"/>
      <c r="AS205" s="15"/>
      <c r="AT205" s="15"/>
      <c r="AU205" s="23"/>
      <c r="AV205" s="23"/>
    </row>
    <row r="206" spans="1:48" x14ac:dyDescent="0.25">
      <c r="A206" t="s">
        <v>68</v>
      </c>
      <c r="B206" t="s">
        <v>69</v>
      </c>
      <c r="C206" s="10">
        <v>-18</v>
      </c>
      <c r="D206" t="s">
        <v>61</v>
      </c>
      <c r="E206" s="2">
        <f t="shared" si="69"/>
        <v>46208</v>
      </c>
      <c r="F206" s="3">
        <f t="shared" si="62"/>
        <v>0.3527777777777778</v>
      </c>
      <c r="G206" t="s">
        <v>71</v>
      </c>
      <c r="H206" t="s">
        <v>72</v>
      </c>
      <c r="I206" t="s">
        <v>295</v>
      </c>
      <c r="J206" s="2">
        <v>46208</v>
      </c>
      <c r="K206" s="1">
        <v>0.35416666666666669</v>
      </c>
      <c r="L206" s="10">
        <f t="shared" si="58"/>
        <v>1.9999999999999929</v>
      </c>
      <c r="M206" s="1" t="str">
        <f t="shared" si="47"/>
        <v>On Time</v>
      </c>
      <c r="N206" s="27" t="str">
        <f t="shared" si="59"/>
        <v>Finnair</v>
      </c>
      <c r="O206" s="3" t="s">
        <v>1385</v>
      </c>
      <c r="P206" s="20">
        <f t="shared" si="60"/>
        <v>8</v>
      </c>
      <c r="Q206" s="3" t="s">
        <v>1385</v>
      </c>
      <c r="R206" s="23" t="str">
        <f t="shared" si="61"/>
        <v>Sunday</v>
      </c>
      <c r="S206" s="3" t="s">
        <v>1385</v>
      </c>
      <c r="T206" s="23" t="s">
        <v>69</v>
      </c>
      <c r="U206" s="3" t="s">
        <v>1385</v>
      </c>
      <c r="W206" s="32">
        <f>IF(OR(ISNA(W109), ISNA(Z109)), "", W109)</f>
        <v>28900000</v>
      </c>
      <c r="X206" s="33">
        <f t="shared" si="63"/>
        <v>647</v>
      </c>
      <c r="Y206" s="34">
        <f t="shared" si="64"/>
        <v>240</v>
      </c>
      <c r="Z206" s="32">
        <f>IF(OR(ISNA(W109), ISNA(Z109)), "", Z109)</f>
        <v>-2.499999999999996</v>
      </c>
      <c r="AA206" s="33">
        <f t="shared" si="65"/>
        <v>22.500000000000078</v>
      </c>
      <c r="AB206" s="34">
        <f t="shared" si="66"/>
        <v>22.500000000000078</v>
      </c>
      <c r="AO206" s="15"/>
      <c r="AP206" s="15"/>
      <c r="AQ206" s="15"/>
      <c r="AR206" s="23"/>
      <c r="AS206" s="15"/>
      <c r="AT206" s="15"/>
      <c r="AU206" s="23"/>
      <c r="AV206" s="23"/>
    </row>
    <row r="207" spans="1:48" x14ac:dyDescent="0.25">
      <c r="A207" t="s">
        <v>291</v>
      </c>
      <c r="B207" t="s">
        <v>13</v>
      </c>
      <c r="C207" s="10">
        <v>-13</v>
      </c>
      <c r="D207" t="s">
        <v>491</v>
      </c>
      <c r="E207" s="2">
        <f t="shared" si="69"/>
        <v>46208</v>
      </c>
      <c r="F207" s="3">
        <f t="shared" si="62"/>
        <v>0.36527777777777781</v>
      </c>
      <c r="G207" t="s">
        <v>293</v>
      </c>
      <c r="H207" t="s">
        <v>294</v>
      </c>
      <c r="I207" t="s">
        <v>17</v>
      </c>
      <c r="J207" s="2">
        <v>46208</v>
      </c>
      <c r="K207" s="1">
        <v>0.36805555555555558</v>
      </c>
      <c r="L207" s="10">
        <f t="shared" si="58"/>
        <v>3.9999999999999858</v>
      </c>
      <c r="M207" s="1" t="str">
        <f t="shared" si="47"/>
        <v>On Time</v>
      </c>
      <c r="N207" s="27" t="str">
        <f t="shared" si="59"/>
        <v>Wizz Air</v>
      </c>
      <c r="O207" s="3" t="s">
        <v>1385</v>
      </c>
      <c r="P207" s="20">
        <f t="shared" si="60"/>
        <v>8</v>
      </c>
      <c r="Q207" s="3" t="s">
        <v>1385</v>
      </c>
      <c r="R207" s="23" t="str">
        <f t="shared" si="61"/>
        <v>Sunday</v>
      </c>
      <c r="S207" s="3" t="s">
        <v>1385</v>
      </c>
      <c r="T207" s="23" t="s">
        <v>13</v>
      </c>
      <c r="U207" s="3" t="s">
        <v>1385</v>
      </c>
      <c r="X207" s="33">
        <f t="shared" si="63"/>
        <v>1247</v>
      </c>
      <c r="Y207" s="34">
        <f t="shared" si="64"/>
        <v>220</v>
      </c>
      <c r="AA207" s="33">
        <f t="shared" si="65"/>
        <v>13.000000000000034</v>
      </c>
      <c r="AB207" s="34">
        <f t="shared" si="66"/>
        <v>13.000000000000034</v>
      </c>
      <c r="AO207" s="15"/>
      <c r="AP207" s="15"/>
      <c r="AQ207" s="15"/>
      <c r="AR207" s="23"/>
      <c r="AS207" s="15"/>
      <c r="AT207" s="15"/>
      <c r="AU207" s="23"/>
      <c r="AV207" s="23"/>
    </row>
    <row r="208" spans="1:48" x14ac:dyDescent="0.25">
      <c r="A208" t="s">
        <v>74</v>
      </c>
      <c r="B208" t="s">
        <v>13</v>
      </c>
      <c r="C208" s="10">
        <v>0</v>
      </c>
      <c r="D208" t="s">
        <v>492</v>
      </c>
      <c r="E208" s="2">
        <f t="shared" si="69"/>
        <v>46208</v>
      </c>
      <c r="F208" s="3">
        <f t="shared" si="62"/>
        <v>0.36944444444444446</v>
      </c>
      <c r="G208" t="s">
        <v>76</v>
      </c>
      <c r="H208" t="s">
        <v>77</v>
      </c>
      <c r="I208" t="s">
        <v>17</v>
      </c>
      <c r="J208" s="2">
        <v>46208</v>
      </c>
      <c r="K208" s="1">
        <v>0.3888888888888889</v>
      </c>
      <c r="L208" s="10">
        <f t="shared" si="58"/>
        <v>27.999999999999979</v>
      </c>
      <c r="M208" s="1" t="str">
        <f t="shared" si="47"/>
        <v>On Time</v>
      </c>
      <c r="N208" s="27" t="str">
        <f t="shared" si="59"/>
        <v>Wizz Air</v>
      </c>
      <c r="O208" s="3" t="s">
        <v>1385</v>
      </c>
      <c r="P208" s="20">
        <f t="shared" si="60"/>
        <v>8</v>
      </c>
      <c r="Q208" s="3" t="s">
        <v>1385</v>
      </c>
      <c r="R208" s="23" t="str">
        <f t="shared" si="61"/>
        <v>Sunday</v>
      </c>
      <c r="S208" s="3" t="s">
        <v>1385</v>
      </c>
      <c r="T208" s="23" t="s">
        <v>13</v>
      </c>
      <c r="U208" s="3" t="s">
        <v>1385</v>
      </c>
      <c r="X208" s="33">
        <f t="shared" si="63"/>
        <v>1316</v>
      </c>
      <c r="Y208" s="34">
        <f t="shared" si="64"/>
        <v>260</v>
      </c>
      <c r="AA208" s="33">
        <f t="shared" si="65"/>
        <v>-30.50000000000005</v>
      </c>
      <c r="AB208" s="34">
        <f t="shared" si="66"/>
        <v>-30.50000000000005</v>
      </c>
      <c r="AO208" s="15"/>
      <c r="AP208" s="15"/>
      <c r="AQ208" s="15"/>
      <c r="AR208" s="23"/>
      <c r="AS208" s="15"/>
      <c r="AT208" s="15"/>
      <c r="AU208" s="23"/>
      <c r="AV208" s="23"/>
    </row>
    <row r="209" spans="1:48" x14ac:dyDescent="0.25">
      <c r="A209" t="s">
        <v>127</v>
      </c>
      <c r="B209" t="s">
        <v>85</v>
      </c>
      <c r="C209" s="10">
        <v>2</v>
      </c>
      <c r="D209" t="s">
        <v>493</v>
      </c>
      <c r="E209" s="2">
        <f t="shared" si="69"/>
        <v>46208</v>
      </c>
      <c r="F209" s="3">
        <f t="shared" si="62"/>
        <v>0.40833333333333338</v>
      </c>
      <c r="G209" t="s">
        <v>129</v>
      </c>
      <c r="H209" t="s">
        <v>130</v>
      </c>
      <c r="I209" t="s">
        <v>162</v>
      </c>
      <c r="J209" s="2">
        <v>46208</v>
      </c>
      <c r="K209" s="1">
        <v>0.41666666666666669</v>
      </c>
      <c r="L209" s="10">
        <f t="shared" si="58"/>
        <v>11.999999999999957</v>
      </c>
      <c r="M209" s="1" t="str">
        <f t="shared" si="47"/>
        <v>On Time</v>
      </c>
      <c r="N209" s="27" t="str">
        <f t="shared" si="59"/>
        <v>Ryanair</v>
      </c>
      <c r="O209" s="3" t="s">
        <v>1385</v>
      </c>
      <c r="P209" s="20">
        <f t="shared" si="60"/>
        <v>9</v>
      </c>
      <c r="Q209" s="3" t="s">
        <v>1385</v>
      </c>
      <c r="R209" s="23" t="str">
        <f t="shared" si="61"/>
        <v>Sunday</v>
      </c>
      <c r="S209" s="3" t="s">
        <v>1385</v>
      </c>
      <c r="T209" s="23" t="s">
        <v>85</v>
      </c>
      <c r="U209" s="3" t="s">
        <v>1385</v>
      </c>
      <c r="X209" s="33">
        <f t="shared" si="63"/>
        <v>1304</v>
      </c>
      <c r="Y209" s="34">
        <f t="shared" si="64"/>
        <v>110</v>
      </c>
      <c r="AA209" s="33">
        <f t="shared" si="65"/>
        <v>11.999999999999957</v>
      </c>
      <c r="AB209" s="34">
        <f t="shared" si="66"/>
        <v>11.999999999999957</v>
      </c>
      <c r="AO209" s="15"/>
      <c r="AP209" s="15"/>
      <c r="AQ209" s="15"/>
      <c r="AR209" s="23"/>
      <c r="AS209" s="15"/>
      <c r="AT209" s="15"/>
      <c r="AU209" s="23"/>
      <c r="AV209" s="23"/>
    </row>
    <row r="210" spans="1:48" x14ac:dyDescent="0.25">
      <c r="A210" t="s">
        <v>78</v>
      </c>
      <c r="B210" t="s">
        <v>363</v>
      </c>
      <c r="C210" s="10">
        <v>-72</v>
      </c>
      <c r="D210" t="s">
        <v>494</v>
      </c>
      <c r="E210" s="2">
        <f t="shared" si="69"/>
        <v>46208</v>
      </c>
      <c r="F210" s="3">
        <f t="shared" si="62"/>
        <v>0.47222222222222227</v>
      </c>
      <c r="G210" t="s">
        <v>81</v>
      </c>
      <c r="H210" t="s">
        <v>82</v>
      </c>
      <c r="I210" t="s">
        <v>83</v>
      </c>
      <c r="J210" s="2">
        <v>46208</v>
      </c>
      <c r="K210" s="1">
        <v>0.44097222222222227</v>
      </c>
      <c r="L210" s="10">
        <f t="shared" si="58"/>
        <v>-45</v>
      </c>
      <c r="M210" s="1" t="str">
        <f t="shared" si="47"/>
        <v>Delayed</v>
      </c>
      <c r="N210" s="27" t="e">
        <f t="shared" si="59"/>
        <v>#N/A</v>
      </c>
      <c r="O210" s="3" t="s">
        <v>1318</v>
      </c>
      <c r="P210" s="20">
        <f t="shared" si="60"/>
        <v>11</v>
      </c>
      <c r="Q210" s="3" t="s">
        <v>1318</v>
      </c>
      <c r="R210" s="23" t="str">
        <f t="shared" si="61"/>
        <v>Sunday</v>
      </c>
      <c r="S210" s="3" t="s">
        <v>1318</v>
      </c>
      <c r="T210" s="23" t="s">
        <v>363</v>
      </c>
      <c r="U210" s="3" t="s">
        <v>1318</v>
      </c>
      <c r="X210" s="33">
        <f t="shared" si="63"/>
        <v>938</v>
      </c>
      <c r="Y210" s="34">
        <f t="shared" si="64"/>
        <v>1000</v>
      </c>
      <c r="AA210" s="33">
        <f t="shared" si="65"/>
        <v>0.99999999999999645</v>
      </c>
      <c r="AB210" s="34">
        <f t="shared" si="66"/>
        <v>0.99999999999999645</v>
      </c>
      <c r="AO210" s="15"/>
      <c r="AP210" s="15"/>
      <c r="AQ210" s="15"/>
      <c r="AR210" s="23"/>
      <c r="AS210" s="15"/>
      <c r="AT210" s="15"/>
      <c r="AU210" s="23"/>
      <c r="AV210" s="23"/>
    </row>
    <row r="211" spans="1:48" x14ac:dyDescent="0.25">
      <c r="A211" t="s">
        <v>95</v>
      </c>
      <c r="B211" t="s">
        <v>96</v>
      </c>
      <c r="C211" s="10">
        <v>-35</v>
      </c>
      <c r="D211" t="s">
        <v>495</v>
      </c>
      <c r="E211" s="2">
        <f t="shared" si="69"/>
        <v>46208</v>
      </c>
      <c r="F211" s="3">
        <f t="shared" si="62"/>
        <v>0.4513888888888889</v>
      </c>
      <c r="G211" t="s">
        <v>98</v>
      </c>
      <c r="H211" t="s">
        <v>99</v>
      </c>
      <c r="I211" t="s">
        <v>188</v>
      </c>
      <c r="J211" s="2">
        <v>46208</v>
      </c>
      <c r="K211" s="1">
        <v>0.44791666666666669</v>
      </c>
      <c r="L211" s="10">
        <f t="shared" si="58"/>
        <v>-4.9999999999999822</v>
      </c>
      <c r="M211" s="1" t="str">
        <f t="shared" ref="M211:M274" si="70">IF(L211&gt;=-15, "On Time", "Delayed")</f>
        <v>On Time</v>
      </c>
      <c r="N211" s="27" t="str">
        <f t="shared" si="59"/>
        <v>Turkish Airlines</v>
      </c>
      <c r="O211" s="3" t="s">
        <v>1385</v>
      </c>
      <c r="P211" s="20">
        <f t="shared" si="60"/>
        <v>10</v>
      </c>
      <c r="Q211" s="3" t="s">
        <v>1385</v>
      </c>
      <c r="R211" s="23" t="str">
        <f t="shared" si="61"/>
        <v>Sunday</v>
      </c>
      <c r="S211" s="3" t="s">
        <v>1385</v>
      </c>
      <c r="T211" s="23" t="s">
        <v>96</v>
      </c>
      <c r="U211" s="3" t="s">
        <v>1385</v>
      </c>
      <c r="X211" s="33">
        <f>IF(OR(ISNA(X106), ISNA(Z106)), "", X106)</f>
        <v>393</v>
      </c>
      <c r="Y211" s="34">
        <f>IF(OR(ISNA(Y106), ISNA(Z106)), "", Y106)</f>
        <v>160</v>
      </c>
      <c r="AA211" s="33">
        <f>IF(OR(ISNA(X106), ISNA(Z106)), "", Z106)</f>
        <v>0</v>
      </c>
      <c r="AB211" s="34">
        <f>IF(OR(ISNA(Y106), ISNA(Z106)), "", Z106)</f>
        <v>0</v>
      </c>
      <c r="AO211" s="15"/>
      <c r="AP211" s="15"/>
      <c r="AQ211" s="15"/>
      <c r="AR211" s="23"/>
      <c r="AS211" s="15"/>
      <c r="AT211" s="15"/>
      <c r="AU211" s="23"/>
      <c r="AV211" s="23"/>
    </row>
    <row r="212" spans="1:48" x14ac:dyDescent="0.25">
      <c r="A212" t="s">
        <v>150</v>
      </c>
      <c r="B212" t="s">
        <v>151</v>
      </c>
      <c r="C212" s="10">
        <v>-3</v>
      </c>
      <c r="D212" t="s">
        <v>496</v>
      </c>
      <c r="E212" s="2">
        <f t="shared" si="69"/>
        <v>46208</v>
      </c>
      <c r="F212" s="3">
        <f t="shared" si="62"/>
        <v>0.46111111111111108</v>
      </c>
      <c r="G212" t="s">
        <v>153</v>
      </c>
      <c r="H212" t="s">
        <v>154</v>
      </c>
      <c r="I212" t="s">
        <v>155</v>
      </c>
      <c r="J212" s="2">
        <v>46208</v>
      </c>
      <c r="K212" s="1">
        <v>0.47569444444444442</v>
      </c>
      <c r="L212" s="10">
        <f t="shared" si="58"/>
        <v>21.000000000000007</v>
      </c>
      <c r="M212" s="1" t="str">
        <f t="shared" si="70"/>
        <v>On Time</v>
      </c>
      <c r="N212" s="27" t="e">
        <f t="shared" si="59"/>
        <v>#N/A</v>
      </c>
      <c r="O212" s="3" t="s">
        <v>1385</v>
      </c>
      <c r="P212" s="20">
        <f t="shared" si="60"/>
        <v>11</v>
      </c>
      <c r="Q212" s="3" t="s">
        <v>1385</v>
      </c>
      <c r="R212" s="23" t="str">
        <f t="shared" si="61"/>
        <v>Sunday</v>
      </c>
      <c r="S212" s="3" t="s">
        <v>1385</v>
      </c>
      <c r="T212" s="23" t="s">
        <v>151</v>
      </c>
      <c r="U212" s="3" t="s">
        <v>1385</v>
      </c>
      <c r="X212" s="33">
        <f>IF(OR(ISNA(X107), ISNA(Z107)), "", X107)</f>
        <v>395</v>
      </c>
      <c r="Y212" s="34">
        <f>IF(OR(ISNA(Y107), ISNA(Z107)), "", Y107)</f>
        <v>834</v>
      </c>
      <c r="AA212" s="33">
        <f>IF(OR(ISNA(X107), ISNA(Z107)), "", Z107)</f>
        <v>-4.9999999999999423</v>
      </c>
      <c r="AB212" s="34">
        <f>IF(OR(ISNA(Y107), ISNA(Z107)), "", Z107)</f>
        <v>-4.9999999999999423</v>
      </c>
      <c r="AO212" s="15"/>
      <c r="AP212" s="15"/>
      <c r="AQ212" s="15"/>
      <c r="AR212" s="23"/>
      <c r="AS212" s="15"/>
      <c r="AT212" s="15"/>
      <c r="AU212" s="23"/>
      <c r="AV212" s="23"/>
    </row>
    <row r="213" spans="1:48" x14ac:dyDescent="0.25">
      <c r="A213" t="s">
        <v>28</v>
      </c>
      <c r="B213" t="s">
        <v>7</v>
      </c>
      <c r="C213" s="10">
        <v>-8</v>
      </c>
      <c r="D213" t="s">
        <v>497</v>
      </c>
      <c r="E213" s="2">
        <f t="shared" si="69"/>
        <v>46208</v>
      </c>
      <c r="F213" s="3">
        <f t="shared" si="62"/>
        <v>0.46527777777777773</v>
      </c>
      <c r="G213" t="s">
        <v>30</v>
      </c>
      <c r="H213" t="s">
        <v>31</v>
      </c>
      <c r="I213" t="s">
        <v>11</v>
      </c>
      <c r="J213" s="2">
        <v>46208</v>
      </c>
      <c r="K213" s="1">
        <v>0.4826388888888889</v>
      </c>
      <c r="L213" s="10">
        <f t="shared" si="58"/>
        <v>25.000000000000071</v>
      </c>
      <c r="M213" s="1" t="str">
        <f t="shared" si="70"/>
        <v>On Time</v>
      </c>
      <c r="N213" s="27" t="str">
        <f t="shared" si="59"/>
        <v>airBaltic</v>
      </c>
      <c r="O213" s="3" t="s">
        <v>1385</v>
      </c>
      <c r="P213" s="20">
        <f t="shared" si="60"/>
        <v>11</v>
      </c>
      <c r="Q213" s="3" t="s">
        <v>1385</v>
      </c>
      <c r="R213" s="23" t="str">
        <f t="shared" si="61"/>
        <v>Sunday</v>
      </c>
      <c r="S213" s="3" t="s">
        <v>1385</v>
      </c>
      <c r="T213" s="23" t="s">
        <v>7</v>
      </c>
      <c r="U213" s="3" t="s">
        <v>1385</v>
      </c>
      <c r="X213" s="33">
        <f>IF(OR(ISNA(X108), ISNA(Z108)), "", X108)</f>
        <v>1127</v>
      </c>
      <c r="Y213" s="34">
        <f>IF(OR(ISNA(Y108), ISNA(Z108)), "", Y108)</f>
        <v>400</v>
      </c>
      <c r="AA213" s="33">
        <f>IF(OR(ISNA(X108), ISNA(Z108)), "", Z108)</f>
        <v>19.999999999999929</v>
      </c>
      <c r="AB213" s="34">
        <f>IF(OR(ISNA(Y108), ISNA(Z108)), "", Z108)</f>
        <v>19.999999999999929</v>
      </c>
      <c r="AO213" s="15"/>
      <c r="AP213" s="15"/>
      <c r="AQ213" s="15"/>
      <c r="AR213" s="23"/>
      <c r="AS213" s="15"/>
      <c r="AT213" s="15"/>
      <c r="AU213" s="23"/>
      <c r="AV213" s="23"/>
    </row>
    <row r="214" spans="1:48" x14ac:dyDescent="0.25">
      <c r="A214" t="s">
        <v>351</v>
      </c>
      <c r="B214" t="s">
        <v>85</v>
      </c>
      <c r="C214" s="10">
        <v>0</v>
      </c>
      <c r="D214" t="s">
        <v>498</v>
      </c>
      <c r="E214" s="2">
        <f t="shared" si="69"/>
        <v>46208</v>
      </c>
      <c r="F214" s="3">
        <f t="shared" si="62"/>
        <v>0.47361111111111115</v>
      </c>
      <c r="G214" t="s">
        <v>252</v>
      </c>
      <c r="H214" t="s">
        <v>352</v>
      </c>
      <c r="I214" t="s">
        <v>89</v>
      </c>
      <c r="J214" s="2">
        <v>46208</v>
      </c>
      <c r="K214" s="1">
        <v>0.48958333333333331</v>
      </c>
      <c r="L214" s="10">
        <f t="shared" si="58"/>
        <v>22.999999999999918</v>
      </c>
      <c r="M214" s="1" t="str">
        <f t="shared" si="70"/>
        <v>On Time</v>
      </c>
      <c r="N214" s="27" t="str">
        <f t="shared" si="59"/>
        <v>Ryanair</v>
      </c>
      <c r="O214" s="3" t="s">
        <v>1385</v>
      </c>
      <c r="P214" s="20">
        <f t="shared" si="60"/>
        <v>11</v>
      </c>
      <c r="Q214" s="3" t="s">
        <v>1385</v>
      </c>
      <c r="R214" s="23" t="str">
        <f t="shared" si="61"/>
        <v>Sunday</v>
      </c>
      <c r="S214" s="3" t="s">
        <v>1385</v>
      </c>
      <c r="T214" s="23" t="s">
        <v>85</v>
      </c>
      <c r="U214" s="3" t="s">
        <v>1385</v>
      </c>
      <c r="X214" s="33">
        <f>IF(OR(ISNA(X109), ISNA(Z109)), "", X109)</f>
        <v>1385</v>
      </c>
      <c r="Y214" s="34">
        <f>IF(OR(ISNA(Y109), ISNA(Z109)), "", Y109)</f>
        <v>880</v>
      </c>
      <c r="AA214" s="33">
        <f>IF(OR(ISNA(X109), ISNA(Z109)), "", Z109)</f>
        <v>-2.499999999999996</v>
      </c>
      <c r="AB214" s="34">
        <f>IF(OR(ISNA(Y109), ISNA(Z109)), "", Z109)</f>
        <v>-2.499999999999996</v>
      </c>
      <c r="AO214" s="15"/>
      <c r="AP214" s="15"/>
      <c r="AQ214" s="15"/>
      <c r="AR214" s="23"/>
      <c r="AS214" s="15"/>
      <c r="AT214" s="15"/>
      <c r="AU214" s="23"/>
      <c r="AV214" s="23"/>
    </row>
    <row r="215" spans="1:48" x14ac:dyDescent="0.25">
      <c r="A215" t="s">
        <v>32</v>
      </c>
      <c r="B215" t="s">
        <v>13</v>
      </c>
      <c r="C215" s="10">
        <v>-35</v>
      </c>
      <c r="D215" t="s">
        <v>499</v>
      </c>
      <c r="E215" s="2">
        <f t="shared" si="69"/>
        <v>46208</v>
      </c>
      <c r="F215" s="3">
        <f t="shared" si="62"/>
        <v>0.49791666666666662</v>
      </c>
      <c r="G215" t="s">
        <v>34</v>
      </c>
      <c r="H215" t="s">
        <v>35</v>
      </c>
      <c r="I215" t="s">
        <v>17</v>
      </c>
      <c r="J215" s="2">
        <v>46208</v>
      </c>
      <c r="K215" s="1">
        <v>0.48958333333333331</v>
      </c>
      <c r="L215" s="10">
        <f t="shared" si="58"/>
        <v>-11.999999999999957</v>
      </c>
      <c r="M215" s="1" t="str">
        <f t="shared" si="70"/>
        <v>On Time</v>
      </c>
      <c r="N215" s="27" t="str">
        <f t="shared" si="59"/>
        <v>Wizz Air</v>
      </c>
      <c r="O215" s="3" t="s">
        <v>1385</v>
      </c>
      <c r="P215" s="20">
        <f t="shared" si="60"/>
        <v>11</v>
      </c>
      <c r="Q215" s="3" t="s">
        <v>1385</v>
      </c>
      <c r="R215" s="23" t="str">
        <f t="shared" si="61"/>
        <v>Sunday</v>
      </c>
      <c r="S215" s="3" t="s">
        <v>1385</v>
      </c>
      <c r="T215" s="23" t="s">
        <v>13</v>
      </c>
      <c r="U215" s="3" t="s">
        <v>1385</v>
      </c>
      <c r="Y215" s="35"/>
      <c r="AO215" s="15"/>
      <c r="AP215" s="15"/>
      <c r="AQ215" s="15"/>
      <c r="AR215" s="23"/>
      <c r="AS215" s="15"/>
      <c r="AT215" s="15"/>
      <c r="AU215" s="23"/>
      <c r="AV215" s="23"/>
    </row>
    <row r="216" spans="1:48" x14ac:dyDescent="0.25">
      <c r="A216" t="s">
        <v>184</v>
      </c>
      <c r="B216" t="s">
        <v>85</v>
      </c>
      <c r="C216" s="10">
        <v>0</v>
      </c>
      <c r="D216" t="s">
        <v>500</v>
      </c>
      <c r="E216" s="2">
        <f t="shared" si="69"/>
        <v>46208</v>
      </c>
      <c r="F216" s="3">
        <f t="shared" si="62"/>
        <v>0.48958333333333331</v>
      </c>
      <c r="G216" t="s">
        <v>153</v>
      </c>
      <c r="H216" t="s">
        <v>154</v>
      </c>
      <c r="I216" t="s">
        <v>89</v>
      </c>
      <c r="J216" s="2">
        <v>46208</v>
      </c>
      <c r="K216" s="1">
        <v>0.50694444444444442</v>
      </c>
      <c r="L216" s="10">
        <f t="shared" si="58"/>
        <v>24.999999999999993</v>
      </c>
      <c r="M216" s="1" t="str">
        <f t="shared" si="70"/>
        <v>On Time</v>
      </c>
      <c r="N216" s="27" t="str">
        <f t="shared" si="59"/>
        <v>Ryanair</v>
      </c>
      <c r="O216" s="3" t="s">
        <v>1385</v>
      </c>
      <c r="P216" s="20">
        <f t="shared" si="60"/>
        <v>11</v>
      </c>
      <c r="Q216" s="3" t="s">
        <v>1385</v>
      </c>
      <c r="R216" s="23" t="str">
        <f t="shared" si="61"/>
        <v>Sunday</v>
      </c>
      <c r="S216" s="3" t="s">
        <v>1385</v>
      </c>
      <c r="T216" s="23" t="s">
        <v>85</v>
      </c>
      <c r="U216" s="3" t="s">
        <v>1385</v>
      </c>
      <c r="AO216" s="15"/>
      <c r="AP216" s="15"/>
      <c r="AQ216" s="15"/>
      <c r="AR216" s="23"/>
      <c r="AS216" s="15"/>
      <c r="AT216" s="15"/>
      <c r="AU216" s="23"/>
      <c r="AV216" s="23"/>
    </row>
    <row r="217" spans="1:48" x14ac:dyDescent="0.25">
      <c r="A217" t="s">
        <v>306</v>
      </c>
      <c r="B217" t="s">
        <v>239</v>
      </c>
      <c r="D217" t="s">
        <v>501</v>
      </c>
      <c r="E217" s="2">
        <f t="shared" si="69"/>
        <v>46208</v>
      </c>
      <c r="F217" s="3">
        <f t="shared" si="62"/>
        <v>0.51597222222222217</v>
      </c>
      <c r="G217" t="s">
        <v>308</v>
      </c>
      <c r="H217" t="s">
        <v>309</v>
      </c>
      <c r="I217" t="s">
        <v>83</v>
      </c>
      <c r="J217" s="2">
        <v>46208</v>
      </c>
      <c r="K217" s="1">
        <v>0.50694444444444442</v>
      </c>
      <c r="L217" s="10">
        <f t="shared" si="58"/>
        <v>-12.999999999999954</v>
      </c>
      <c r="M217" s="1" t="str">
        <f t="shared" si="70"/>
        <v>On Time</v>
      </c>
      <c r="N217" s="27" t="str">
        <f t="shared" si="59"/>
        <v>Eurowings</v>
      </c>
      <c r="O217" s="3" t="s">
        <v>1385</v>
      </c>
      <c r="P217" s="20">
        <f t="shared" si="60"/>
        <v>12</v>
      </c>
      <c r="Q217" s="3" t="s">
        <v>1385</v>
      </c>
      <c r="R217" s="23" t="str">
        <f t="shared" si="61"/>
        <v>Sunday</v>
      </c>
      <c r="S217" s="3" t="s">
        <v>1385</v>
      </c>
      <c r="T217" s="23" t="s">
        <v>239</v>
      </c>
      <c r="U217" s="3" t="s">
        <v>1385</v>
      </c>
      <c r="AO217" s="15"/>
      <c r="AP217" s="15"/>
      <c r="AQ217" s="15"/>
      <c r="AR217" s="23"/>
      <c r="AS217" s="15"/>
      <c r="AT217" s="15"/>
      <c r="AU217" s="23"/>
      <c r="AV217" s="23"/>
    </row>
    <row r="218" spans="1:48" x14ac:dyDescent="0.25">
      <c r="A218" t="s">
        <v>204</v>
      </c>
      <c r="B218" t="s">
        <v>7</v>
      </c>
      <c r="C218" s="10">
        <v>-4</v>
      </c>
      <c r="D218" t="s">
        <v>502</v>
      </c>
      <c r="E218" s="2">
        <f t="shared" si="69"/>
        <v>46208</v>
      </c>
      <c r="F218" s="3">
        <f t="shared" si="62"/>
        <v>0.51111111111111118</v>
      </c>
      <c r="G218" t="s">
        <v>206</v>
      </c>
      <c r="H218" t="s">
        <v>207</v>
      </c>
      <c r="I218" t="s">
        <v>11</v>
      </c>
      <c r="J218" s="2">
        <v>46208</v>
      </c>
      <c r="K218" s="1">
        <v>0.52777777777777779</v>
      </c>
      <c r="L218" s="10">
        <f t="shared" si="58"/>
        <v>23.999999999999915</v>
      </c>
      <c r="M218" s="1" t="str">
        <f t="shared" si="70"/>
        <v>On Time</v>
      </c>
      <c r="N218" s="27" t="str">
        <f t="shared" si="59"/>
        <v>airBaltic</v>
      </c>
      <c r="O218" s="3" t="s">
        <v>1385</v>
      </c>
      <c r="P218" s="20">
        <f t="shared" si="60"/>
        <v>12</v>
      </c>
      <c r="Q218" s="3" t="s">
        <v>1385</v>
      </c>
      <c r="R218" s="23" t="str">
        <f t="shared" si="61"/>
        <v>Sunday</v>
      </c>
      <c r="S218" s="3" t="s">
        <v>1385</v>
      </c>
      <c r="T218" s="23" t="s">
        <v>7</v>
      </c>
      <c r="U218" s="3" t="s">
        <v>1385</v>
      </c>
      <c r="AO218" s="15"/>
      <c r="AP218" s="15"/>
      <c r="AQ218" s="15"/>
      <c r="AR218" s="23"/>
      <c r="AS218" s="15"/>
      <c r="AT218" s="15"/>
      <c r="AU218" s="23"/>
      <c r="AV218" s="23"/>
    </row>
    <row r="219" spans="1:48" x14ac:dyDescent="0.25">
      <c r="A219" t="s">
        <v>108</v>
      </c>
      <c r="B219" t="s">
        <v>190</v>
      </c>
      <c r="C219" s="10">
        <v>-9</v>
      </c>
      <c r="D219" t="s">
        <v>118</v>
      </c>
      <c r="E219" s="2">
        <f t="shared" si="69"/>
        <v>46208</v>
      </c>
      <c r="F219" s="3">
        <f t="shared" si="62"/>
        <v>0.52569444444444446</v>
      </c>
      <c r="G219" t="s">
        <v>110</v>
      </c>
      <c r="H219" t="s">
        <v>111</v>
      </c>
      <c r="I219" t="s">
        <v>210</v>
      </c>
      <c r="J219" s="2">
        <v>46208</v>
      </c>
      <c r="K219" s="1">
        <v>0.52777777777777779</v>
      </c>
      <c r="L219" s="10">
        <f t="shared" si="58"/>
        <v>2.9999999999999893</v>
      </c>
      <c r="M219" s="1" t="str">
        <f t="shared" si="70"/>
        <v>On Time</v>
      </c>
      <c r="N219" s="27" t="str">
        <f t="shared" si="59"/>
        <v>Lufthansa</v>
      </c>
      <c r="O219" s="3" t="s">
        <v>1385</v>
      </c>
      <c r="P219" s="20">
        <f t="shared" si="60"/>
        <v>12</v>
      </c>
      <c r="Q219" s="3" t="s">
        <v>1385</v>
      </c>
      <c r="R219" s="23" t="str">
        <f t="shared" si="61"/>
        <v>Sunday</v>
      </c>
      <c r="S219" s="3" t="s">
        <v>1385</v>
      </c>
      <c r="T219" s="23" t="s">
        <v>190</v>
      </c>
      <c r="U219" s="3" t="s">
        <v>1385</v>
      </c>
      <c r="AO219" s="15"/>
      <c r="AP219" s="15"/>
      <c r="AQ219" s="15"/>
      <c r="AR219" s="23"/>
      <c r="AS219" s="15"/>
      <c r="AT219" s="15"/>
      <c r="AU219" s="23"/>
      <c r="AV219" s="23"/>
    </row>
    <row r="220" spans="1:48" x14ac:dyDescent="0.25">
      <c r="A220" t="s">
        <v>113</v>
      </c>
      <c r="B220" t="s">
        <v>13</v>
      </c>
      <c r="C220" s="10">
        <v>-31</v>
      </c>
      <c r="D220" t="s">
        <v>503</v>
      </c>
      <c r="E220" s="2">
        <f t="shared" si="69"/>
        <v>46208</v>
      </c>
      <c r="F220" s="3">
        <f t="shared" si="62"/>
        <v>0.53333333333333333</v>
      </c>
      <c r="G220" t="s">
        <v>102</v>
      </c>
      <c r="H220" t="s">
        <v>115</v>
      </c>
      <c r="I220" t="s">
        <v>17</v>
      </c>
      <c r="J220" s="2">
        <v>46208</v>
      </c>
      <c r="K220" s="1">
        <v>0.53472222222222221</v>
      </c>
      <c r="L220" s="10">
        <f t="shared" si="58"/>
        <v>1.9999999999999929</v>
      </c>
      <c r="M220" s="1" t="str">
        <f t="shared" si="70"/>
        <v>On Time</v>
      </c>
      <c r="N220" s="27" t="str">
        <f t="shared" si="59"/>
        <v>Wizz Air</v>
      </c>
      <c r="O220" s="3" t="s">
        <v>1385</v>
      </c>
      <c r="P220" s="20">
        <f t="shared" si="60"/>
        <v>12</v>
      </c>
      <c r="Q220" s="3" t="s">
        <v>1385</v>
      </c>
      <c r="R220" s="23" t="str">
        <f t="shared" si="61"/>
        <v>Sunday</v>
      </c>
      <c r="S220" s="3" t="s">
        <v>1385</v>
      </c>
      <c r="T220" s="23" t="s">
        <v>13</v>
      </c>
      <c r="U220" s="3" t="s">
        <v>1385</v>
      </c>
      <c r="AO220" s="15"/>
      <c r="AP220" s="15"/>
      <c r="AQ220" s="15"/>
      <c r="AR220" s="23"/>
      <c r="AS220" s="15"/>
      <c r="AT220" s="15"/>
      <c r="AU220" s="23"/>
      <c r="AV220" s="23"/>
    </row>
    <row r="221" spans="1:48" x14ac:dyDescent="0.25">
      <c r="A221" t="s">
        <v>121</v>
      </c>
      <c r="B221" t="s">
        <v>69</v>
      </c>
      <c r="C221" s="10">
        <v>-6</v>
      </c>
      <c r="D221" t="s">
        <v>504</v>
      </c>
      <c r="E221" s="2">
        <f t="shared" si="69"/>
        <v>46208</v>
      </c>
      <c r="F221" s="3">
        <f t="shared" si="62"/>
        <v>0.53819444444444442</v>
      </c>
      <c r="G221" t="s">
        <v>71</v>
      </c>
      <c r="H221" t="s">
        <v>72</v>
      </c>
      <c r="I221" t="s">
        <v>73</v>
      </c>
      <c r="J221" s="2">
        <v>46208</v>
      </c>
      <c r="K221" s="1">
        <v>0.54166666666666663</v>
      </c>
      <c r="L221" s="10">
        <f t="shared" si="58"/>
        <v>4.9999999999999822</v>
      </c>
      <c r="M221" s="1" t="str">
        <f t="shared" si="70"/>
        <v>On Time</v>
      </c>
      <c r="N221" s="27" t="str">
        <f t="shared" si="59"/>
        <v>Finnair</v>
      </c>
      <c r="O221" s="3" t="s">
        <v>1385</v>
      </c>
      <c r="P221" s="20">
        <f t="shared" si="60"/>
        <v>12</v>
      </c>
      <c r="Q221" s="3" t="s">
        <v>1385</v>
      </c>
      <c r="R221" s="23" t="str">
        <f t="shared" si="61"/>
        <v>Sunday</v>
      </c>
      <c r="S221" s="3" t="s">
        <v>1385</v>
      </c>
      <c r="T221" s="23" t="s">
        <v>69</v>
      </c>
      <c r="U221" s="3" t="s">
        <v>1385</v>
      </c>
      <c r="AO221" s="15"/>
      <c r="AP221" s="15"/>
      <c r="AQ221" s="15"/>
      <c r="AR221" s="23"/>
      <c r="AS221" s="15"/>
      <c r="AT221" s="15"/>
      <c r="AU221" s="23"/>
      <c r="AV221" s="23"/>
    </row>
    <row r="222" spans="1:48" x14ac:dyDescent="0.25">
      <c r="A222" t="s">
        <v>62</v>
      </c>
      <c r="B222" t="s">
        <v>63</v>
      </c>
      <c r="C222" s="10">
        <v>-21</v>
      </c>
      <c r="D222" t="s">
        <v>505</v>
      </c>
      <c r="E222" s="2">
        <f t="shared" si="69"/>
        <v>46208</v>
      </c>
      <c r="F222" s="3">
        <f t="shared" si="62"/>
        <v>0.54097222222222219</v>
      </c>
      <c r="G222" t="s">
        <v>65</v>
      </c>
      <c r="H222" t="s">
        <v>66</v>
      </c>
      <c r="I222" t="s">
        <v>67</v>
      </c>
      <c r="J222" s="2">
        <v>46208</v>
      </c>
      <c r="K222" s="1">
        <v>0.54166666666666663</v>
      </c>
      <c r="L222" s="10">
        <f t="shared" si="58"/>
        <v>0.99999999999999645</v>
      </c>
      <c r="M222" s="1" t="str">
        <f t="shared" si="70"/>
        <v>On Time</v>
      </c>
      <c r="N222" s="27" t="e">
        <f t="shared" si="59"/>
        <v>#N/A</v>
      </c>
      <c r="O222" s="3" t="s">
        <v>1385</v>
      </c>
      <c r="P222" s="20">
        <f t="shared" si="60"/>
        <v>12</v>
      </c>
      <c r="Q222" s="3" t="s">
        <v>1385</v>
      </c>
      <c r="R222" s="23" t="str">
        <f t="shared" si="61"/>
        <v>Sunday</v>
      </c>
      <c r="S222" s="3" t="s">
        <v>1385</v>
      </c>
      <c r="T222" s="23" t="s">
        <v>63</v>
      </c>
      <c r="U222" s="3" t="s">
        <v>1385</v>
      </c>
      <c r="AO222" s="15"/>
      <c r="AP222" s="15"/>
      <c r="AQ222" s="15"/>
      <c r="AR222" s="23"/>
      <c r="AS222" s="15"/>
      <c r="AT222" s="15"/>
      <c r="AU222" s="23"/>
      <c r="AV222" s="23"/>
    </row>
    <row r="223" spans="1:48" x14ac:dyDescent="0.25">
      <c r="A223" t="s">
        <v>506</v>
      </c>
      <c r="B223" t="s">
        <v>117</v>
      </c>
      <c r="C223" s="10">
        <v>-4</v>
      </c>
      <c r="D223" t="s">
        <v>318</v>
      </c>
      <c r="E223" s="2">
        <f t="shared" si="69"/>
        <v>46208</v>
      </c>
      <c r="F223" s="3">
        <f t="shared" si="62"/>
        <v>0.5395833333333333</v>
      </c>
      <c r="G223" t="s">
        <v>119</v>
      </c>
      <c r="H223" t="s">
        <v>120</v>
      </c>
      <c r="I223" t="s">
        <v>83</v>
      </c>
      <c r="J223" s="2">
        <v>46208</v>
      </c>
      <c r="K223" s="1">
        <v>0.55069444444444449</v>
      </c>
      <c r="L223" s="10">
        <f t="shared" si="58"/>
        <v>16.000000000000103</v>
      </c>
      <c r="M223" s="1" t="str">
        <f t="shared" si="70"/>
        <v>On Time</v>
      </c>
      <c r="N223" s="27" t="str">
        <f t="shared" si="59"/>
        <v>Heston Airlines</v>
      </c>
      <c r="O223" s="3" t="s">
        <v>1385</v>
      </c>
      <c r="P223" s="20">
        <f t="shared" si="60"/>
        <v>12</v>
      </c>
      <c r="Q223" s="3" t="s">
        <v>1385</v>
      </c>
      <c r="R223" s="23" t="str">
        <f t="shared" si="61"/>
        <v>Sunday</v>
      </c>
      <c r="S223" s="3" t="s">
        <v>1385</v>
      </c>
      <c r="T223" s="23" t="s">
        <v>117</v>
      </c>
      <c r="U223" s="3" t="s">
        <v>1385</v>
      </c>
      <c r="AO223" s="15"/>
      <c r="AP223" s="15"/>
      <c r="AQ223" s="15"/>
      <c r="AR223" s="23"/>
      <c r="AS223" s="15"/>
      <c r="AT223" s="15"/>
      <c r="AU223" s="23"/>
      <c r="AV223" s="23"/>
    </row>
    <row r="224" spans="1:48" x14ac:dyDescent="0.25">
      <c r="A224" t="s">
        <v>123</v>
      </c>
      <c r="B224" t="s">
        <v>124</v>
      </c>
      <c r="D224" t="s">
        <v>507</v>
      </c>
      <c r="E224" s="2">
        <f t="shared" si="69"/>
        <v>46208</v>
      </c>
      <c r="F224" s="3">
        <f t="shared" si="62"/>
        <v>0.53472222222222221</v>
      </c>
      <c r="G224" t="s">
        <v>508</v>
      </c>
      <c r="H224" t="s">
        <v>509</v>
      </c>
      <c r="I224" t="s">
        <v>249</v>
      </c>
      <c r="J224" s="2">
        <v>46208</v>
      </c>
      <c r="K224" s="1">
        <v>0.55277777777777781</v>
      </c>
      <c r="L224" s="10">
        <f t="shared" si="58"/>
        <v>26.000000000000068</v>
      </c>
      <c r="M224" s="1" t="str">
        <f t="shared" si="70"/>
        <v>On Time</v>
      </c>
      <c r="N224" s="27" t="str">
        <f t="shared" si="59"/>
        <v>GetJet Airlines</v>
      </c>
      <c r="O224" s="3" t="s">
        <v>1385</v>
      </c>
      <c r="P224" s="20">
        <f t="shared" si="60"/>
        <v>12</v>
      </c>
      <c r="Q224" s="3" t="s">
        <v>1385</v>
      </c>
      <c r="R224" s="23" t="str">
        <f t="shared" si="61"/>
        <v>Sunday</v>
      </c>
      <c r="S224" s="3" t="s">
        <v>1385</v>
      </c>
      <c r="T224" s="23" t="s">
        <v>124</v>
      </c>
      <c r="U224" s="3" t="s">
        <v>1385</v>
      </c>
      <c r="AO224" s="15"/>
      <c r="AP224" s="15"/>
      <c r="AQ224" s="15"/>
      <c r="AR224" s="23"/>
      <c r="AS224" s="15"/>
      <c r="AT224" s="15"/>
      <c r="AU224" s="23"/>
      <c r="AV224" s="23"/>
    </row>
    <row r="225" spans="1:48" x14ac:dyDescent="0.25">
      <c r="A225" t="s">
        <v>133</v>
      </c>
      <c r="B225" t="s">
        <v>7</v>
      </c>
      <c r="C225" s="10">
        <v>-20</v>
      </c>
      <c r="D225" t="s">
        <v>122</v>
      </c>
      <c r="E225" s="2">
        <f t="shared" si="69"/>
        <v>46208</v>
      </c>
      <c r="F225" s="3">
        <f t="shared" si="62"/>
        <v>0.55625000000000002</v>
      </c>
      <c r="G225" t="s">
        <v>135</v>
      </c>
      <c r="H225" t="s">
        <v>136</v>
      </c>
      <c r="I225" t="s">
        <v>11</v>
      </c>
      <c r="J225" s="2">
        <v>46208</v>
      </c>
      <c r="K225" s="1">
        <v>0.55902777777777779</v>
      </c>
      <c r="L225" s="10">
        <f t="shared" si="58"/>
        <v>3.9999999999999858</v>
      </c>
      <c r="M225" s="1" t="str">
        <f t="shared" si="70"/>
        <v>On Time</v>
      </c>
      <c r="N225" s="27" t="str">
        <f t="shared" si="59"/>
        <v>airBaltic</v>
      </c>
      <c r="O225" s="3" t="s">
        <v>1385</v>
      </c>
      <c r="P225" s="20">
        <f t="shared" si="60"/>
        <v>13</v>
      </c>
      <c r="Q225" s="3" t="s">
        <v>1385</v>
      </c>
      <c r="R225" s="23" t="str">
        <f t="shared" si="61"/>
        <v>Sunday</v>
      </c>
      <c r="S225" s="3" t="s">
        <v>1385</v>
      </c>
      <c r="T225" s="23" t="s">
        <v>7</v>
      </c>
      <c r="U225" s="3" t="s">
        <v>1385</v>
      </c>
      <c r="AO225" s="15"/>
      <c r="AP225" s="15"/>
      <c r="AQ225" s="15"/>
      <c r="AR225" s="23"/>
      <c r="AS225" s="15"/>
      <c r="AT225" s="15"/>
      <c r="AU225" s="23"/>
      <c r="AV225" s="23"/>
    </row>
    <row r="226" spans="1:48" x14ac:dyDescent="0.25">
      <c r="A226" t="s">
        <v>123</v>
      </c>
      <c r="B226" t="s">
        <v>124</v>
      </c>
      <c r="D226" t="s">
        <v>128</v>
      </c>
      <c r="E226" s="2">
        <f t="shared" si="69"/>
        <v>46208</v>
      </c>
      <c r="F226" s="3">
        <f t="shared" si="62"/>
        <v>0.54583333333333328</v>
      </c>
      <c r="G226" t="s">
        <v>119</v>
      </c>
      <c r="H226" t="s">
        <v>120</v>
      </c>
      <c r="I226" t="s">
        <v>126</v>
      </c>
      <c r="J226" s="2">
        <v>46208</v>
      </c>
      <c r="K226" s="1">
        <v>0.56874999999999998</v>
      </c>
      <c r="L226" s="10">
        <f t="shared" si="58"/>
        <v>33.000000000000043</v>
      </c>
      <c r="M226" s="1" t="str">
        <f t="shared" si="70"/>
        <v>On Time</v>
      </c>
      <c r="N226" s="27" t="str">
        <f t="shared" si="59"/>
        <v>GetJet Airlines</v>
      </c>
      <c r="O226" s="3" t="s">
        <v>1385</v>
      </c>
      <c r="P226" s="20">
        <f t="shared" si="60"/>
        <v>13</v>
      </c>
      <c r="Q226" s="3" t="s">
        <v>1385</v>
      </c>
      <c r="R226" s="23" t="str">
        <f t="shared" si="61"/>
        <v>Sunday</v>
      </c>
      <c r="S226" s="3" t="s">
        <v>1385</v>
      </c>
      <c r="T226" s="23" t="s">
        <v>124</v>
      </c>
      <c r="U226" s="3" t="s">
        <v>1385</v>
      </c>
      <c r="AO226" s="15"/>
      <c r="AP226" s="15"/>
      <c r="AQ226" s="15"/>
      <c r="AR226" s="23"/>
      <c r="AS226" s="15"/>
      <c r="AT226" s="15"/>
      <c r="AU226" s="23"/>
      <c r="AV226" s="23"/>
    </row>
    <row r="227" spans="1:48" x14ac:dyDescent="0.25">
      <c r="A227" t="s">
        <v>141</v>
      </c>
      <c r="B227" t="s">
        <v>19</v>
      </c>
      <c r="C227" s="10">
        <v>-32</v>
      </c>
      <c r="D227" t="s">
        <v>510</v>
      </c>
      <c r="E227" s="2">
        <f t="shared" si="69"/>
        <v>46208</v>
      </c>
      <c r="F227" s="3">
        <f t="shared" si="62"/>
        <v>0.58333333333333337</v>
      </c>
      <c r="G227" t="s">
        <v>21</v>
      </c>
      <c r="H227" t="s">
        <v>22</v>
      </c>
      <c r="I227" t="s">
        <v>177</v>
      </c>
      <c r="J227" s="2">
        <v>46208</v>
      </c>
      <c r="K227" s="1">
        <v>0.57638888888888895</v>
      </c>
      <c r="L227" s="10">
        <f t="shared" si="58"/>
        <v>-9.9999999999999645</v>
      </c>
      <c r="M227" s="1" t="str">
        <f t="shared" si="70"/>
        <v>On Time</v>
      </c>
      <c r="N227" s="27" t="str">
        <f t="shared" si="59"/>
        <v>LOT</v>
      </c>
      <c r="O227" s="3" t="s">
        <v>1385</v>
      </c>
      <c r="P227" s="20">
        <f t="shared" si="60"/>
        <v>14</v>
      </c>
      <c r="Q227" s="3" t="s">
        <v>1385</v>
      </c>
      <c r="R227" s="23" t="str">
        <f t="shared" si="61"/>
        <v>Sunday</v>
      </c>
      <c r="S227" s="3" t="s">
        <v>1385</v>
      </c>
      <c r="T227" s="23" t="s">
        <v>19</v>
      </c>
      <c r="U227" s="3" t="s">
        <v>1385</v>
      </c>
      <c r="AO227" s="15"/>
      <c r="AP227" s="15"/>
      <c r="AQ227" s="15"/>
      <c r="AR227" s="23"/>
      <c r="AS227" s="15"/>
      <c r="AT227" s="15"/>
      <c r="AU227" s="23"/>
      <c r="AV227" s="23"/>
    </row>
    <row r="228" spans="1:48" x14ac:dyDescent="0.25">
      <c r="A228" t="s">
        <v>327</v>
      </c>
      <c r="B228" t="s">
        <v>13</v>
      </c>
      <c r="C228" s="10">
        <v>0</v>
      </c>
      <c r="D228" t="s">
        <v>511</v>
      </c>
      <c r="E228" s="2">
        <f t="shared" si="69"/>
        <v>46208</v>
      </c>
      <c r="F228" s="3">
        <f t="shared" si="62"/>
        <v>0.57361111111111118</v>
      </c>
      <c r="G228" t="s">
        <v>329</v>
      </c>
      <c r="H228" t="s">
        <v>330</v>
      </c>
      <c r="I228" t="s">
        <v>17</v>
      </c>
      <c r="J228" s="2">
        <v>46208</v>
      </c>
      <c r="K228" s="1">
        <v>0.59027777777777779</v>
      </c>
      <c r="L228" s="10">
        <f t="shared" si="58"/>
        <v>23.999999999999915</v>
      </c>
      <c r="M228" s="1" t="str">
        <f t="shared" si="70"/>
        <v>On Time</v>
      </c>
      <c r="N228" s="27" t="str">
        <f t="shared" si="59"/>
        <v>Wizz Air</v>
      </c>
      <c r="O228" s="3" t="s">
        <v>1385</v>
      </c>
      <c r="P228" s="20">
        <f t="shared" si="60"/>
        <v>13</v>
      </c>
      <c r="Q228" s="3" t="s">
        <v>1385</v>
      </c>
      <c r="R228" s="23" t="str">
        <f t="shared" si="61"/>
        <v>Sunday</v>
      </c>
      <c r="S228" s="3" t="s">
        <v>1385</v>
      </c>
      <c r="T228" s="23" t="s">
        <v>13</v>
      </c>
      <c r="U228" s="3" t="s">
        <v>1385</v>
      </c>
      <c r="AO228" s="15"/>
      <c r="AP228" s="15"/>
      <c r="AQ228" s="15"/>
      <c r="AR228" s="23"/>
      <c r="AS228" s="15"/>
      <c r="AT228" s="15"/>
      <c r="AU228" s="23"/>
      <c r="AV228" s="23"/>
    </row>
    <row r="229" spans="1:48" x14ac:dyDescent="0.25">
      <c r="A229" t="s">
        <v>512</v>
      </c>
      <c r="B229" t="s">
        <v>513</v>
      </c>
      <c r="C229" s="10">
        <v>-9</v>
      </c>
      <c r="D229" t="s">
        <v>514</v>
      </c>
      <c r="E229" s="2">
        <f t="shared" si="69"/>
        <v>46208</v>
      </c>
      <c r="F229" s="3">
        <f t="shared" si="62"/>
        <v>0.62847222222222221</v>
      </c>
      <c r="G229" t="s">
        <v>65</v>
      </c>
      <c r="H229" t="s">
        <v>66</v>
      </c>
      <c r="I229" t="s">
        <v>276</v>
      </c>
      <c r="J229" s="2">
        <v>46208</v>
      </c>
      <c r="K229" s="1">
        <v>0.63194444444444442</v>
      </c>
      <c r="L229" s="10">
        <f t="shared" si="58"/>
        <v>4.9999999999999822</v>
      </c>
      <c r="M229" s="1" t="str">
        <f t="shared" si="70"/>
        <v>On Time</v>
      </c>
      <c r="N229" s="27" t="e">
        <f t="shared" si="59"/>
        <v>#N/A</v>
      </c>
      <c r="O229" s="3" t="s">
        <v>1385</v>
      </c>
      <c r="P229" s="20">
        <f t="shared" si="60"/>
        <v>15</v>
      </c>
      <c r="Q229" s="3" t="s">
        <v>1385</v>
      </c>
      <c r="R229" s="23" t="str">
        <f t="shared" si="61"/>
        <v>Sunday</v>
      </c>
      <c r="S229" s="3" t="s">
        <v>1385</v>
      </c>
      <c r="T229" s="23" t="s">
        <v>513</v>
      </c>
      <c r="U229" s="3" t="s">
        <v>1385</v>
      </c>
      <c r="AO229" s="15"/>
      <c r="AP229" s="15"/>
      <c r="AQ229" s="15"/>
      <c r="AR229" s="23"/>
      <c r="AS229" s="15"/>
      <c r="AT229" s="15"/>
      <c r="AU229" s="23"/>
      <c r="AV229" s="23"/>
    </row>
    <row r="230" spans="1:48" x14ac:dyDescent="0.25">
      <c r="A230" t="s">
        <v>148</v>
      </c>
      <c r="B230" t="s">
        <v>7</v>
      </c>
      <c r="C230" s="10">
        <v>-46</v>
      </c>
      <c r="D230" t="s">
        <v>515</v>
      </c>
      <c r="E230" s="2">
        <f t="shared" si="69"/>
        <v>46208</v>
      </c>
      <c r="F230" s="3">
        <f t="shared" si="62"/>
        <v>0.65486111111111112</v>
      </c>
      <c r="G230" t="s">
        <v>9</v>
      </c>
      <c r="H230" t="s">
        <v>10</v>
      </c>
      <c r="I230" t="s">
        <v>11</v>
      </c>
      <c r="J230" s="2">
        <v>46208</v>
      </c>
      <c r="K230" s="1">
        <v>0.63541666666666663</v>
      </c>
      <c r="L230" s="10">
        <f t="shared" si="58"/>
        <v>-28.00000000000006</v>
      </c>
      <c r="M230" s="1" t="str">
        <f t="shared" si="70"/>
        <v>Delayed</v>
      </c>
      <c r="N230" s="27" t="str">
        <f t="shared" si="59"/>
        <v>airBaltic</v>
      </c>
      <c r="O230" s="3" t="s">
        <v>1318</v>
      </c>
      <c r="P230" s="20">
        <f t="shared" si="60"/>
        <v>15</v>
      </c>
      <c r="Q230" s="3" t="s">
        <v>1318</v>
      </c>
      <c r="R230" s="23" t="str">
        <f t="shared" si="61"/>
        <v>Sunday</v>
      </c>
      <c r="S230" s="3" t="s">
        <v>1318</v>
      </c>
      <c r="T230" s="23" t="s">
        <v>7</v>
      </c>
      <c r="U230" s="3" t="s">
        <v>1318</v>
      </c>
      <c r="AO230" s="15"/>
      <c r="AP230" s="15"/>
      <c r="AQ230" s="15"/>
      <c r="AR230" s="23"/>
      <c r="AS230" s="15"/>
      <c r="AT230" s="15"/>
      <c r="AU230" s="23"/>
      <c r="AV230" s="23"/>
    </row>
    <row r="231" spans="1:48" x14ac:dyDescent="0.25">
      <c r="A231" t="s">
        <v>156</v>
      </c>
      <c r="B231" t="s">
        <v>41</v>
      </c>
      <c r="C231" s="10">
        <v>-10</v>
      </c>
      <c r="D231" t="s">
        <v>516</v>
      </c>
      <c r="E231" s="2">
        <f t="shared" si="69"/>
        <v>46208</v>
      </c>
      <c r="F231" s="3">
        <f t="shared" si="62"/>
        <v>0.63055555555555554</v>
      </c>
      <c r="G231" t="s">
        <v>43</v>
      </c>
      <c r="H231" t="s">
        <v>44</v>
      </c>
      <c r="I231" t="s">
        <v>158</v>
      </c>
      <c r="J231" s="2">
        <v>46208</v>
      </c>
      <c r="K231" s="1">
        <v>0.63541666666666663</v>
      </c>
      <c r="L231" s="10">
        <f t="shared" si="58"/>
        <v>6.9999999999999751</v>
      </c>
      <c r="M231" s="1" t="str">
        <f t="shared" si="70"/>
        <v>On Time</v>
      </c>
      <c r="N231" s="27" t="str">
        <f t="shared" si="59"/>
        <v>SAS</v>
      </c>
      <c r="O231" s="3" t="s">
        <v>1385</v>
      </c>
      <c r="P231" s="20">
        <f t="shared" si="60"/>
        <v>15</v>
      </c>
      <c r="Q231" s="3" t="s">
        <v>1385</v>
      </c>
      <c r="R231" s="23" t="str">
        <f t="shared" si="61"/>
        <v>Sunday</v>
      </c>
      <c r="S231" s="3" t="s">
        <v>1385</v>
      </c>
      <c r="T231" s="23" t="s">
        <v>41</v>
      </c>
      <c r="U231" s="3" t="s">
        <v>1385</v>
      </c>
      <c r="AO231" s="15"/>
      <c r="AP231" s="15"/>
      <c r="AQ231" s="15"/>
      <c r="AR231" s="23"/>
      <c r="AS231" s="15"/>
      <c r="AT231" s="15"/>
      <c r="AU231" s="23"/>
      <c r="AV231" s="23"/>
    </row>
    <row r="232" spans="1:48" x14ac:dyDescent="0.25">
      <c r="A232" t="s">
        <v>159</v>
      </c>
      <c r="B232" t="s">
        <v>85</v>
      </c>
      <c r="C232" s="10">
        <v>-35</v>
      </c>
      <c r="D232" t="s">
        <v>171</v>
      </c>
      <c r="E232" s="2">
        <f t="shared" si="69"/>
        <v>46208</v>
      </c>
      <c r="F232" s="3">
        <f t="shared" si="62"/>
        <v>0.67499999999999993</v>
      </c>
      <c r="G232" t="s">
        <v>34</v>
      </c>
      <c r="H232" t="s">
        <v>161</v>
      </c>
      <c r="I232" t="s">
        <v>89</v>
      </c>
      <c r="J232" s="2">
        <v>46208</v>
      </c>
      <c r="K232" s="1">
        <v>0.66666666666666663</v>
      </c>
      <c r="L232" s="10">
        <f t="shared" si="58"/>
        <v>-11.999999999999957</v>
      </c>
      <c r="M232" s="1" t="str">
        <f t="shared" si="70"/>
        <v>On Time</v>
      </c>
      <c r="N232" s="27" t="str">
        <f t="shared" si="59"/>
        <v>Ryanair</v>
      </c>
      <c r="O232" s="3" t="s">
        <v>1385</v>
      </c>
      <c r="P232" s="20">
        <f t="shared" si="60"/>
        <v>16</v>
      </c>
      <c r="Q232" s="3" t="s">
        <v>1385</v>
      </c>
      <c r="R232" s="23" t="str">
        <f t="shared" si="61"/>
        <v>Sunday</v>
      </c>
      <c r="S232" s="3" t="s">
        <v>1385</v>
      </c>
      <c r="T232" s="23" t="s">
        <v>85</v>
      </c>
      <c r="U232" s="3" t="s">
        <v>1385</v>
      </c>
      <c r="AO232" s="15"/>
      <c r="AP232" s="15"/>
      <c r="AQ232" s="15"/>
      <c r="AR232" s="23"/>
      <c r="AS232" s="15"/>
      <c r="AT232" s="15"/>
      <c r="AU232" s="23"/>
      <c r="AV232" s="23"/>
    </row>
    <row r="233" spans="1:48" x14ac:dyDescent="0.25">
      <c r="A233" t="s">
        <v>175</v>
      </c>
      <c r="B233" t="s">
        <v>19</v>
      </c>
      <c r="C233" s="10">
        <v>-32</v>
      </c>
      <c r="D233" t="s">
        <v>517</v>
      </c>
      <c r="E233" s="2">
        <f t="shared" si="69"/>
        <v>46208</v>
      </c>
      <c r="F233" s="3">
        <f t="shared" si="62"/>
        <v>0.68819444444444444</v>
      </c>
      <c r="G233" t="s">
        <v>21</v>
      </c>
      <c r="H233" t="s">
        <v>22</v>
      </c>
      <c r="I233" t="s">
        <v>276</v>
      </c>
      <c r="J233" s="2">
        <v>46208</v>
      </c>
      <c r="K233" s="1">
        <v>0.68055555555555547</v>
      </c>
      <c r="L233" s="10">
        <f t="shared" si="58"/>
        <v>-11.000000000000121</v>
      </c>
      <c r="M233" s="1" t="str">
        <f t="shared" si="70"/>
        <v>On Time</v>
      </c>
      <c r="N233" s="27" t="str">
        <f t="shared" si="59"/>
        <v>LOT</v>
      </c>
      <c r="O233" s="3" t="s">
        <v>1385</v>
      </c>
      <c r="P233" s="20">
        <f t="shared" si="60"/>
        <v>16</v>
      </c>
      <c r="Q233" s="3" t="s">
        <v>1385</v>
      </c>
      <c r="R233" s="23" t="str">
        <f t="shared" si="61"/>
        <v>Sunday</v>
      </c>
      <c r="S233" s="3" t="s">
        <v>1385</v>
      </c>
      <c r="T233" s="23" t="s">
        <v>19</v>
      </c>
      <c r="U233" s="3" t="s">
        <v>1385</v>
      </c>
      <c r="AO233" s="15"/>
      <c r="AP233" s="15"/>
      <c r="AQ233" s="15"/>
      <c r="AR233" s="23"/>
      <c r="AS233" s="15"/>
      <c r="AT233" s="15"/>
      <c r="AU233" s="23"/>
      <c r="AV233" s="23"/>
    </row>
    <row r="234" spans="1:48" x14ac:dyDescent="0.25">
      <c r="A234" t="s">
        <v>178</v>
      </c>
      <c r="B234" t="s">
        <v>85</v>
      </c>
      <c r="C234" s="10">
        <v>-6</v>
      </c>
      <c r="D234" t="s">
        <v>518</v>
      </c>
      <c r="E234" s="2">
        <f t="shared" si="69"/>
        <v>46208</v>
      </c>
      <c r="F234" s="3">
        <f t="shared" si="62"/>
        <v>0.68402777777777779</v>
      </c>
      <c r="G234" t="s">
        <v>180</v>
      </c>
      <c r="H234" t="s">
        <v>181</v>
      </c>
      <c r="I234" t="s">
        <v>89</v>
      </c>
      <c r="J234" s="2">
        <v>46208</v>
      </c>
      <c r="K234" s="1">
        <v>0.69444444444444453</v>
      </c>
      <c r="L234" s="10">
        <f t="shared" si="58"/>
        <v>15.000000000000107</v>
      </c>
      <c r="M234" s="1" t="str">
        <f t="shared" si="70"/>
        <v>On Time</v>
      </c>
      <c r="N234" s="27" t="str">
        <f t="shared" si="59"/>
        <v>Ryanair</v>
      </c>
      <c r="O234" s="3" t="s">
        <v>1385</v>
      </c>
      <c r="P234" s="20">
        <f t="shared" si="60"/>
        <v>16</v>
      </c>
      <c r="Q234" s="3" t="s">
        <v>1385</v>
      </c>
      <c r="R234" s="23" t="str">
        <f t="shared" si="61"/>
        <v>Sunday</v>
      </c>
      <c r="S234" s="3" t="s">
        <v>1385</v>
      </c>
      <c r="T234" s="23" t="s">
        <v>85</v>
      </c>
      <c r="U234" s="3" t="s">
        <v>1385</v>
      </c>
      <c r="AO234" s="15"/>
      <c r="AP234" s="15"/>
      <c r="AQ234" s="15"/>
      <c r="AR234" s="23"/>
      <c r="AS234" s="15"/>
      <c r="AT234" s="15"/>
      <c r="AU234" s="23"/>
      <c r="AV234" s="23"/>
    </row>
    <row r="235" spans="1:48" x14ac:dyDescent="0.25">
      <c r="A235" t="s">
        <v>519</v>
      </c>
      <c r="B235" t="s">
        <v>85</v>
      </c>
      <c r="C235" s="10">
        <v>-10</v>
      </c>
      <c r="D235" t="s">
        <v>520</v>
      </c>
      <c r="E235" s="2">
        <f t="shared" si="69"/>
        <v>46208</v>
      </c>
      <c r="F235" s="3">
        <f t="shared" si="62"/>
        <v>0.69513888888888886</v>
      </c>
      <c r="G235" t="s">
        <v>110</v>
      </c>
      <c r="H235" t="s">
        <v>521</v>
      </c>
      <c r="I235" t="s">
        <v>89</v>
      </c>
      <c r="J235" s="2">
        <v>46208</v>
      </c>
      <c r="K235" s="1">
        <v>0.70138888888888884</v>
      </c>
      <c r="L235" s="10">
        <f t="shared" si="58"/>
        <v>8.999999999999968</v>
      </c>
      <c r="M235" s="1" t="str">
        <f t="shared" si="70"/>
        <v>On Time</v>
      </c>
      <c r="N235" s="27" t="str">
        <f t="shared" si="59"/>
        <v>Ryanair</v>
      </c>
      <c r="O235" s="3" t="s">
        <v>1385</v>
      </c>
      <c r="P235" s="20">
        <f t="shared" si="60"/>
        <v>16</v>
      </c>
      <c r="Q235" s="3" t="s">
        <v>1385</v>
      </c>
      <c r="R235" s="23" t="str">
        <f t="shared" si="61"/>
        <v>Sunday</v>
      </c>
      <c r="S235" s="3" t="s">
        <v>1385</v>
      </c>
      <c r="T235" s="23" t="s">
        <v>85</v>
      </c>
      <c r="U235" s="3" t="s">
        <v>1385</v>
      </c>
      <c r="AO235" s="15"/>
      <c r="AP235" s="15"/>
      <c r="AQ235" s="15"/>
      <c r="AR235" s="23"/>
      <c r="AS235" s="15"/>
      <c r="AT235" s="15"/>
      <c r="AU235" s="23"/>
      <c r="AV235" s="23"/>
    </row>
    <row r="236" spans="1:48" x14ac:dyDescent="0.25">
      <c r="A236" t="s">
        <v>167</v>
      </c>
      <c r="B236" t="s">
        <v>7</v>
      </c>
      <c r="C236" s="10">
        <v>-6</v>
      </c>
      <c r="D236" t="s">
        <v>448</v>
      </c>
      <c r="E236" s="2">
        <f t="shared" si="69"/>
        <v>46208</v>
      </c>
      <c r="F236" s="3">
        <f t="shared" si="62"/>
        <v>0.6958333333333333</v>
      </c>
      <c r="G236" t="s">
        <v>169</v>
      </c>
      <c r="H236" t="s">
        <v>170</v>
      </c>
      <c r="I236" t="s">
        <v>11</v>
      </c>
      <c r="J236" s="2">
        <v>46208</v>
      </c>
      <c r="K236" s="1">
        <v>0.70486111111111116</v>
      </c>
      <c r="L236" s="10">
        <f t="shared" si="58"/>
        <v>13.000000000000114</v>
      </c>
      <c r="M236" s="1" t="str">
        <f t="shared" si="70"/>
        <v>On Time</v>
      </c>
      <c r="N236" s="27" t="str">
        <f t="shared" si="59"/>
        <v>airBaltic</v>
      </c>
      <c r="O236" s="3" t="s">
        <v>1385</v>
      </c>
      <c r="P236" s="20">
        <f t="shared" si="60"/>
        <v>16</v>
      </c>
      <c r="Q236" s="3" t="s">
        <v>1385</v>
      </c>
      <c r="R236" s="23" t="str">
        <f t="shared" si="61"/>
        <v>Sunday</v>
      </c>
      <c r="S236" s="3" t="s">
        <v>1385</v>
      </c>
      <c r="T236" s="23" t="s">
        <v>7</v>
      </c>
      <c r="U236" s="3" t="s">
        <v>1385</v>
      </c>
      <c r="AO236" s="15"/>
      <c r="AP236" s="15"/>
      <c r="AQ236" s="15"/>
      <c r="AR236" s="23"/>
      <c r="AS236" s="15"/>
      <c r="AT236" s="15"/>
      <c r="AU236" s="23"/>
      <c r="AV236" s="23"/>
    </row>
    <row r="237" spans="1:48" x14ac:dyDescent="0.25">
      <c r="A237" t="s">
        <v>224</v>
      </c>
      <c r="B237" t="s">
        <v>151</v>
      </c>
      <c r="C237" s="10">
        <v>-27</v>
      </c>
      <c r="D237" t="s">
        <v>522</v>
      </c>
      <c r="E237" s="2">
        <f t="shared" si="69"/>
        <v>46208</v>
      </c>
      <c r="F237" s="3">
        <f t="shared" si="62"/>
        <v>0.72361111111111109</v>
      </c>
      <c r="G237" t="s">
        <v>226</v>
      </c>
      <c r="H237" t="s">
        <v>227</v>
      </c>
      <c r="I237" t="s">
        <v>188</v>
      </c>
      <c r="J237" s="2">
        <v>46208</v>
      </c>
      <c r="K237" s="1">
        <v>0.71180555555555547</v>
      </c>
      <c r="L237" s="10">
        <f t="shared" si="58"/>
        <v>-17.000000000000099</v>
      </c>
      <c r="M237" s="1" t="str">
        <f t="shared" si="70"/>
        <v>Delayed</v>
      </c>
      <c r="N237" s="27" t="e">
        <f t="shared" si="59"/>
        <v>#N/A</v>
      </c>
      <c r="O237" s="3" t="s">
        <v>1318</v>
      </c>
      <c r="P237" s="20">
        <f t="shared" si="60"/>
        <v>17</v>
      </c>
      <c r="Q237" s="3" t="s">
        <v>1318</v>
      </c>
      <c r="R237" s="23" t="str">
        <f t="shared" si="61"/>
        <v>Sunday</v>
      </c>
      <c r="S237" s="3" t="s">
        <v>1318</v>
      </c>
      <c r="T237" s="23" t="s">
        <v>151</v>
      </c>
      <c r="U237" s="3" t="s">
        <v>1318</v>
      </c>
      <c r="AO237" s="15"/>
      <c r="AP237" s="15"/>
      <c r="AQ237" s="15"/>
      <c r="AR237" s="23"/>
      <c r="AS237" s="15"/>
      <c r="AT237" s="15"/>
      <c r="AU237" s="23"/>
      <c r="AV237" s="23"/>
    </row>
    <row r="238" spans="1:48" x14ac:dyDescent="0.25">
      <c r="A238" t="s">
        <v>261</v>
      </c>
      <c r="B238" t="s">
        <v>85</v>
      </c>
      <c r="C238" s="10">
        <v>-2</v>
      </c>
      <c r="D238" t="s">
        <v>523</v>
      </c>
      <c r="E238" s="2">
        <f t="shared" si="69"/>
        <v>46208</v>
      </c>
      <c r="F238" s="3">
        <f t="shared" si="62"/>
        <v>0.72083333333333333</v>
      </c>
      <c r="G238" t="s">
        <v>263</v>
      </c>
      <c r="H238" t="s">
        <v>264</v>
      </c>
      <c r="I238" t="s">
        <v>89</v>
      </c>
      <c r="J238" s="2">
        <v>46208</v>
      </c>
      <c r="K238" s="1">
        <v>0.73263888888888884</v>
      </c>
      <c r="L238" s="10">
        <f t="shared" si="58"/>
        <v>16.99999999999994</v>
      </c>
      <c r="M238" s="1" t="str">
        <f t="shared" si="70"/>
        <v>On Time</v>
      </c>
      <c r="N238" s="27" t="str">
        <f t="shared" si="59"/>
        <v>Ryanair</v>
      </c>
      <c r="O238" s="3" t="s">
        <v>1385</v>
      </c>
      <c r="P238" s="20">
        <f t="shared" si="60"/>
        <v>17</v>
      </c>
      <c r="Q238" s="3" t="s">
        <v>1385</v>
      </c>
      <c r="R238" s="23" t="str">
        <f t="shared" si="61"/>
        <v>Sunday</v>
      </c>
      <c r="S238" s="3" t="s">
        <v>1385</v>
      </c>
      <c r="T238" s="23" t="s">
        <v>85</v>
      </c>
      <c r="U238" s="3" t="s">
        <v>1385</v>
      </c>
      <c r="AO238" s="15"/>
      <c r="AP238" s="15"/>
      <c r="AQ238" s="15"/>
      <c r="AR238" s="23"/>
      <c r="AS238" s="15"/>
      <c r="AT238" s="15"/>
      <c r="AU238" s="23"/>
      <c r="AV238" s="23"/>
    </row>
    <row r="239" spans="1:48" x14ac:dyDescent="0.25">
      <c r="A239" t="s">
        <v>524</v>
      </c>
      <c r="B239" t="s">
        <v>96</v>
      </c>
      <c r="C239" s="10" t="e">
        <f>NA()</f>
        <v>#N/A</v>
      </c>
      <c r="D239" t="s">
        <v>242</v>
      </c>
      <c r="E239" s="2">
        <f t="shared" si="69"/>
        <v>46208</v>
      </c>
      <c r="F239" s="3" t="e">
        <f t="shared" si="62"/>
        <v>#N/A</v>
      </c>
      <c r="G239" t="s">
        <v>98</v>
      </c>
      <c r="H239" t="s">
        <v>99</v>
      </c>
      <c r="I239" t="s">
        <v>123</v>
      </c>
      <c r="J239" s="2">
        <v>46208</v>
      </c>
      <c r="K239" s="1">
        <v>0.73958333333333337</v>
      </c>
      <c r="L239" s="10" t="e">
        <f t="shared" si="58"/>
        <v>#N/A</v>
      </c>
      <c r="M239" s="1" t="e">
        <f t="shared" si="70"/>
        <v>#N/A</v>
      </c>
      <c r="N239" s="27" t="str">
        <f t="shared" si="59"/>
        <v>Turkish Airlines</v>
      </c>
      <c r="O239" s="3" t="e">
        <v>#N/A</v>
      </c>
      <c r="P239" s="20" t="e">
        <f t="shared" si="60"/>
        <v>#N/A</v>
      </c>
      <c r="Q239" s="3" t="e">
        <v>#N/A</v>
      </c>
      <c r="R239" s="23" t="str">
        <f t="shared" si="61"/>
        <v>Sunday</v>
      </c>
      <c r="S239" s="3" t="e">
        <v>#N/A</v>
      </c>
      <c r="T239" s="23" t="s">
        <v>96</v>
      </c>
      <c r="AO239" s="15"/>
      <c r="AP239" s="15"/>
      <c r="AQ239" s="15"/>
      <c r="AR239" s="23"/>
      <c r="AS239" s="15"/>
      <c r="AT239" s="15"/>
      <c r="AU239" s="23"/>
      <c r="AV239" s="23"/>
    </row>
    <row r="240" spans="1:48" x14ac:dyDescent="0.25">
      <c r="A240" t="s">
        <v>182</v>
      </c>
      <c r="B240" t="s">
        <v>69</v>
      </c>
      <c r="C240" s="10">
        <v>-24</v>
      </c>
      <c r="D240" t="s">
        <v>525</v>
      </c>
      <c r="E240" s="2">
        <f t="shared" si="69"/>
        <v>46208</v>
      </c>
      <c r="F240" s="3">
        <f t="shared" si="62"/>
        <v>0.75277777777777777</v>
      </c>
      <c r="G240" t="s">
        <v>71</v>
      </c>
      <c r="H240" t="s">
        <v>72</v>
      </c>
      <c r="I240" t="s">
        <v>73</v>
      </c>
      <c r="J240" s="2">
        <v>46208</v>
      </c>
      <c r="K240" s="1">
        <v>0.74305555555555547</v>
      </c>
      <c r="L240" s="10">
        <f t="shared" si="58"/>
        <v>-14.00000000000011</v>
      </c>
      <c r="M240" s="1" t="str">
        <f t="shared" si="70"/>
        <v>On Time</v>
      </c>
      <c r="N240" s="27" t="str">
        <f t="shared" si="59"/>
        <v>Finnair</v>
      </c>
      <c r="O240" s="3" t="s">
        <v>1385</v>
      </c>
      <c r="P240" s="20">
        <f t="shared" si="60"/>
        <v>18</v>
      </c>
      <c r="Q240" s="3" t="s">
        <v>1385</v>
      </c>
      <c r="R240" s="23" t="str">
        <f t="shared" si="61"/>
        <v>Sunday</v>
      </c>
      <c r="S240" s="3" t="s">
        <v>1385</v>
      </c>
      <c r="T240" s="23" t="s">
        <v>69</v>
      </c>
      <c r="U240" s="3" t="s">
        <v>1385</v>
      </c>
      <c r="AO240" s="15"/>
      <c r="AP240" s="15"/>
      <c r="AQ240" s="15"/>
      <c r="AR240" s="23"/>
      <c r="AS240" s="15"/>
      <c r="AT240" s="15"/>
      <c r="AU240" s="23"/>
      <c r="AV240" s="23"/>
    </row>
    <row r="241" spans="1:48" x14ac:dyDescent="0.25">
      <c r="A241" t="s">
        <v>335</v>
      </c>
      <c r="B241" t="s">
        <v>7</v>
      </c>
      <c r="C241" s="10">
        <v>-17</v>
      </c>
      <c r="D241" t="s">
        <v>526</v>
      </c>
      <c r="E241" s="2">
        <f t="shared" si="69"/>
        <v>46208</v>
      </c>
      <c r="F241" s="3">
        <f t="shared" si="62"/>
        <v>0.74930555555555556</v>
      </c>
      <c r="G241" t="s">
        <v>337</v>
      </c>
      <c r="H241" t="s">
        <v>338</v>
      </c>
      <c r="I241" t="s">
        <v>11</v>
      </c>
      <c r="J241" s="2">
        <v>46208</v>
      </c>
      <c r="K241" s="1">
        <v>0.75</v>
      </c>
      <c r="L241" s="10">
        <f t="shared" si="58"/>
        <v>0.99999999999999645</v>
      </c>
      <c r="M241" s="1" t="str">
        <f t="shared" si="70"/>
        <v>On Time</v>
      </c>
      <c r="N241" s="27" t="str">
        <f t="shared" si="59"/>
        <v>airBaltic</v>
      </c>
      <c r="O241" s="3" t="s">
        <v>1385</v>
      </c>
      <c r="P241" s="20">
        <f t="shared" si="60"/>
        <v>17</v>
      </c>
      <c r="Q241" s="3" t="s">
        <v>1385</v>
      </c>
      <c r="R241" s="23" t="str">
        <f t="shared" si="61"/>
        <v>Sunday</v>
      </c>
      <c r="S241" s="3" t="s">
        <v>1385</v>
      </c>
      <c r="T241" s="23" t="s">
        <v>7</v>
      </c>
      <c r="U241" s="3" t="s">
        <v>1385</v>
      </c>
      <c r="AO241" s="15"/>
      <c r="AP241" s="15"/>
      <c r="AQ241" s="15"/>
      <c r="AR241" s="23"/>
      <c r="AS241" s="15"/>
      <c r="AT241" s="15"/>
      <c r="AU241" s="23"/>
      <c r="AV241" s="23"/>
    </row>
    <row r="242" spans="1:48" x14ac:dyDescent="0.25">
      <c r="A242" t="s">
        <v>186</v>
      </c>
      <c r="B242" t="s">
        <v>19</v>
      </c>
      <c r="C242" s="10">
        <v>-32</v>
      </c>
      <c r="D242" t="s">
        <v>527</v>
      </c>
      <c r="E242" s="2">
        <f t="shared" si="69"/>
        <v>46208</v>
      </c>
      <c r="F242" s="3">
        <f t="shared" si="62"/>
        <v>0.78125</v>
      </c>
      <c r="G242" t="s">
        <v>21</v>
      </c>
      <c r="H242" t="s">
        <v>22</v>
      </c>
      <c r="I242" t="s">
        <v>276</v>
      </c>
      <c r="J242" s="2">
        <v>46208</v>
      </c>
      <c r="K242" s="1">
        <v>0.77430555555555547</v>
      </c>
      <c r="L242" s="10">
        <f t="shared" si="58"/>
        <v>-10.000000000000124</v>
      </c>
      <c r="M242" s="1" t="str">
        <f t="shared" si="70"/>
        <v>On Time</v>
      </c>
      <c r="N242" s="27" t="str">
        <f t="shared" si="59"/>
        <v>LOT</v>
      </c>
      <c r="O242" s="3" t="s">
        <v>1385</v>
      </c>
      <c r="P242" s="20">
        <f t="shared" si="60"/>
        <v>18</v>
      </c>
      <c r="Q242" s="3" t="s">
        <v>1385</v>
      </c>
      <c r="R242" s="23" t="str">
        <f t="shared" si="61"/>
        <v>Sunday</v>
      </c>
      <c r="S242" s="3" t="s">
        <v>1385</v>
      </c>
      <c r="T242" s="23" t="s">
        <v>19</v>
      </c>
      <c r="U242" s="3" t="s">
        <v>1385</v>
      </c>
      <c r="AO242" s="15"/>
      <c r="AP242" s="15"/>
      <c r="AQ242" s="15"/>
      <c r="AR242" s="23"/>
      <c r="AS242" s="15"/>
      <c r="AT242" s="15"/>
      <c r="AU242" s="23"/>
      <c r="AV242" s="23"/>
    </row>
    <row r="243" spans="1:48" x14ac:dyDescent="0.25">
      <c r="A243" t="s">
        <v>215</v>
      </c>
      <c r="B243" t="s">
        <v>13</v>
      </c>
      <c r="C243" s="10">
        <v>-8</v>
      </c>
      <c r="D243" t="s">
        <v>528</v>
      </c>
      <c r="E243" s="2">
        <f t="shared" si="69"/>
        <v>46208</v>
      </c>
      <c r="F243" s="3">
        <f t="shared" si="62"/>
        <v>0.76527777777777783</v>
      </c>
      <c r="G243" t="s">
        <v>217</v>
      </c>
      <c r="H243" t="s">
        <v>218</v>
      </c>
      <c r="I243" t="s">
        <v>17</v>
      </c>
      <c r="J243" s="2">
        <v>46208</v>
      </c>
      <c r="K243" s="1">
        <v>0.77430555555555547</v>
      </c>
      <c r="L243" s="10">
        <f t="shared" si="58"/>
        <v>12.999999999999794</v>
      </c>
      <c r="M243" s="1" t="str">
        <f t="shared" si="70"/>
        <v>On Time</v>
      </c>
      <c r="N243" s="27" t="str">
        <f t="shared" si="59"/>
        <v>Wizz Air</v>
      </c>
      <c r="O243" s="3" t="s">
        <v>1385</v>
      </c>
      <c r="P243" s="20">
        <f t="shared" si="60"/>
        <v>18</v>
      </c>
      <c r="Q243" s="3" t="s">
        <v>1385</v>
      </c>
      <c r="R243" s="23" t="str">
        <f t="shared" si="61"/>
        <v>Sunday</v>
      </c>
      <c r="S243" s="3" t="s">
        <v>1385</v>
      </c>
      <c r="T243" s="23" t="s">
        <v>13</v>
      </c>
      <c r="U243" s="3" t="s">
        <v>1385</v>
      </c>
      <c r="AO243" s="15"/>
      <c r="AP243" s="15"/>
      <c r="AQ243" s="15"/>
      <c r="AR243" s="23"/>
      <c r="AS243" s="15"/>
      <c r="AT243" s="15"/>
      <c r="AU243" s="23"/>
      <c r="AV243" s="23"/>
    </row>
    <row r="244" spans="1:48" x14ac:dyDescent="0.25">
      <c r="A244" t="s">
        <v>192</v>
      </c>
      <c r="B244" t="s">
        <v>13</v>
      </c>
      <c r="C244" s="10">
        <v>-13</v>
      </c>
      <c r="D244" t="s">
        <v>367</v>
      </c>
      <c r="E244" s="2">
        <f t="shared" si="69"/>
        <v>46208</v>
      </c>
      <c r="F244" s="3">
        <f t="shared" si="62"/>
        <v>0.79305555555555562</v>
      </c>
      <c r="G244" t="s">
        <v>194</v>
      </c>
      <c r="H244" t="s">
        <v>195</v>
      </c>
      <c r="I244" t="s">
        <v>17</v>
      </c>
      <c r="J244" s="2">
        <v>46208</v>
      </c>
      <c r="K244" s="1">
        <v>0.78472222222222221</v>
      </c>
      <c r="L244" s="10">
        <f t="shared" si="58"/>
        <v>-12.000000000000117</v>
      </c>
      <c r="M244" s="1" t="str">
        <f t="shared" si="70"/>
        <v>On Time</v>
      </c>
      <c r="N244" s="27" t="str">
        <f t="shared" si="59"/>
        <v>Wizz Air</v>
      </c>
      <c r="O244" s="3" t="s">
        <v>1385</v>
      </c>
      <c r="P244" s="20">
        <f t="shared" si="60"/>
        <v>19</v>
      </c>
      <c r="Q244" s="3" t="s">
        <v>1385</v>
      </c>
      <c r="R244" s="23" t="str">
        <f t="shared" si="61"/>
        <v>Sunday</v>
      </c>
      <c r="S244" s="3" t="s">
        <v>1385</v>
      </c>
      <c r="T244" s="23" t="s">
        <v>13</v>
      </c>
      <c r="U244" s="3" t="s">
        <v>1385</v>
      </c>
      <c r="AO244" s="15"/>
      <c r="AP244" s="15"/>
      <c r="AQ244" s="15"/>
      <c r="AR244" s="23"/>
      <c r="AS244" s="15"/>
      <c r="AT244" s="15"/>
      <c r="AU244" s="23"/>
      <c r="AV244" s="23"/>
    </row>
    <row r="245" spans="1:48" x14ac:dyDescent="0.25">
      <c r="A245" t="s">
        <v>131</v>
      </c>
      <c r="B245" t="s">
        <v>7</v>
      </c>
      <c r="C245" s="10">
        <v>-21</v>
      </c>
      <c r="D245" t="s">
        <v>529</v>
      </c>
      <c r="E245" s="2">
        <f t="shared" si="69"/>
        <v>46208</v>
      </c>
      <c r="F245" s="3">
        <f t="shared" si="62"/>
        <v>0.78749999999999998</v>
      </c>
      <c r="G245" t="s">
        <v>38</v>
      </c>
      <c r="H245" t="s">
        <v>39</v>
      </c>
      <c r="I245" t="s">
        <v>11</v>
      </c>
      <c r="J245" s="2">
        <v>46208</v>
      </c>
      <c r="K245" s="1">
        <v>0.79513888888888884</v>
      </c>
      <c r="L245" s="10">
        <f t="shared" si="58"/>
        <v>10.999999999999961</v>
      </c>
      <c r="M245" s="1" t="str">
        <f t="shared" si="70"/>
        <v>On Time</v>
      </c>
      <c r="N245" s="27" t="str">
        <f t="shared" si="59"/>
        <v>airBaltic</v>
      </c>
      <c r="O245" s="3" t="s">
        <v>1385</v>
      </c>
      <c r="P245" s="20">
        <f t="shared" si="60"/>
        <v>18</v>
      </c>
      <c r="Q245" s="3" t="s">
        <v>1385</v>
      </c>
      <c r="R245" s="23" t="str">
        <f t="shared" si="61"/>
        <v>Sunday</v>
      </c>
      <c r="S245" s="3" t="s">
        <v>1385</v>
      </c>
      <c r="T245" s="23" t="s">
        <v>7</v>
      </c>
      <c r="U245" s="3" t="s">
        <v>1385</v>
      </c>
      <c r="AO245" s="15"/>
      <c r="AP245" s="15"/>
      <c r="AQ245" s="15"/>
      <c r="AR245" s="23"/>
      <c r="AS245" s="15"/>
      <c r="AT245" s="15"/>
      <c r="AU245" s="23"/>
      <c r="AV245" s="23"/>
    </row>
    <row r="246" spans="1:48" x14ac:dyDescent="0.25">
      <c r="A246" t="s">
        <v>196</v>
      </c>
      <c r="B246" t="s">
        <v>13</v>
      </c>
      <c r="C246" s="10">
        <v>-8</v>
      </c>
      <c r="D246" t="s">
        <v>530</v>
      </c>
      <c r="E246" s="2">
        <f t="shared" si="69"/>
        <v>46208</v>
      </c>
      <c r="F246" s="3">
        <f t="shared" si="62"/>
        <v>0.79027777777777775</v>
      </c>
      <c r="G246" t="s">
        <v>198</v>
      </c>
      <c r="H246" t="s">
        <v>199</v>
      </c>
      <c r="I246" t="s">
        <v>17</v>
      </c>
      <c r="J246" s="2">
        <v>46208</v>
      </c>
      <c r="K246" s="1">
        <v>0.79861111111111116</v>
      </c>
      <c r="L246" s="10">
        <f t="shared" si="58"/>
        <v>12.000000000000117</v>
      </c>
      <c r="M246" s="1" t="str">
        <f t="shared" si="70"/>
        <v>On Time</v>
      </c>
      <c r="N246" s="27" t="str">
        <f t="shared" si="59"/>
        <v>Wizz Air</v>
      </c>
      <c r="O246" s="3" t="s">
        <v>1385</v>
      </c>
      <c r="P246" s="20">
        <f t="shared" si="60"/>
        <v>18</v>
      </c>
      <c r="Q246" s="3" t="s">
        <v>1385</v>
      </c>
      <c r="R246" s="23" t="str">
        <f t="shared" si="61"/>
        <v>Sunday</v>
      </c>
      <c r="S246" s="3" t="s">
        <v>1385</v>
      </c>
      <c r="T246" s="23" t="s">
        <v>13</v>
      </c>
      <c r="U246" s="3" t="s">
        <v>1385</v>
      </c>
      <c r="AO246" s="15"/>
      <c r="AP246" s="15"/>
      <c r="AQ246" s="15"/>
      <c r="AR246" s="23"/>
      <c r="AS246" s="15"/>
      <c r="AT246" s="15"/>
      <c r="AU246" s="23"/>
      <c r="AV246" s="23"/>
    </row>
    <row r="247" spans="1:48" x14ac:dyDescent="0.25">
      <c r="A247" t="s">
        <v>208</v>
      </c>
      <c r="B247" t="s">
        <v>96</v>
      </c>
      <c r="C247" s="10">
        <v>-14</v>
      </c>
      <c r="D247" t="s">
        <v>531</v>
      </c>
      <c r="E247" s="2">
        <f t="shared" si="69"/>
        <v>46208</v>
      </c>
      <c r="F247" s="3">
        <f t="shared" si="62"/>
        <v>0.81527777777777777</v>
      </c>
      <c r="G247" t="s">
        <v>98</v>
      </c>
      <c r="H247" t="s">
        <v>99</v>
      </c>
      <c r="I247" t="s">
        <v>17</v>
      </c>
      <c r="J247" s="2">
        <v>46208</v>
      </c>
      <c r="K247" s="1">
        <v>0.8125</v>
      </c>
      <c r="L247" s="10">
        <f t="shared" si="58"/>
        <v>-3.9999999999999858</v>
      </c>
      <c r="M247" s="1" t="str">
        <f t="shared" si="70"/>
        <v>On Time</v>
      </c>
      <c r="N247" s="27" t="str">
        <f t="shared" si="59"/>
        <v>Turkish Airlines</v>
      </c>
      <c r="O247" s="3" t="s">
        <v>1385</v>
      </c>
      <c r="P247" s="20">
        <f t="shared" si="60"/>
        <v>19</v>
      </c>
      <c r="Q247" s="3" t="s">
        <v>1385</v>
      </c>
      <c r="R247" s="23" t="str">
        <f t="shared" si="61"/>
        <v>Sunday</v>
      </c>
      <c r="S247" s="3" t="s">
        <v>1385</v>
      </c>
      <c r="T247" s="23" t="s">
        <v>96</v>
      </c>
      <c r="U247" s="3" t="s">
        <v>1385</v>
      </c>
      <c r="AO247" s="15"/>
      <c r="AP247" s="15"/>
      <c r="AQ247" s="15"/>
      <c r="AR247" s="23"/>
      <c r="AS247" s="15"/>
      <c r="AT247" s="15"/>
      <c r="AU247" s="23"/>
      <c r="AV247" s="23"/>
    </row>
    <row r="248" spans="1:48" x14ac:dyDescent="0.25">
      <c r="A248" t="s">
        <v>211</v>
      </c>
      <c r="B248" t="s">
        <v>7</v>
      </c>
      <c r="C248" s="10">
        <v>-20</v>
      </c>
      <c r="D248" t="s">
        <v>532</v>
      </c>
      <c r="E248" s="2">
        <f t="shared" si="69"/>
        <v>46208</v>
      </c>
      <c r="F248" s="3">
        <f t="shared" si="62"/>
        <v>0.82361111111111107</v>
      </c>
      <c r="G248" t="s">
        <v>135</v>
      </c>
      <c r="H248" t="s">
        <v>136</v>
      </c>
      <c r="I248" t="s">
        <v>11</v>
      </c>
      <c r="J248" s="2">
        <v>46208</v>
      </c>
      <c r="K248" s="1">
        <v>0.82638888888888884</v>
      </c>
      <c r="L248" s="10">
        <f t="shared" si="58"/>
        <v>3.9999999999999858</v>
      </c>
      <c r="M248" s="1" t="str">
        <f t="shared" si="70"/>
        <v>On Time</v>
      </c>
      <c r="N248" s="27" t="str">
        <f t="shared" si="59"/>
        <v>airBaltic</v>
      </c>
      <c r="O248" s="3" t="s">
        <v>1385</v>
      </c>
      <c r="P248" s="20">
        <f t="shared" si="60"/>
        <v>19</v>
      </c>
      <c r="Q248" s="3" t="s">
        <v>1385</v>
      </c>
      <c r="R248" s="23" t="str">
        <f t="shared" si="61"/>
        <v>Sunday</v>
      </c>
      <c r="S248" s="3" t="s">
        <v>1385</v>
      </c>
      <c r="T248" s="23" t="s">
        <v>7</v>
      </c>
      <c r="U248" s="3" t="s">
        <v>1385</v>
      </c>
      <c r="AO248" s="15"/>
      <c r="AP248" s="15"/>
      <c r="AQ248" s="15"/>
      <c r="AR248" s="23"/>
      <c r="AS248" s="15"/>
      <c r="AT248" s="15"/>
      <c r="AU248" s="23"/>
      <c r="AV248" s="23"/>
    </row>
    <row r="249" spans="1:48" x14ac:dyDescent="0.25">
      <c r="A249" t="s">
        <v>533</v>
      </c>
      <c r="B249" t="s">
        <v>117</v>
      </c>
      <c r="D249" t="s">
        <v>534</v>
      </c>
      <c r="E249" s="2">
        <f t="shared" si="69"/>
        <v>46208</v>
      </c>
      <c r="F249" s="3">
        <f t="shared" si="62"/>
        <v>0.84375</v>
      </c>
      <c r="G249" t="s">
        <v>308</v>
      </c>
      <c r="H249" t="s">
        <v>309</v>
      </c>
      <c r="I249" t="s">
        <v>83</v>
      </c>
      <c r="J249" s="2">
        <v>46208</v>
      </c>
      <c r="K249" s="1">
        <v>0.83958333333333324</v>
      </c>
      <c r="L249" s="10">
        <f t="shared" si="58"/>
        <v>-6.0000000000001386</v>
      </c>
      <c r="M249" s="1" t="str">
        <f t="shared" si="70"/>
        <v>On Time</v>
      </c>
      <c r="N249" s="27" t="str">
        <f t="shared" si="59"/>
        <v>Heston Airlines</v>
      </c>
      <c r="O249" s="3" t="s">
        <v>1385</v>
      </c>
      <c r="P249" s="20">
        <f t="shared" si="60"/>
        <v>20</v>
      </c>
      <c r="Q249" s="3" t="s">
        <v>1385</v>
      </c>
      <c r="R249" s="23" t="str">
        <f t="shared" si="61"/>
        <v>Sunday</v>
      </c>
      <c r="S249" s="3" t="s">
        <v>1385</v>
      </c>
      <c r="T249" s="23" t="s">
        <v>117</v>
      </c>
      <c r="U249" s="3" t="s">
        <v>1385</v>
      </c>
      <c r="AO249" s="15"/>
      <c r="AP249" s="15"/>
      <c r="AQ249" s="15"/>
      <c r="AR249" s="23"/>
      <c r="AS249" s="15"/>
      <c r="AT249" s="15"/>
      <c r="AU249" s="23"/>
      <c r="AV249" s="23"/>
    </row>
    <row r="250" spans="1:48" x14ac:dyDescent="0.25">
      <c r="A250" t="s">
        <v>213</v>
      </c>
      <c r="B250" t="s">
        <v>85</v>
      </c>
      <c r="C250" s="10">
        <v>-34</v>
      </c>
      <c r="D250" t="s">
        <v>535</v>
      </c>
      <c r="E250" s="2">
        <f t="shared" si="69"/>
        <v>46208</v>
      </c>
      <c r="F250" s="3">
        <f t="shared" si="62"/>
        <v>0.85069444444444453</v>
      </c>
      <c r="G250" t="s">
        <v>102</v>
      </c>
      <c r="H250" t="s">
        <v>115</v>
      </c>
      <c r="I250" t="s">
        <v>162</v>
      </c>
      <c r="J250" s="2">
        <v>46208</v>
      </c>
      <c r="K250" s="1">
        <v>0.84722222222222221</v>
      </c>
      <c r="L250" s="10">
        <f t="shared" si="58"/>
        <v>-5.0000000000001421</v>
      </c>
      <c r="M250" s="1" t="str">
        <f t="shared" si="70"/>
        <v>On Time</v>
      </c>
      <c r="N250" s="27" t="str">
        <f t="shared" si="59"/>
        <v>Ryanair</v>
      </c>
      <c r="O250" s="3" t="s">
        <v>1385</v>
      </c>
      <c r="P250" s="20">
        <f t="shared" si="60"/>
        <v>20</v>
      </c>
      <c r="Q250" s="3" t="s">
        <v>1385</v>
      </c>
      <c r="R250" s="23" t="str">
        <f t="shared" si="61"/>
        <v>Sunday</v>
      </c>
      <c r="S250" s="3" t="s">
        <v>1385</v>
      </c>
      <c r="T250" s="23" t="s">
        <v>85</v>
      </c>
      <c r="U250" s="3" t="s">
        <v>1385</v>
      </c>
      <c r="AO250" s="15"/>
      <c r="AP250" s="15"/>
      <c r="AQ250" s="15"/>
      <c r="AR250" s="23"/>
      <c r="AS250" s="15"/>
      <c r="AT250" s="15"/>
      <c r="AU250" s="23"/>
      <c r="AV250" s="23"/>
    </row>
    <row r="251" spans="1:48" x14ac:dyDescent="0.25">
      <c r="A251" t="s">
        <v>536</v>
      </c>
      <c r="B251" t="s">
        <v>239</v>
      </c>
      <c r="D251" t="s">
        <v>537</v>
      </c>
      <c r="E251" s="2">
        <f t="shared" si="69"/>
        <v>46208</v>
      </c>
      <c r="F251" s="3">
        <f t="shared" si="62"/>
        <v>0.84722222222222221</v>
      </c>
      <c r="G251" t="s">
        <v>222</v>
      </c>
      <c r="H251" t="s">
        <v>223</v>
      </c>
      <c r="I251" t="s">
        <v>83</v>
      </c>
      <c r="J251" s="2">
        <v>46208</v>
      </c>
      <c r="K251" s="1">
        <v>0.85763888888888884</v>
      </c>
      <c r="L251" s="10">
        <f t="shared" si="58"/>
        <v>14.999999999999947</v>
      </c>
      <c r="M251" s="1" t="str">
        <f t="shared" si="70"/>
        <v>On Time</v>
      </c>
      <c r="N251" s="27" t="str">
        <f t="shared" si="59"/>
        <v>Eurowings</v>
      </c>
      <c r="O251" s="3" t="s">
        <v>1385</v>
      </c>
      <c r="P251" s="20">
        <f t="shared" si="60"/>
        <v>20</v>
      </c>
      <c r="Q251" s="3" t="s">
        <v>1385</v>
      </c>
      <c r="R251" s="23" t="str">
        <f t="shared" si="61"/>
        <v>Sunday</v>
      </c>
      <c r="S251" s="3" t="s">
        <v>1385</v>
      </c>
      <c r="T251" s="23" t="s">
        <v>239</v>
      </c>
      <c r="U251" s="3" t="s">
        <v>1385</v>
      </c>
      <c r="AO251" s="15"/>
      <c r="AP251" s="15"/>
      <c r="AQ251" s="15"/>
      <c r="AR251" s="23"/>
      <c r="AS251" s="15"/>
      <c r="AT251" s="15"/>
      <c r="AU251" s="23"/>
      <c r="AV251" s="23"/>
    </row>
    <row r="252" spans="1:48" x14ac:dyDescent="0.25">
      <c r="A252" t="s">
        <v>228</v>
      </c>
      <c r="B252" t="s">
        <v>69</v>
      </c>
      <c r="C252" s="10">
        <v>-21</v>
      </c>
      <c r="D252" t="s">
        <v>538</v>
      </c>
      <c r="E252" s="2">
        <f t="shared" si="69"/>
        <v>46208</v>
      </c>
      <c r="F252" s="3">
        <f t="shared" si="62"/>
        <v>0.8881944444444444</v>
      </c>
      <c r="G252" t="s">
        <v>71</v>
      </c>
      <c r="H252" t="s">
        <v>72</v>
      </c>
      <c r="I252" t="s">
        <v>73</v>
      </c>
      <c r="J252" s="2">
        <v>46208</v>
      </c>
      <c r="K252" s="1">
        <v>0.88194444444444453</v>
      </c>
      <c r="L252" s="10">
        <f t="shared" si="58"/>
        <v>-8.9999999999998082</v>
      </c>
      <c r="M252" s="1" t="str">
        <f t="shared" si="70"/>
        <v>On Time</v>
      </c>
      <c r="N252" s="27" t="str">
        <f t="shared" si="59"/>
        <v>Finnair</v>
      </c>
      <c r="O252" s="3" t="s">
        <v>1385</v>
      </c>
      <c r="P252" s="20">
        <f t="shared" si="60"/>
        <v>21</v>
      </c>
      <c r="Q252" s="3" t="s">
        <v>1385</v>
      </c>
      <c r="R252" s="23" t="str">
        <f t="shared" si="61"/>
        <v>Sunday</v>
      </c>
      <c r="S252" s="3" t="s">
        <v>1385</v>
      </c>
      <c r="T252" s="23" t="s">
        <v>69</v>
      </c>
      <c r="U252" s="3" t="s">
        <v>1385</v>
      </c>
      <c r="AO252" s="15"/>
      <c r="AP252" s="15"/>
      <c r="AQ252" s="15"/>
      <c r="AR252" s="23"/>
      <c r="AS252" s="15"/>
      <c r="AT252" s="15"/>
      <c r="AU252" s="23"/>
      <c r="AV252" s="23"/>
    </row>
    <row r="253" spans="1:48" x14ac:dyDescent="0.25">
      <c r="A253" t="s">
        <v>230</v>
      </c>
      <c r="B253" t="s">
        <v>231</v>
      </c>
      <c r="C253" s="10">
        <v>-154</v>
      </c>
      <c r="D253" t="s">
        <v>539</v>
      </c>
      <c r="E253" s="2">
        <f t="shared" si="69"/>
        <v>46208</v>
      </c>
      <c r="F253" s="3">
        <f t="shared" si="62"/>
        <v>0.9770833333333333</v>
      </c>
      <c r="G253" t="s">
        <v>81</v>
      </c>
      <c r="H253" t="s">
        <v>82</v>
      </c>
      <c r="I253" t="s">
        <v>83</v>
      </c>
      <c r="J253" s="2">
        <v>46208</v>
      </c>
      <c r="K253" s="1">
        <v>0.88541666666666663</v>
      </c>
      <c r="L253" s="10">
        <f t="shared" si="58"/>
        <v>-132</v>
      </c>
      <c r="M253" s="1" t="str">
        <f t="shared" si="70"/>
        <v>Delayed</v>
      </c>
      <c r="N253" s="27" t="e">
        <f t="shared" si="59"/>
        <v>#N/A</v>
      </c>
      <c r="O253" s="3" t="s">
        <v>1318</v>
      </c>
      <c r="P253" s="20">
        <f t="shared" si="60"/>
        <v>23</v>
      </c>
      <c r="Q253" s="3" t="s">
        <v>1318</v>
      </c>
      <c r="R253" s="23" t="str">
        <f t="shared" si="61"/>
        <v>Sunday</v>
      </c>
      <c r="S253" s="3" t="s">
        <v>1318</v>
      </c>
      <c r="T253" s="23" t="s">
        <v>231</v>
      </c>
      <c r="U253" s="3" t="s">
        <v>1318</v>
      </c>
      <c r="AO253" s="15"/>
      <c r="AP253" s="15"/>
      <c r="AQ253" s="15"/>
      <c r="AR253" s="23"/>
      <c r="AS253" s="15"/>
      <c r="AT253" s="15"/>
      <c r="AU253" s="23"/>
      <c r="AV253" s="23"/>
    </row>
    <row r="254" spans="1:48" x14ac:dyDescent="0.25">
      <c r="A254" t="s">
        <v>540</v>
      </c>
      <c r="B254" t="s">
        <v>13</v>
      </c>
      <c r="C254" s="10">
        <v>-10</v>
      </c>
      <c r="D254" t="s">
        <v>541</v>
      </c>
      <c r="E254" s="2">
        <f t="shared" si="69"/>
        <v>46208</v>
      </c>
      <c r="F254" s="3">
        <f t="shared" si="62"/>
        <v>0.89027777777777783</v>
      </c>
      <c r="G254" t="s">
        <v>481</v>
      </c>
      <c r="H254" t="s">
        <v>482</v>
      </c>
      <c r="I254" t="s">
        <v>17</v>
      </c>
      <c r="J254" s="2">
        <v>46208</v>
      </c>
      <c r="K254" s="1">
        <v>0.89583333333333337</v>
      </c>
      <c r="L254" s="10">
        <f t="shared" si="58"/>
        <v>7.9999999999999716</v>
      </c>
      <c r="M254" s="1" t="str">
        <f t="shared" si="70"/>
        <v>On Time</v>
      </c>
      <c r="N254" s="27" t="str">
        <f t="shared" si="59"/>
        <v>Wizz Air</v>
      </c>
      <c r="O254" s="3" t="s">
        <v>1385</v>
      </c>
      <c r="P254" s="20">
        <f t="shared" si="60"/>
        <v>21</v>
      </c>
      <c r="Q254" s="3" t="s">
        <v>1385</v>
      </c>
      <c r="R254" s="23" t="str">
        <f t="shared" si="61"/>
        <v>Sunday</v>
      </c>
      <c r="S254" s="3" t="s">
        <v>1385</v>
      </c>
      <c r="T254" s="23" t="s">
        <v>13</v>
      </c>
      <c r="U254" s="3" t="s">
        <v>1385</v>
      </c>
      <c r="AO254" s="15"/>
      <c r="AP254" s="15"/>
      <c r="AQ254" s="15"/>
      <c r="AR254" s="23"/>
      <c r="AS254" s="15"/>
      <c r="AT254" s="15"/>
      <c r="AU254" s="23"/>
      <c r="AV254" s="23"/>
    </row>
    <row r="255" spans="1:48" x14ac:dyDescent="0.25">
      <c r="A255" t="s">
        <v>245</v>
      </c>
      <c r="B255" t="s">
        <v>124</v>
      </c>
      <c r="D255" t="s">
        <v>542</v>
      </c>
      <c r="E255" s="2">
        <f t="shared" si="69"/>
        <v>46208</v>
      </c>
      <c r="F255" s="3">
        <f t="shared" si="62"/>
        <v>0.92013888888888884</v>
      </c>
      <c r="G255" t="s">
        <v>247</v>
      </c>
      <c r="H255" t="s">
        <v>248</v>
      </c>
      <c r="I255" t="s">
        <v>249</v>
      </c>
      <c r="J255" s="2">
        <v>46208</v>
      </c>
      <c r="K255" s="1">
        <v>0.92638888888888893</v>
      </c>
      <c r="L255" s="10">
        <f t="shared" si="58"/>
        <v>9.0000000000001279</v>
      </c>
      <c r="M255" s="1" t="str">
        <f t="shared" si="70"/>
        <v>On Time</v>
      </c>
      <c r="N255" s="27" t="str">
        <f t="shared" si="59"/>
        <v>GetJet Airlines</v>
      </c>
      <c r="O255" s="3" t="s">
        <v>1385</v>
      </c>
      <c r="P255" s="20">
        <f t="shared" si="60"/>
        <v>22</v>
      </c>
      <c r="Q255" s="3" t="s">
        <v>1385</v>
      </c>
      <c r="R255" s="23" t="str">
        <f t="shared" si="61"/>
        <v>Sunday</v>
      </c>
      <c r="S255" s="3" t="s">
        <v>1385</v>
      </c>
      <c r="T255" s="23" t="s">
        <v>124</v>
      </c>
      <c r="U255" s="3" t="s">
        <v>1385</v>
      </c>
      <c r="AO255" s="15"/>
      <c r="AP255" s="15"/>
      <c r="AQ255" s="15"/>
      <c r="AR255" s="23"/>
      <c r="AS255" s="15"/>
      <c r="AT255" s="15"/>
      <c r="AU255" s="23"/>
      <c r="AV255" s="23"/>
    </row>
    <row r="256" spans="1:48" x14ac:dyDescent="0.25">
      <c r="A256" t="s">
        <v>233</v>
      </c>
      <c r="B256" t="s">
        <v>7</v>
      </c>
      <c r="C256" s="10">
        <v>-40</v>
      </c>
      <c r="D256" t="s">
        <v>543</v>
      </c>
      <c r="E256" s="2">
        <f t="shared" si="69"/>
        <v>46208</v>
      </c>
      <c r="F256" s="3">
        <f t="shared" si="62"/>
        <v>0.94791666666666663</v>
      </c>
      <c r="G256" t="s">
        <v>76</v>
      </c>
      <c r="H256" t="s">
        <v>77</v>
      </c>
      <c r="I256" t="s">
        <v>11</v>
      </c>
      <c r="J256" s="2">
        <v>46208</v>
      </c>
      <c r="K256" s="1">
        <v>0.93055555555555547</v>
      </c>
      <c r="L256" s="10">
        <f t="shared" si="58"/>
        <v>-25.000000000000071</v>
      </c>
      <c r="M256" s="1" t="str">
        <f t="shared" si="70"/>
        <v>Delayed</v>
      </c>
      <c r="N256" s="27" t="str">
        <f t="shared" si="59"/>
        <v>airBaltic</v>
      </c>
      <c r="O256" s="3" t="s">
        <v>1318</v>
      </c>
      <c r="P256" s="20">
        <f t="shared" si="60"/>
        <v>22</v>
      </c>
      <c r="Q256" s="3" t="s">
        <v>1318</v>
      </c>
      <c r="R256" s="23" t="str">
        <f t="shared" si="61"/>
        <v>Sunday</v>
      </c>
      <c r="S256" s="3" t="s">
        <v>1318</v>
      </c>
      <c r="T256" s="23" t="s">
        <v>7</v>
      </c>
      <c r="U256" s="3" t="s">
        <v>1318</v>
      </c>
      <c r="AO256" s="15"/>
      <c r="AP256" s="15"/>
      <c r="AQ256" s="15"/>
      <c r="AR256" s="23"/>
      <c r="AS256" s="15"/>
      <c r="AT256" s="15"/>
      <c r="AU256" s="23"/>
      <c r="AV256" s="23"/>
    </row>
    <row r="257" spans="1:48" x14ac:dyDescent="0.25">
      <c r="A257" t="s">
        <v>235</v>
      </c>
      <c r="B257" t="s">
        <v>19</v>
      </c>
      <c r="C257" s="10">
        <v>-39</v>
      </c>
      <c r="D257" t="s">
        <v>544</v>
      </c>
      <c r="E257" s="2">
        <f t="shared" si="69"/>
        <v>46208</v>
      </c>
      <c r="F257" s="3">
        <f t="shared" si="62"/>
        <v>0.94166666666666676</v>
      </c>
      <c r="G257" t="s">
        <v>21</v>
      </c>
      <c r="H257" t="s">
        <v>22</v>
      </c>
      <c r="I257" t="s">
        <v>276</v>
      </c>
      <c r="J257" s="2">
        <v>46208</v>
      </c>
      <c r="K257" s="1">
        <v>0.93055555555555547</v>
      </c>
      <c r="L257" s="10">
        <f t="shared" si="58"/>
        <v>-16.000000000000263</v>
      </c>
      <c r="M257" s="1" t="str">
        <f t="shared" si="70"/>
        <v>Delayed</v>
      </c>
      <c r="N257" s="27" t="str">
        <f t="shared" si="59"/>
        <v>LOT</v>
      </c>
      <c r="O257" s="3" t="s">
        <v>1318</v>
      </c>
      <c r="P257" s="20">
        <f t="shared" si="60"/>
        <v>22</v>
      </c>
      <c r="Q257" s="3" t="s">
        <v>1318</v>
      </c>
      <c r="R257" s="23" t="str">
        <f t="shared" si="61"/>
        <v>Sunday</v>
      </c>
      <c r="S257" s="3" t="s">
        <v>1318</v>
      </c>
      <c r="T257" s="23" t="s">
        <v>19</v>
      </c>
      <c r="U257" s="3" t="s">
        <v>1318</v>
      </c>
      <c r="AO257" s="15"/>
      <c r="AP257" s="15"/>
      <c r="AQ257" s="15"/>
      <c r="AR257" s="23"/>
      <c r="AS257" s="15"/>
      <c r="AT257" s="15"/>
      <c r="AU257" s="23"/>
      <c r="AV257" s="23"/>
    </row>
    <row r="258" spans="1:48" x14ac:dyDescent="0.25">
      <c r="A258" t="s">
        <v>219</v>
      </c>
      <c r="B258" t="s">
        <v>7</v>
      </c>
      <c r="C258" s="10">
        <v>-9</v>
      </c>
      <c r="D258" t="s">
        <v>545</v>
      </c>
      <c r="E258" s="2">
        <f t="shared" si="69"/>
        <v>46208</v>
      </c>
      <c r="F258" s="3">
        <f t="shared" si="62"/>
        <v>0.95000000000000007</v>
      </c>
      <c r="G258" t="s">
        <v>9</v>
      </c>
      <c r="H258" t="s">
        <v>10</v>
      </c>
      <c r="I258" t="s">
        <v>11</v>
      </c>
      <c r="J258" s="2">
        <v>46208</v>
      </c>
      <c r="K258" s="1">
        <v>0.95138888888888884</v>
      </c>
      <c r="L258" s="10">
        <f t="shared" ref="L258:L321" si="71">IF(J258&gt;E258,(K258+1-F258)*1440,IF(J258&lt;E258,-(F258+1-K258)*1440,(K258-F258)*1440))</f>
        <v>1.999999999999833</v>
      </c>
      <c r="M258" s="1" t="str">
        <f t="shared" si="70"/>
        <v>On Time</v>
      </c>
      <c r="N258" s="27" t="str">
        <f t="shared" ref="N258:N321" si="72">IF(COUNTIFS($B$2:$B$1553,B258,$M$2:$M$1553,"&lt;&gt;#N/A")&gt;=30,B258,NA())</f>
        <v>airBaltic</v>
      </c>
      <c r="O258" s="3" t="s">
        <v>1385</v>
      </c>
      <c r="P258" s="20">
        <f t="shared" ref="P258:P321" si="73">HOUR(F258)</f>
        <v>22</v>
      </c>
      <c r="Q258" s="3" t="s">
        <v>1385</v>
      </c>
      <c r="R258" s="23" t="str">
        <f t="shared" ref="R258:R321" si="74">TEXT(E258, "dddd")</f>
        <v>Sunday</v>
      </c>
      <c r="S258" s="3" t="s">
        <v>1385</v>
      </c>
      <c r="T258" s="23" t="s">
        <v>7</v>
      </c>
      <c r="U258" s="3" t="s">
        <v>1385</v>
      </c>
      <c r="AO258" s="15"/>
      <c r="AP258" s="15"/>
      <c r="AQ258" s="15"/>
      <c r="AR258" s="23"/>
      <c r="AS258" s="15"/>
      <c r="AT258" s="15"/>
      <c r="AU258" s="23"/>
      <c r="AV258" s="23"/>
    </row>
    <row r="259" spans="1:48" x14ac:dyDescent="0.25">
      <c r="A259" t="s">
        <v>100</v>
      </c>
      <c r="B259" t="s">
        <v>85</v>
      </c>
      <c r="C259" s="10">
        <v>-29</v>
      </c>
      <c r="D259" t="s">
        <v>546</v>
      </c>
      <c r="E259" s="2">
        <f t="shared" si="69"/>
        <v>46208</v>
      </c>
      <c r="F259" s="3">
        <f t="shared" ref="F259:F322" si="75">IF(ISNUMBER(SEARCH("Landed", D259)), TIMEVALUE(_xlfn.TEXTAFTER(D259, " ")), NA())</f>
        <v>0.95486111111111116</v>
      </c>
      <c r="G259" t="s">
        <v>102</v>
      </c>
      <c r="H259" t="s">
        <v>103</v>
      </c>
      <c r="I259" t="s">
        <v>89</v>
      </c>
      <c r="J259" s="2">
        <v>46208</v>
      </c>
      <c r="K259" s="1">
        <v>0.95833333333333337</v>
      </c>
      <c r="L259" s="10">
        <f t="shared" si="71"/>
        <v>4.9999999999999822</v>
      </c>
      <c r="M259" s="1" t="str">
        <f t="shared" si="70"/>
        <v>On Time</v>
      </c>
      <c r="N259" s="27" t="str">
        <f t="shared" si="72"/>
        <v>Ryanair</v>
      </c>
      <c r="O259" s="3" t="s">
        <v>1385</v>
      </c>
      <c r="P259" s="20">
        <f t="shared" si="73"/>
        <v>22</v>
      </c>
      <c r="Q259" s="3" t="s">
        <v>1385</v>
      </c>
      <c r="R259" s="23" t="str">
        <f t="shared" si="74"/>
        <v>Sunday</v>
      </c>
      <c r="S259" s="3" t="s">
        <v>1385</v>
      </c>
      <c r="T259" s="23" t="s">
        <v>85</v>
      </c>
      <c r="U259" s="3" t="s">
        <v>1385</v>
      </c>
      <c r="AO259" s="15"/>
      <c r="AP259" s="15"/>
      <c r="AQ259" s="15"/>
      <c r="AR259" s="23"/>
      <c r="AS259" s="15"/>
      <c r="AT259" s="15"/>
      <c r="AU259" s="23"/>
      <c r="AV259" s="23"/>
    </row>
    <row r="260" spans="1:48" x14ac:dyDescent="0.25">
      <c r="A260" t="s">
        <v>387</v>
      </c>
      <c r="B260" t="s">
        <v>388</v>
      </c>
      <c r="C260" s="10">
        <v>-23</v>
      </c>
      <c r="D260" t="s">
        <v>547</v>
      </c>
      <c r="E260" s="2">
        <f t="shared" si="69"/>
        <v>46208</v>
      </c>
      <c r="F260" s="3">
        <f t="shared" si="75"/>
        <v>0.97222222222222221</v>
      </c>
      <c r="G260" t="s">
        <v>119</v>
      </c>
      <c r="H260" t="s">
        <v>120</v>
      </c>
      <c r="I260" t="s">
        <v>390</v>
      </c>
      <c r="J260" s="2">
        <v>46208</v>
      </c>
      <c r="K260" s="1">
        <v>0.97777777777777775</v>
      </c>
      <c r="L260" s="10">
        <f t="shared" si="71"/>
        <v>7.9999999999999716</v>
      </c>
      <c r="M260" s="1" t="str">
        <f t="shared" si="70"/>
        <v>On Time</v>
      </c>
      <c r="N260" s="27" t="e">
        <f t="shared" si="72"/>
        <v>#N/A</v>
      </c>
      <c r="O260" s="3" t="s">
        <v>1385</v>
      </c>
      <c r="P260" s="20">
        <f t="shared" si="73"/>
        <v>23</v>
      </c>
      <c r="Q260" s="3" t="s">
        <v>1385</v>
      </c>
      <c r="R260" s="23" t="str">
        <f t="shared" si="74"/>
        <v>Sunday</v>
      </c>
      <c r="S260" s="3" t="s">
        <v>1385</v>
      </c>
      <c r="T260" s="23" t="s">
        <v>388</v>
      </c>
      <c r="U260" s="3" t="s">
        <v>1385</v>
      </c>
      <c r="AO260" s="15"/>
      <c r="AP260" s="15"/>
      <c r="AQ260" s="15"/>
      <c r="AR260" s="23"/>
      <c r="AS260" s="15"/>
      <c r="AT260" s="15"/>
      <c r="AU260" s="23"/>
      <c r="AV260" s="23"/>
    </row>
    <row r="261" spans="1:48" x14ac:dyDescent="0.25">
      <c r="A261" t="s">
        <v>258</v>
      </c>
      <c r="B261" t="s">
        <v>190</v>
      </c>
      <c r="C261" s="10">
        <v>-10</v>
      </c>
      <c r="D261" t="s">
        <v>548</v>
      </c>
      <c r="E261" s="2">
        <f t="shared" si="69"/>
        <v>46208</v>
      </c>
      <c r="F261" s="3">
        <f t="shared" si="75"/>
        <v>0.97013888888888899</v>
      </c>
      <c r="G261" t="s">
        <v>110</v>
      </c>
      <c r="H261" t="s">
        <v>111</v>
      </c>
      <c r="I261" t="s">
        <v>67</v>
      </c>
      <c r="J261" s="2">
        <v>46208</v>
      </c>
      <c r="K261" s="1">
        <v>0.97916666666666663</v>
      </c>
      <c r="L261" s="10">
        <f t="shared" si="71"/>
        <v>12.999999999999794</v>
      </c>
      <c r="M261" s="1" t="str">
        <f t="shared" si="70"/>
        <v>On Time</v>
      </c>
      <c r="N261" s="27" t="str">
        <f t="shared" si="72"/>
        <v>Lufthansa</v>
      </c>
      <c r="O261" s="3" t="s">
        <v>1385</v>
      </c>
      <c r="P261" s="20">
        <f t="shared" si="73"/>
        <v>23</v>
      </c>
      <c r="Q261" s="3" t="s">
        <v>1385</v>
      </c>
      <c r="R261" s="23" t="str">
        <f t="shared" si="74"/>
        <v>Sunday</v>
      </c>
      <c r="S261" s="3" t="s">
        <v>1385</v>
      </c>
      <c r="T261" s="23" t="s">
        <v>190</v>
      </c>
      <c r="U261" s="3" t="s">
        <v>1385</v>
      </c>
      <c r="AO261" s="15"/>
      <c r="AP261" s="15"/>
      <c r="AQ261" s="15"/>
      <c r="AR261" s="23"/>
      <c r="AS261" s="15"/>
      <c r="AT261" s="15"/>
      <c r="AU261" s="23"/>
      <c r="AV261" s="23"/>
    </row>
    <row r="262" spans="1:48" x14ac:dyDescent="0.25">
      <c r="A262" t="s">
        <v>250</v>
      </c>
      <c r="B262" t="s">
        <v>7</v>
      </c>
      <c r="C262" s="10">
        <v>-14</v>
      </c>
      <c r="D262" t="s">
        <v>549</v>
      </c>
      <c r="E262" s="2">
        <f t="shared" ref="E262:E325" si="76">J262</f>
        <v>46208</v>
      </c>
      <c r="F262" s="3">
        <f t="shared" si="75"/>
        <v>0.98888888888888893</v>
      </c>
      <c r="G262" t="s">
        <v>252</v>
      </c>
      <c r="H262" t="s">
        <v>253</v>
      </c>
      <c r="I262" t="s">
        <v>11</v>
      </c>
      <c r="J262" s="2">
        <v>46208</v>
      </c>
      <c r="K262" s="1">
        <v>0.99652777777777779</v>
      </c>
      <c r="L262" s="10">
        <f t="shared" si="71"/>
        <v>10.999999999999961</v>
      </c>
      <c r="M262" s="1" t="str">
        <f t="shared" si="70"/>
        <v>On Time</v>
      </c>
      <c r="N262" s="27" t="str">
        <f t="shared" si="72"/>
        <v>airBaltic</v>
      </c>
      <c r="O262" s="3" t="s">
        <v>1385</v>
      </c>
      <c r="P262" s="20">
        <f t="shared" si="73"/>
        <v>23</v>
      </c>
      <c r="Q262" s="3" t="s">
        <v>1385</v>
      </c>
      <c r="R262" s="23" t="str">
        <f t="shared" si="74"/>
        <v>Sunday</v>
      </c>
      <c r="S262" s="3" t="s">
        <v>1385</v>
      </c>
      <c r="T262" s="23" t="s">
        <v>7</v>
      </c>
      <c r="U262" s="3" t="s">
        <v>1385</v>
      </c>
      <c r="AO262" s="15"/>
      <c r="AP262" s="15"/>
      <c r="AQ262" s="15"/>
      <c r="AR262" s="23"/>
      <c r="AS262" s="15"/>
      <c r="AT262" s="15"/>
      <c r="AU262" s="23"/>
      <c r="AV262" s="23"/>
    </row>
    <row r="263" spans="1:48" x14ac:dyDescent="0.25">
      <c r="A263" t="s">
        <v>6</v>
      </c>
      <c r="B263" t="s">
        <v>7</v>
      </c>
      <c r="C263" s="10">
        <v>-37</v>
      </c>
      <c r="D263" t="s">
        <v>550</v>
      </c>
      <c r="E263" s="2">
        <f t="shared" si="76"/>
        <v>46209</v>
      </c>
      <c r="F263" s="3">
        <f t="shared" si="75"/>
        <v>3.8194444444444441E-2</v>
      </c>
      <c r="G263" t="s">
        <v>9</v>
      </c>
      <c r="H263" t="s">
        <v>10</v>
      </c>
      <c r="I263" t="s">
        <v>11</v>
      </c>
      <c r="J263" s="2">
        <v>46209</v>
      </c>
      <c r="K263" s="1">
        <v>2.0833333333333332E-2</v>
      </c>
      <c r="L263" s="10">
        <f t="shared" si="71"/>
        <v>-24.999999999999996</v>
      </c>
      <c r="M263" s="1" t="str">
        <f t="shared" si="70"/>
        <v>Delayed</v>
      </c>
      <c r="N263" s="27" t="str">
        <f t="shared" si="72"/>
        <v>airBaltic</v>
      </c>
      <c r="O263" s="3" t="s">
        <v>1318</v>
      </c>
      <c r="P263" s="20">
        <f t="shared" si="73"/>
        <v>0</v>
      </c>
      <c r="Q263" s="3" t="s">
        <v>1318</v>
      </c>
      <c r="R263" s="23" t="str">
        <f t="shared" si="74"/>
        <v>Monday</v>
      </c>
      <c r="S263" s="3" t="s">
        <v>1318</v>
      </c>
      <c r="T263" s="23" t="s">
        <v>7</v>
      </c>
      <c r="U263" s="3" t="s">
        <v>1318</v>
      </c>
      <c r="AO263" s="15"/>
      <c r="AP263" s="15"/>
      <c r="AQ263" s="15"/>
      <c r="AR263" s="23"/>
      <c r="AS263" s="15"/>
      <c r="AT263" s="15"/>
      <c r="AU263" s="23"/>
      <c r="AV263" s="23"/>
    </row>
    <row r="264" spans="1:48" x14ac:dyDescent="0.25">
      <c r="A264" t="s">
        <v>12</v>
      </c>
      <c r="B264" t="s">
        <v>13</v>
      </c>
      <c r="C264" s="10">
        <v>-44</v>
      </c>
      <c r="D264" t="s">
        <v>551</v>
      </c>
      <c r="E264" s="2">
        <f t="shared" si="76"/>
        <v>46209</v>
      </c>
      <c r="F264" s="3">
        <f t="shared" si="75"/>
        <v>2.8472222222222222E-2</v>
      </c>
      <c r="G264" t="s">
        <v>15</v>
      </c>
      <c r="H264" t="s">
        <v>16</v>
      </c>
      <c r="I264" t="s">
        <v>17</v>
      </c>
      <c r="J264" s="2">
        <v>46209</v>
      </c>
      <c r="K264" s="1">
        <v>2.0833333333333332E-2</v>
      </c>
      <c r="L264" s="10">
        <f t="shared" si="71"/>
        <v>-11</v>
      </c>
      <c r="M264" s="1" t="str">
        <f t="shared" si="70"/>
        <v>On Time</v>
      </c>
      <c r="N264" s="27" t="str">
        <f t="shared" si="72"/>
        <v>Wizz Air</v>
      </c>
      <c r="O264" s="3" t="s">
        <v>1385</v>
      </c>
      <c r="P264" s="20">
        <f t="shared" si="73"/>
        <v>0</v>
      </c>
      <c r="Q264" s="3" t="s">
        <v>1385</v>
      </c>
      <c r="R264" s="23" t="str">
        <f t="shared" si="74"/>
        <v>Monday</v>
      </c>
      <c r="S264" s="3" t="s">
        <v>1385</v>
      </c>
      <c r="T264" s="23" t="s">
        <v>13</v>
      </c>
      <c r="U264" s="3" t="s">
        <v>1385</v>
      </c>
      <c r="AO264" s="15"/>
      <c r="AP264" s="15"/>
      <c r="AQ264" s="15"/>
      <c r="AR264" s="23"/>
      <c r="AS264" s="15"/>
      <c r="AT264" s="15"/>
      <c r="AU264" s="23"/>
      <c r="AV264" s="23"/>
    </row>
    <row r="265" spans="1:48" x14ac:dyDescent="0.25">
      <c r="A265" t="s">
        <v>18</v>
      </c>
      <c r="B265" t="s">
        <v>19</v>
      </c>
      <c r="C265" s="10">
        <v>-39</v>
      </c>
      <c r="D265" t="s">
        <v>552</v>
      </c>
      <c r="E265" s="2">
        <f t="shared" si="76"/>
        <v>46209</v>
      </c>
      <c r="F265" s="3">
        <f t="shared" si="75"/>
        <v>3.6111111111111115E-2</v>
      </c>
      <c r="G265" t="s">
        <v>21</v>
      </c>
      <c r="H265" t="s">
        <v>22</v>
      </c>
      <c r="I265" t="s">
        <v>23</v>
      </c>
      <c r="J265" s="2">
        <v>46209</v>
      </c>
      <c r="K265" s="1">
        <v>2.7777777777777776E-2</v>
      </c>
      <c r="L265" s="10">
        <f t="shared" si="71"/>
        <v>-12.000000000000007</v>
      </c>
      <c r="M265" s="1" t="str">
        <f t="shared" si="70"/>
        <v>On Time</v>
      </c>
      <c r="N265" s="27" t="str">
        <f t="shared" si="72"/>
        <v>LOT</v>
      </c>
      <c r="O265" s="3" t="s">
        <v>1385</v>
      </c>
      <c r="P265" s="20">
        <f t="shared" si="73"/>
        <v>0</v>
      </c>
      <c r="Q265" s="3" t="s">
        <v>1385</v>
      </c>
      <c r="R265" s="23" t="str">
        <f t="shared" si="74"/>
        <v>Monday</v>
      </c>
      <c r="S265" s="3" t="s">
        <v>1385</v>
      </c>
      <c r="T265" s="23" t="s">
        <v>19</v>
      </c>
      <c r="U265" s="3" t="s">
        <v>1385</v>
      </c>
      <c r="AO265" s="15"/>
      <c r="AP265" s="15"/>
      <c r="AQ265" s="15"/>
      <c r="AR265" s="23"/>
      <c r="AS265" s="15"/>
      <c r="AT265" s="15"/>
      <c r="AU265" s="23"/>
      <c r="AV265" s="23"/>
    </row>
    <row r="266" spans="1:48" x14ac:dyDescent="0.25">
      <c r="A266" t="s">
        <v>123</v>
      </c>
      <c r="B266" t="s">
        <v>124</v>
      </c>
      <c r="D266" t="s">
        <v>553</v>
      </c>
      <c r="E266" s="2">
        <f t="shared" si="76"/>
        <v>46209</v>
      </c>
      <c r="F266" s="3">
        <f t="shared" si="75"/>
        <v>6.2499999999999995E-3</v>
      </c>
      <c r="G266" t="s">
        <v>119</v>
      </c>
      <c r="H266" t="s">
        <v>120</v>
      </c>
      <c r="I266" t="s">
        <v>126</v>
      </c>
      <c r="J266" s="2">
        <v>46209</v>
      </c>
      <c r="K266" s="1">
        <v>2.7777777777777776E-2</v>
      </c>
      <c r="L266" s="10">
        <f t="shared" si="71"/>
        <v>31</v>
      </c>
      <c r="M266" s="1" t="str">
        <f t="shared" si="70"/>
        <v>On Time</v>
      </c>
      <c r="N266" s="27" t="str">
        <f t="shared" si="72"/>
        <v>GetJet Airlines</v>
      </c>
      <c r="O266" s="3" t="s">
        <v>1385</v>
      </c>
      <c r="P266" s="20">
        <f t="shared" si="73"/>
        <v>0</v>
      </c>
      <c r="Q266" s="3" t="s">
        <v>1385</v>
      </c>
      <c r="R266" s="23" t="str">
        <f t="shared" si="74"/>
        <v>Monday</v>
      </c>
      <c r="S266" s="3" t="s">
        <v>1385</v>
      </c>
      <c r="T266" s="23" t="s">
        <v>124</v>
      </c>
      <c r="U266" s="3" t="s">
        <v>1385</v>
      </c>
      <c r="AO266" s="15"/>
      <c r="AP266" s="15"/>
      <c r="AQ266" s="15"/>
      <c r="AR266" s="23"/>
      <c r="AS266" s="15"/>
      <c r="AT266" s="15"/>
      <c r="AU266" s="23"/>
      <c r="AV266" s="23"/>
    </row>
    <row r="267" spans="1:48" x14ac:dyDescent="0.25">
      <c r="A267" t="s">
        <v>24</v>
      </c>
      <c r="B267" t="s">
        <v>7</v>
      </c>
      <c r="C267" s="10">
        <v>-12</v>
      </c>
      <c r="D267" t="s">
        <v>277</v>
      </c>
      <c r="E267" s="2">
        <f t="shared" si="76"/>
        <v>46209</v>
      </c>
      <c r="F267" s="3">
        <f t="shared" si="75"/>
        <v>2.4999999999999998E-2</v>
      </c>
      <c r="G267" t="s">
        <v>26</v>
      </c>
      <c r="H267" t="s">
        <v>27</v>
      </c>
      <c r="I267" t="s">
        <v>11</v>
      </c>
      <c r="J267" s="2">
        <v>46209</v>
      </c>
      <c r="K267" s="1">
        <v>3.125E-2</v>
      </c>
      <c r="L267" s="10">
        <f t="shared" si="71"/>
        <v>9.0000000000000036</v>
      </c>
      <c r="M267" s="1" t="str">
        <f t="shared" si="70"/>
        <v>On Time</v>
      </c>
      <c r="N267" s="27" t="str">
        <f t="shared" si="72"/>
        <v>airBaltic</v>
      </c>
      <c r="O267" s="3" t="s">
        <v>1385</v>
      </c>
      <c r="P267" s="20">
        <f t="shared" si="73"/>
        <v>0</v>
      </c>
      <c r="Q267" s="3" t="s">
        <v>1385</v>
      </c>
      <c r="R267" s="23" t="str">
        <f t="shared" si="74"/>
        <v>Monday</v>
      </c>
      <c r="S267" s="3" t="s">
        <v>1385</v>
      </c>
      <c r="T267" s="23" t="s">
        <v>7</v>
      </c>
      <c r="U267" s="3" t="s">
        <v>1385</v>
      </c>
      <c r="AO267" s="15"/>
      <c r="AP267" s="15"/>
      <c r="AQ267" s="15"/>
      <c r="AR267" s="23"/>
      <c r="AS267" s="15"/>
      <c r="AT267" s="15"/>
      <c r="AU267" s="23"/>
      <c r="AV267" s="23"/>
    </row>
    <row r="268" spans="1:48" x14ac:dyDescent="0.25">
      <c r="A268" t="s">
        <v>104</v>
      </c>
      <c r="B268" t="s">
        <v>85</v>
      </c>
      <c r="C268" s="10">
        <v>-40</v>
      </c>
      <c r="D268" t="s">
        <v>279</v>
      </c>
      <c r="E268" s="2">
        <f t="shared" si="76"/>
        <v>46209</v>
      </c>
      <c r="F268" s="3">
        <f t="shared" si="75"/>
        <v>4.7916666666666663E-2</v>
      </c>
      <c r="G268" t="s">
        <v>106</v>
      </c>
      <c r="H268" t="s">
        <v>107</v>
      </c>
      <c r="I268" t="s">
        <v>89</v>
      </c>
      <c r="J268" s="2">
        <v>46209</v>
      </c>
      <c r="K268" s="1">
        <v>4.1666666666666664E-2</v>
      </c>
      <c r="L268" s="10">
        <f t="shared" si="71"/>
        <v>-8.9999999999999982</v>
      </c>
      <c r="M268" s="1" t="str">
        <f t="shared" si="70"/>
        <v>On Time</v>
      </c>
      <c r="N268" s="27" t="str">
        <f t="shared" si="72"/>
        <v>Ryanair</v>
      </c>
      <c r="O268" s="3" t="s">
        <v>1385</v>
      </c>
      <c r="P268" s="20">
        <f t="shared" si="73"/>
        <v>1</v>
      </c>
      <c r="Q268" s="3" t="s">
        <v>1385</v>
      </c>
      <c r="R268" s="23" t="str">
        <f t="shared" si="74"/>
        <v>Monday</v>
      </c>
      <c r="S268" s="3" t="s">
        <v>1385</v>
      </c>
      <c r="T268" s="23" t="s">
        <v>85</v>
      </c>
      <c r="U268" s="3" t="s">
        <v>1385</v>
      </c>
      <c r="AO268" s="15"/>
      <c r="AP268" s="15"/>
      <c r="AQ268" s="15"/>
      <c r="AR268" s="23"/>
      <c r="AS268" s="15"/>
      <c r="AT268" s="15"/>
      <c r="AU268" s="23"/>
      <c r="AV268" s="23"/>
    </row>
    <row r="269" spans="1:48" x14ac:dyDescent="0.25">
      <c r="A269" t="s">
        <v>36</v>
      </c>
      <c r="B269" t="s">
        <v>7</v>
      </c>
      <c r="C269" s="10">
        <v>-29</v>
      </c>
      <c r="D269" t="s">
        <v>554</v>
      </c>
      <c r="E269" s="2">
        <f t="shared" si="76"/>
        <v>46209</v>
      </c>
      <c r="F269" s="3">
        <f t="shared" si="75"/>
        <v>5.9722222222222225E-2</v>
      </c>
      <c r="G269" t="s">
        <v>38</v>
      </c>
      <c r="H269" t="s">
        <v>39</v>
      </c>
      <c r="I269" t="s">
        <v>11</v>
      </c>
      <c r="J269" s="2">
        <v>46209</v>
      </c>
      <c r="K269" s="1">
        <v>5.9027777777777783E-2</v>
      </c>
      <c r="L269" s="10">
        <f t="shared" si="71"/>
        <v>-0.99999999999999645</v>
      </c>
      <c r="M269" s="1" t="str">
        <f t="shared" si="70"/>
        <v>On Time</v>
      </c>
      <c r="N269" s="27" t="str">
        <f t="shared" si="72"/>
        <v>airBaltic</v>
      </c>
      <c r="O269" s="3" t="s">
        <v>1385</v>
      </c>
      <c r="P269" s="20">
        <f t="shared" si="73"/>
        <v>1</v>
      </c>
      <c r="Q269" s="3" t="s">
        <v>1385</v>
      </c>
      <c r="R269" s="23" t="str">
        <f t="shared" si="74"/>
        <v>Monday</v>
      </c>
      <c r="S269" s="3" t="s">
        <v>1385</v>
      </c>
      <c r="T269" s="23" t="s">
        <v>7</v>
      </c>
      <c r="U269" s="3" t="s">
        <v>1385</v>
      </c>
      <c r="AO269" s="15"/>
      <c r="AP269" s="15"/>
      <c r="AQ269" s="15"/>
      <c r="AR269" s="23"/>
      <c r="AS269" s="15"/>
      <c r="AT269" s="15"/>
      <c r="AU269" s="23"/>
      <c r="AV269" s="23"/>
    </row>
    <row r="270" spans="1:48" x14ac:dyDescent="0.25">
      <c r="A270" t="s">
        <v>40</v>
      </c>
      <c r="B270" t="s">
        <v>555</v>
      </c>
      <c r="C270" s="10">
        <v>-2</v>
      </c>
      <c r="D270" t="s">
        <v>556</v>
      </c>
      <c r="E270" s="2">
        <f t="shared" si="76"/>
        <v>46209</v>
      </c>
      <c r="F270" s="3">
        <f t="shared" si="75"/>
        <v>4.9999999999999996E-2</v>
      </c>
      <c r="G270" t="s">
        <v>43</v>
      </c>
      <c r="H270" t="s">
        <v>44</v>
      </c>
      <c r="I270" t="s">
        <v>557</v>
      </c>
      <c r="J270" s="2">
        <v>46209</v>
      </c>
      <c r="K270" s="1">
        <v>5.9027777777777783E-2</v>
      </c>
      <c r="L270" s="10">
        <f t="shared" si="71"/>
        <v>13.000000000000014</v>
      </c>
      <c r="M270" s="1" t="str">
        <f t="shared" si="70"/>
        <v>On Time</v>
      </c>
      <c r="N270" s="27" t="e">
        <f t="shared" si="72"/>
        <v>#N/A</v>
      </c>
      <c r="O270" s="3" t="s">
        <v>1385</v>
      </c>
      <c r="P270" s="20">
        <f t="shared" si="73"/>
        <v>1</v>
      </c>
      <c r="Q270" s="3" t="s">
        <v>1385</v>
      </c>
      <c r="R270" s="23" t="str">
        <f t="shared" si="74"/>
        <v>Monday</v>
      </c>
      <c r="S270" s="3" t="s">
        <v>1385</v>
      </c>
      <c r="T270" s="23" t="s">
        <v>555</v>
      </c>
      <c r="U270" s="3" t="s">
        <v>1385</v>
      </c>
      <c r="AO270" s="15"/>
      <c r="AP270" s="15"/>
      <c r="AQ270" s="15"/>
      <c r="AR270" s="23"/>
      <c r="AS270" s="15"/>
      <c r="AT270" s="15"/>
      <c r="AU270" s="23"/>
      <c r="AV270" s="23"/>
    </row>
    <row r="271" spans="1:48" x14ac:dyDescent="0.25">
      <c r="A271" t="s">
        <v>285</v>
      </c>
      <c r="B271" t="s">
        <v>13</v>
      </c>
      <c r="C271" s="10">
        <v>174</v>
      </c>
      <c r="D271" t="s">
        <v>558</v>
      </c>
      <c r="E271" s="2">
        <f t="shared" si="76"/>
        <v>46209</v>
      </c>
      <c r="F271" s="3">
        <f t="shared" si="75"/>
        <v>4.5833333333333337E-2</v>
      </c>
      <c r="G271" t="s">
        <v>287</v>
      </c>
      <c r="H271" t="s">
        <v>288</v>
      </c>
      <c r="I271" t="s">
        <v>17</v>
      </c>
      <c r="J271" s="2">
        <v>46209</v>
      </c>
      <c r="K271" s="1">
        <v>5.9027777777777783E-2</v>
      </c>
      <c r="L271" s="10">
        <f t="shared" si="71"/>
        <v>19.000000000000004</v>
      </c>
      <c r="M271" s="1" t="str">
        <f t="shared" si="70"/>
        <v>On Time</v>
      </c>
      <c r="N271" s="27" t="str">
        <f t="shared" si="72"/>
        <v>Wizz Air</v>
      </c>
      <c r="O271" s="3" t="s">
        <v>1385</v>
      </c>
      <c r="P271" s="20">
        <f t="shared" si="73"/>
        <v>1</v>
      </c>
      <c r="Q271" s="3" t="s">
        <v>1385</v>
      </c>
      <c r="R271" s="23" t="str">
        <f t="shared" si="74"/>
        <v>Monday</v>
      </c>
      <c r="S271" s="3" t="s">
        <v>1385</v>
      </c>
      <c r="T271" s="23" t="s">
        <v>13</v>
      </c>
      <c r="U271" s="3" t="s">
        <v>1385</v>
      </c>
      <c r="AO271" s="15"/>
      <c r="AP271" s="15"/>
      <c r="AQ271" s="15"/>
      <c r="AR271" s="23"/>
      <c r="AS271" s="15"/>
      <c r="AT271" s="15"/>
      <c r="AU271" s="23"/>
      <c r="AV271" s="23"/>
    </row>
    <row r="272" spans="1:48" x14ac:dyDescent="0.25">
      <c r="A272" t="s">
        <v>559</v>
      </c>
      <c r="B272" t="s">
        <v>124</v>
      </c>
      <c r="C272" s="10">
        <v>-12</v>
      </c>
      <c r="D272" t="s">
        <v>560</v>
      </c>
      <c r="E272" s="2">
        <f t="shared" si="76"/>
        <v>46209</v>
      </c>
      <c r="F272" s="3">
        <f t="shared" si="75"/>
        <v>0.19652777777777777</v>
      </c>
      <c r="G272" t="s">
        <v>129</v>
      </c>
      <c r="H272" t="s">
        <v>130</v>
      </c>
      <c r="I272" t="s">
        <v>282</v>
      </c>
      <c r="J272" s="2">
        <v>46209</v>
      </c>
      <c r="K272" s="1">
        <v>0.17083333333333331</v>
      </c>
      <c r="L272" s="10">
        <f t="shared" si="71"/>
        <v>-37.000000000000028</v>
      </c>
      <c r="M272" s="1" t="str">
        <f t="shared" si="70"/>
        <v>Delayed</v>
      </c>
      <c r="N272" s="27" t="str">
        <f t="shared" si="72"/>
        <v>GetJet Airlines</v>
      </c>
      <c r="O272" s="3" t="s">
        <v>1318</v>
      </c>
      <c r="P272" s="20">
        <f t="shared" si="73"/>
        <v>4</v>
      </c>
      <c r="Q272" s="3" t="s">
        <v>1318</v>
      </c>
      <c r="R272" s="23" t="str">
        <f t="shared" si="74"/>
        <v>Monday</v>
      </c>
      <c r="S272" s="3" t="s">
        <v>1318</v>
      </c>
      <c r="T272" s="23" t="s">
        <v>124</v>
      </c>
      <c r="U272" s="3" t="s">
        <v>1318</v>
      </c>
      <c r="AO272" s="15"/>
      <c r="AP272" s="15"/>
      <c r="AQ272" s="15"/>
      <c r="AR272" s="23"/>
      <c r="AS272" s="15"/>
      <c r="AT272" s="15"/>
      <c r="AU272" s="23"/>
      <c r="AV272" s="23"/>
    </row>
    <row r="273" spans="1:48" x14ac:dyDescent="0.25">
      <c r="A273" t="s">
        <v>561</v>
      </c>
      <c r="B273" t="s">
        <v>117</v>
      </c>
      <c r="D273" t="s">
        <v>562</v>
      </c>
      <c r="E273" s="2">
        <f t="shared" si="76"/>
        <v>46209</v>
      </c>
      <c r="F273" s="3">
        <f t="shared" si="75"/>
        <v>0.17847222222222223</v>
      </c>
      <c r="G273" t="s">
        <v>563</v>
      </c>
      <c r="H273" t="s">
        <v>564</v>
      </c>
      <c r="I273" t="s">
        <v>67</v>
      </c>
      <c r="J273" s="2">
        <v>46209</v>
      </c>
      <c r="K273" s="1">
        <v>0.17916666666666667</v>
      </c>
      <c r="L273" s="10">
        <f t="shared" si="71"/>
        <v>0.99999999999999645</v>
      </c>
      <c r="M273" s="1" t="str">
        <f t="shared" si="70"/>
        <v>On Time</v>
      </c>
      <c r="N273" s="27" t="str">
        <f t="shared" si="72"/>
        <v>Heston Airlines</v>
      </c>
      <c r="O273" s="3" t="s">
        <v>1385</v>
      </c>
      <c r="P273" s="20">
        <f t="shared" si="73"/>
        <v>4</v>
      </c>
      <c r="Q273" s="3" t="s">
        <v>1385</v>
      </c>
      <c r="R273" s="23" t="str">
        <f t="shared" si="74"/>
        <v>Monday</v>
      </c>
      <c r="S273" s="3" t="s">
        <v>1385</v>
      </c>
      <c r="T273" s="23" t="s">
        <v>117</v>
      </c>
      <c r="U273" s="3" t="s">
        <v>1385</v>
      </c>
      <c r="AO273" s="15"/>
      <c r="AP273" s="15"/>
      <c r="AQ273" s="15"/>
      <c r="AR273" s="23"/>
      <c r="AS273" s="15"/>
      <c r="AT273" s="15"/>
      <c r="AU273" s="23"/>
      <c r="AV273" s="23"/>
    </row>
    <row r="274" spans="1:48" x14ac:dyDescent="0.25">
      <c r="A274" t="s">
        <v>565</v>
      </c>
      <c r="B274" t="s">
        <v>566</v>
      </c>
      <c r="C274" s="10">
        <v>2</v>
      </c>
      <c r="D274" t="s">
        <v>567</v>
      </c>
      <c r="E274" s="2">
        <f t="shared" si="76"/>
        <v>46209</v>
      </c>
      <c r="F274" s="3">
        <f t="shared" si="75"/>
        <v>0.21805555555555556</v>
      </c>
      <c r="G274" t="s">
        <v>57</v>
      </c>
      <c r="H274" t="s">
        <v>58</v>
      </c>
      <c r="I274" t="s">
        <v>568</v>
      </c>
      <c r="J274" s="2">
        <v>46209</v>
      </c>
      <c r="K274" s="1">
        <v>0.22916666666666666</v>
      </c>
      <c r="L274" s="10">
        <f t="shared" si="71"/>
        <v>15.999999999999982</v>
      </c>
      <c r="M274" s="1" t="str">
        <f t="shared" si="70"/>
        <v>On Time</v>
      </c>
      <c r="N274" s="27" t="e">
        <f t="shared" si="72"/>
        <v>#N/A</v>
      </c>
      <c r="O274" s="3" t="s">
        <v>1385</v>
      </c>
      <c r="P274" s="20">
        <f t="shared" si="73"/>
        <v>5</v>
      </c>
      <c r="Q274" s="3" t="s">
        <v>1385</v>
      </c>
      <c r="R274" s="23" t="str">
        <f t="shared" si="74"/>
        <v>Monday</v>
      </c>
      <c r="S274" s="3" t="s">
        <v>1385</v>
      </c>
      <c r="T274" s="23" t="s">
        <v>566</v>
      </c>
      <c r="U274" s="3" t="s">
        <v>1385</v>
      </c>
      <c r="AO274" s="15"/>
      <c r="AP274" s="15"/>
      <c r="AQ274" s="15"/>
      <c r="AR274" s="23"/>
      <c r="AS274" s="15"/>
      <c r="AT274" s="15"/>
      <c r="AU274" s="23"/>
      <c r="AV274" s="23"/>
    </row>
    <row r="275" spans="1:48" x14ac:dyDescent="0.25">
      <c r="A275" t="s">
        <v>93</v>
      </c>
      <c r="B275" t="s">
        <v>7</v>
      </c>
      <c r="C275" s="10">
        <v>-3</v>
      </c>
      <c r="D275" t="s">
        <v>569</v>
      </c>
      <c r="E275" s="2">
        <f t="shared" si="76"/>
        <v>46209</v>
      </c>
      <c r="F275" s="3">
        <f t="shared" si="75"/>
        <v>0.33263888888888887</v>
      </c>
      <c r="G275" t="s">
        <v>76</v>
      </c>
      <c r="H275" t="s">
        <v>77</v>
      </c>
      <c r="I275" t="s">
        <v>11</v>
      </c>
      <c r="J275" s="2">
        <v>46209</v>
      </c>
      <c r="K275" s="1">
        <v>0.34375</v>
      </c>
      <c r="L275" s="10">
        <f t="shared" si="71"/>
        <v>16.000000000000021</v>
      </c>
      <c r="M275" s="1" t="str">
        <f t="shared" ref="M275:M338" si="77">IF(L275&gt;=-15, "On Time", "Delayed")</f>
        <v>On Time</v>
      </c>
      <c r="N275" s="27" t="str">
        <f t="shared" si="72"/>
        <v>airBaltic</v>
      </c>
      <c r="O275" s="3" t="s">
        <v>1385</v>
      </c>
      <c r="P275" s="20">
        <f t="shared" si="73"/>
        <v>7</v>
      </c>
      <c r="Q275" s="3" t="s">
        <v>1385</v>
      </c>
      <c r="R275" s="23" t="str">
        <f t="shared" si="74"/>
        <v>Monday</v>
      </c>
      <c r="S275" s="3" t="s">
        <v>1385</v>
      </c>
      <c r="T275" s="23" t="s">
        <v>7</v>
      </c>
      <c r="U275" s="3" t="s">
        <v>1385</v>
      </c>
      <c r="AO275" s="15"/>
      <c r="AP275" s="15"/>
      <c r="AQ275" s="15"/>
      <c r="AR275" s="23"/>
      <c r="AS275" s="15"/>
      <c r="AT275" s="15"/>
      <c r="AU275" s="23"/>
      <c r="AV275" s="23"/>
    </row>
    <row r="276" spans="1:48" x14ac:dyDescent="0.25">
      <c r="A276" t="s">
        <v>60</v>
      </c>
      <c r="B276" t="s">
        <v>7</v>
      </c>
      <c r="C276" s="10">
        <v>-25</v>
      </c>
      <c r="D276" t="s">
        <v>570</v>
      </c>
      <c r="E276" s="2">
        <f t="shared" si="76"/>
        <v>46209</v>
      </c>
      <c r="F276" s="3">
        <f t="shared" si="75"/>
        <v>0.36319444444444443</v>
      </c>
      <c r="G276" t="s">
        <v>9</v>
      </c>
      <c r="H276" t="s">
        <v>10</v>
      </c>
      <c r="I276" t="s">
        <v>11</v>
      </c>
      <c r="J276" s="2">
        <v>46209</v>
      </c>
      <c r="K276" s="1">
        <v>0.3611111111111111</v>
      </c>
      <c r="L276" s="10">
        <f t="shared" si="71"/>
        <v>-2.9999999999999893</v>
      </c>
      <c r="M276" s="1" t="str">
        <f t="shared" si="77"/>
        <v>On Time</v>
      </c>
      <c r="N276" s="27" t="str">
        <f t="shared" si="72"/>
        <v>airBaltic</v>
      </c>
      <c r="O276" s="3" t="s">
        <v>1385</v>
      </c>
      <c r="P276" s="20">
        <f t="shared" si="73"/>
        <v>8</v>
      </c>
      <c r="Q276" s="3" t="s">
        <v>1385</v>
      </c>
      <c r="R276" s="23" t="str">
        <f t="shared" si="74"/>
        <v>Monday</v>
      </c>
      <c r="S276" s="3" t="s">
        <v>1385</v>
      </c>
      <c r="T276" s="23" t="s">
        <v>7</v>
      </c>
      <c r="U276" s="3" t="s">
        <v>1385</v>
      </c>
      <c r="AO276" s="15"/>
      <c r="AP276" s="15"/>
      <c r="AQ276" s="15"/>
      <c r="AR276" s="23"/>
      <c r="AS276" s="15"/>
      <c r="AT276" s="15"/>
      <c r="AU276" s="23"/>
      <c r="AV276" s="23"/>
    </row>
    <row r="277" spans="1:48" x14ac:dyDescent="0.25">
      <c r="A277" t="s">
        <v>84</v>
      </c>
      <c r="B277" t="s">
        <v>85</v>
      </c>
      <c r="C277" s="10">
        <v>-4</v>
      </c>
      <c r="D277" t="s">
        <v>292</v>
      </c>
      <c r="E277" s="2">
        <f t="shared" si="76"/>
        <v>46209</v>
      </c>
      <c r="F277" s="3">
        <f t="shared" si="75"/>
        <v>0.35625000000000001</v>
      </c>
      <c r="G277" t="s">
        <v>87</v>
      </c>
      <c r="H277" t="s">
        <v>88</v>
      </c>
      <c r="I277" t="s">
        <v>162</v>
      </c>
      <c r="J277" s="2">
        <v>46209</v>
      </c>
      <c r="K277" s="1">
        <v>0.36458333333333331</v>
      </c>
      <c r="L277" s="10">
        <f t="shared" si="71"/>
        <v>11.999999999999957</v>
      </c>
      <c r="M277" s="1" t="str">
        <f t="shared" si="77"/>
        <v>On Time</v>
      </c>
      <c r="N277" s="27" t="str">
        <f t="shared" si="72"/>
        <v>Ryanair</v>
      </c>
      <c r="O277" s="3" t="s">
        <v>1385</v>
      </c>
      <c r="P277" s="20">
        <f t="shared" si="73"/>
        <v>8</v>
      </c>
      <c r="Q277" s="3" t="s">
        <v>1385</v>
      </c>
      <c r="R277" s="23" t="str">
        <f t="shared" si="74"/>
        <v>Monday</v>
      </c>
      <c r="S277" s="3" t="s">
        <v>1385</v>
      </c>
      <c r="T277" s="23" t="s">
        <v>85</v>
      </c>
      <c r="U277" s="3" t="s">
        <v>1385</v>
      </c>
      <c r="AO277" s="15"/>
      <c r="AP277" s="15"/>
      <c r="AQ277" s="15"/>
      <c r="AR277" s="23"/>
      <c r="AS277" s="15"/>
      <c r="AT277" s="15"/>
      <c r="AU277" s="23"/>
      <c r="AV277" s="23"/>
    </row>
    <row r="278" spans="1:48" x14ac:dyDescent="0.25">
      <c r="A278" t="s">
        <v>291</v>
      </c>
      <c r="B278" t="s">
        <v>13</v>
      </c>
      <c r="C278" s="10">
        <v>-3</v>
      </c>
      <c r="D278" t="s">
        <v>571</v>
      </c>
      <c r="E278" s="2">
        <f t="shared" si="76"/>
        <v>46209</v>
      </c>
      <c r="F278" s="3">
        <f t="shared" si="75"/>
        <v>0.36041666666666666</v>
      </c>
      <c r="G278" t="s">
        <v>293</v>
      </c>
      <c r="H278" t="s">
        <v>294</v>
      </c>
      <c r="I278" t="s">
        <v>17</v>
      </c>
      <c r="J278" s="2">
        <v>46209</v>
      </c>
      <c r="K278" s="1">
        <v>0.36805555555555558</v>
      </c>
      <c r="L278" s="10">
        <f t="shared" si="71"/>
        <v>11.000000000000041</v>
      </c>
      <c r="M278" s="1" t="str">
        <f t="shared" si="77"/>
        <v>On Time</v>
      </c>
      <c r="N278" s="27" t="str">
        <f t="shared" si="72"/>
        <v>Wizz Air</v>
      </c>
      <c r="O278" s="3" t="s">
        <v>1385</v>
      </c>
      <c r="P278" s="20">
        <f t="shared" si="73"/>
        <v>8</v>
      </c>
      <c r="Q278" s="3" t="s">
        <v>1385</v>
      </c>
      <c r="R278" s="23" t="str">
        <f t="shared" si="74"/>
        <v>Monday</v>
      </c>
      <c r="S278" s="3" t="s">
        <v>1385</v>
      </c>
      <c r="T278" s="23" t="s">
        <v>13</v>
      </c>
      <c r="U278" s="3" t="s">
        <v>1385</v>
      </c>
      <c r="AO278" s="15"/>
      <c r="AP278" s="15"/>
      <c r="AQ278" s="15"/>
      <c r="AR278" s="23"/>
      <c r="AS278" s="15"/>
      <c r="AT278" s="15"/>
      <c r="AU278" s="23"/>
      <c r="AV278" s="23"/>
    </row>
    <row r="279" spans="1:48" x14ac:dyDescent="0.25">
      <c r="A279" t="s">
        <v>68</v>
      </c>
      <c r="B279" t="s">
        <v>69</v>
      </c>
      <c r="C279" s="10">
        <v>-18</v>
      </c>
      <c r="D279" t="s">
        <v>572</v>
      </c>
      <c r="E279" s="2">
        <f t="shared" si="76"/>
        <v>46209</v>
      </c>
      <c r="F279" s="3">
        <f t="shared" si="75"/>
        <v>0.38958333333333334</v>
      </c>
      <c r="G279" t="s">
        <v>71</v>
      </c>
      <c r="H279" t="s">
        <v>72</v>
      </c>
      <c r="I279" t="s">
        <v>73</v>
      </c>
      <c r="J279" s="2">
        <v>46209</v>
      </c>
      <c r="K279" s="1">
        <v>0.3888888888888889</v>
      </c>
      <c r="L279" s="10">
        <f t="shared" si="71"/>
        <v>-0.99999999999999645</v>
      </c>
      <c r="M279" s="1" t="str">
        <f t="shared" si="77"/>
        <v>On Time</v>
      </c>
      <c r="N279" s="27" t="str">
        <f t="shared" si="72"/>
        <v>Finnair</v>
      </c>
      <c r="O279" s="3" t="s">
        <v>1385</v>
      </c>
      <c r="P279" s="20">
        <f t="shared" si="73"/>
        <v>9</v>
      </c>
      <c r="Q279" s="3" t="s">
        <v>1385</v>
      </c>
      <c r="R279" s="23" t="str">
        <f t="shared" si="74"/>
        <v>Monday</v>
      </c>
      <c r="S279" s="3" t="s">
        <v>1385</v>
      </c>
      <c r="T279" s="23" t="s">
        <v>69</v>
      </c>
      <c r="U279" s="3" t="s">
        <v>1385</v>
      </c>
      <c r="AO279" s="15"/>
      <c r="AP279" s="15"/>
      <c r="AQ279" s="15"/>
      <c r="AR279" s="23"/>
      <c r="AS279" s="15"/>
      <c r="AT279" s="15"/>
      <c r="AU279" s="23"/>
      <c r="AV279" s="23"/>
    </row>
    <row r="280" spans="1:48" x14ac:dyDescent="0.25">
      <c r="A280" t="s">
        <v>74</v>
      </c>
      <c r="B280" t="s">
        <v>13</v>
      </c>
      <c r="C280" s="10">
        <v>-12</v>
      </c>
      <c r="D280" t="s">
        <v>573</v>
      </c>
      <c r="E280" s="2">
        <f t="shared" si="76"/>
        <v>46209</v>
      </c>
      <c r="F280" s="3">
        <f t="shared" si="75"/>
        <v>0.37916666666666665</v>
      </c>
      <c r="G280" t="s">
        <v>76</v>
      </c>
      <c r="H280" t="s">
        <v>77</v>
      </c>
      <c r="I280" t="s">
        <v>17</v>
      </c>
      <c r="J280" s="2">
        <v>46209</v>
      </c>
      <c r="K280" s="1">
        <v>0.3888888888888889</v>
      </c>
      <c r="L280" s="10">
        <f t="shared" si="71"/>
        <v>14.00000000000003</v>
      </c>
      <c r="M280" s="1" t="str">
        <f t="shared" si="77"/>
        <v>On Time</v>
      </c>
      <c r="N280" s="27" t="str">
        <f t="shared" si="72"/>
        <v>Wizz Air</v>
      </c>
      <c r="O280" s="3" t="s">
        <v>1385</v>
      </c>
      <c r="P280" s="20">
        <f t="shared" si="73"/>
        <v>9</v>
      </c>
      <c r="Q280" s="3" t="s">
        <v>1385</v>
      </c>
      <c r="R280" s="23" t="str">
        <f t="shared" si="74"/>
        <v>Monday</v>
      </c>
      <c r="S280" s="3" t="s">
        <v>1385</v>
      </c>
      <c r="T280" s="23" t="s">
        <v>13</v>
      </c>
      <c r="U280" s="3" t="s">
        <v>1385</v>
      </c>
      <c r="AO280" s="15"/>
      <c r="AP280" s="15"/>
      <c r="AQ280" s="15"/>
      <c r="AR280" s="23"/>
      <c r="AS280" s="15"/>
      <c r="AT280" s="15"/>
      <c r="AU280" s="23"/>
      <c r="AV280" s="23"/>
    </row>
    <row r="281" spans="1:48" x14ac:dyDescent="0.25">
      <c r="A281" t="s">
        <v>184</v>
      </c>
      <c r="B281" t="s">
        <v>85</v>
      </c>
      <c r="C281" s="10">
        <v>-7</v>
      </c>
      <c r="D281" t="s">
        <v>574</v>
      </c>
      <c r="E281" s="2">
        <f t="shared" si="76"/>
        <v>46209</v>
      </c>
      <c r="F281" s="3">
        <f t="shared" si="75"/>
        <v>0.39861111111111108</v>
      </c>
      <c r="G281" t="s">
        <v>153</v>
      </c>
      <c r="H281" t="s">
        <v>154</v>
      </c>
      <c r="I281" t="s">
        <v>89</v>
      </c>
      <c r="J281" s="2">
        <v>46209</v>
      </c>
      <c r="K281" s="1">
        <v>0.41319444444444442</v>
      </c>
      <c r="L281" s="10">
        <f t="shared" si="71"/>
        <v>21.000000000000007</v>
      </c>
      <c r="M281" s="1" t="str">
        <f t="shared" si="77"/>
        <v>On Time</v>
      </c>
      <c r="N281" s="27" t="str">
        <f t="shared" si="72"/>
        <v>Ryanair</v>
      </c>
      <c r="O281" s="3" t="s">
        <v>1385</v>
      </c>
      <c r="P281" s="20">
        <f t="shared" si="73"/>
        <v>9</v>
      </c>
      <c r="Q281" s="3" t="s">
        <v>1385</v>
      </c>
      <c r="R281" s="23" t="str">
        <f t="shared" si="74"/>
        <v>Monday</v>
      </c>
      <c r="S281" s="3" t="s">
        <v>1385</v>
      </c>
      <c r="T281" s="23" t="s">
        <v>85</v>
      </c>
      <c r="U281" s="3" t="s">
        <v>1385</v>
      </c>
      <c r="AO281" s="15"/>
      <c r="AP281" s="15"/>
      <c r="AQ281" s="15"/>
      <c r="AR281" s="23"/>
      <c r="AS281" s="15"/>
      <c r="AT281" s="15"/>
      <c r="AU281" s="23"/>
      <c r="AV281" s="23"/>
    </row>
    <row r="282" spans="1:48" x14ac:dyDescent="0.25">
      <c r="A282" t="s">
        <v>127</v>
      </c>
      <c r="B282" t="s">
        <v>575</v>
      </c>
      <c r="C282" s="10">
        <v>0</v>
      </c>
      <c r="D282" t="s">
        <v>576</v>
      </c>
      <c r="E282" s="2">
        <f t="shared" si="76"/>
        <v>46209</v>
      </c>
      <c r="F282" s="3">
        <f t="shared" si="75"/>
        <v>0.41388888888888892</v>
      </c>
      <c r="G282" t="s">
        <v>129</v>
      </c>
      <c r="H282" t="s">
        <v>130</v>
      </c>
      <c r="I282" t="s">
        <v>162</v>
      </c>
      <c r="J282" s="2">
        <v>46209</v>
      </c>
      <c r="K282" s="1">
        <v>0.41666666666666669</v>
      </c>
      <c r="L282" s="10">
        <f t="shared" si="71"/>
        <v>3.9999999999999858</v>
      </c>
      <c r="M282" s="1" t="str">
        <f t="shared" si="77"/>
        <v>On Time</v>
      </c>
      <c r="N282" s="27" t="e">
        <f t="shared" si="72"/>
        <v>#N/A</v>
      </c>
      <c r="O282" s="3" t="s">
        <v>1385</v>
      </c>
      <c r="P282" s="20">
        <f t="shared" si="73"/>
        <v>9</v>
      </c>
      <c r="Q282" s="3" t="s">
        <v>1385</v>
      </c>
      <c r="R282" s="23" t="str">
        <f t="shared" si="74"/>
        <v>Monday</v>
      </c>
      <c r="S282" s="3" t="s">
        <v>1385</v>
      </c>
      <c r="T282" s="23" t="s">
        <v>575</v>
      </c>
      <c r="U282" s="3" t="s">
        <v>1385</v>
      </c>
      <c r="AO282" s="15"/>
      <c r="AP282" s="15"/>
      <c r="AQ282" s="15"/>
      <c r="AR282" s="23"/>
      <c r="AS282" s="15"/>
      <c r="AT282" s="15"/>
      <c r="AU282" s="23"/>
      <c r="AV282" s="23"/>
    </row>
    <row r="283" spans="1:48" x14ac:dyDescent="0.25">
      <c r="A283" t="s">
        <v>95</v>
      </c>
      <c r="B283" t="s">
        <v>96</v>
      </c>
      <c r="C283" s="10">
        <v>-13</v>
      </c>
      <c r="D283" t="s">
        <v>577</v>
      </c>
      <c r="E283" s="2">
        <f t="shared" si="76"/>
        <v>46209</v>
      </c>
      <c r="F283" s="3">
        <f t="shared" si="75"/>
        <v>0.4381944444444445</v>
      </c>
      <c r="G283" t="s">
        <v>98</v>
      </c>
      <c r="H283" t="s">
        <v>99</v>
      </c>
      <c r="I283" t="s">
        <v>305</v>
      </c>
      <c r="J283" s="2">
        <v>46209</v>
      </c>
      <c r="K283" s="1">
        <v>0.44791666666666669</v>
      </c>
      <c r="L283" s="10">
        <f t="shared" si="71"/>
        <v>13.99999999999995</v>
      </c>
      <c r="M283" s="1" t="str">
        <f t="shared" si="77"/>
        <v>On Time</v>
      </c>
      <c r="N283" s="27" t="str">
        <f t="shared" si="72"/>
        <v>Turkish Airlines</v>
      </c>
      <c r="O283" s="3" t="s">
        <v>1385</v>
      </c>
      <c r="P283" s="20">
        <f t="shared" si="73"/>
        <v>10</v>
      </c>
      <c r="Q283" s="3" t="s">
        <v>1385</v>
      </c>
      <c r="R283" s="23" t="str">
        <f t="shared" si="74"/>
        <v>Monday</v>
      </c>
      <c r="S283" s="3" t="s">
        <v>1385</v>
      </c>
      <c r="T283" s="23" t="s">
        <v>96</v>
      </c>
      <c r="U283" s="3" t="s">
        <v>1385</v>
      </c>
      <c r="AO283" s="15"/>
      <c r="AP283" s="15"/>
      <c r="AQ283" s="15"/>
      <c r="AR283" s="23"/>
      <c r="AS283" s="15"/>
      <c r="AT283" s="15"/>
      <c r="AU283" s="23"/>
      <c r="AV283" s="23"/>
    </row>
    <row r="284" spans="1:48" x14ac:dyDescent="0.25">
      <c r="A284" t="s">
        <v>395</v>
      </c>
      <c r="B284" t="s">
        <v>85</v>
      </c>
      <c r="C284" s="10">
        <v>-10</v>
      </c>
      <c r="D284" t="s">
        <v>578</v>
      </c>
      <c r="E284" s="2">
        <f t="shared" si="76"/>
        <v>46209</v>
      </c>
      <c r="F284" s="3">
        <f t="shared" si="75"/>
        <v>0.45277777777777778</v>
      </c>
      <c r="G284" t="s">
        <v>34</v>
      </c>
      <c r="H284" t="s">
        <v>161</v>
      </c>
      <c r="I284" t="s">
        <v>89</v>
      </c>
      <c r="J284" s="2">
        <v>46209</v>
      </c>
      <c r="K284" s="1">
        <v>0.4548611111111111</v>
      </c>
      <c r="L284" s="10">
        <f t="shared" si="71"/>
        <v>2.9999999999999893</v>
      </c>
      <c r="M284" s="1" t="str">
        <f t="shared" si="77"/>
        <v>On Time</v>
      </c>
      <c r="N284" s="27" t="str">
        <f t="shared" si="72"/>
        <v>Ryanair</v>
      </c>
      <c r="O284" s="3" t="s">
        <v>1385</v>
      </c>
      <c r="P284" s="20">
        <f t="shared" si="73"/>
        <v>10</v>
      </c>
      <c r="Q284" s="3" t="s">
        <v>1385</v>
      </c>
      <c r="R284" s="23" t="str">
        <f t="shared" si="74"/>
        <v>Monday</v>
      </c>
      <c r="S284" s="3" t="s">
        <v>1385</v>
      </c>
      <c r="T284" s="23" t="s">
        <v>85</v>
      </c>
      <c r="U284" s="3" t="s">
        <v>1385</v>
      </c>
      <c r="AO284" s="15"/>
      <c r="AP284" s="15"/>
      <c r="AQ284" s="15"/>
      <c r="AR284" s="23"/>
      <c r="AS284" s="15"/>
      <c r="AT284" s="15"/>
      <c r="AU284" s="23"/>
      <c r="AV284" s="23"/>
    </row>
    <row r="285" spans="1:48" x14ac:dyDescent="0.25">
      <c r="A285" t="s">
        <v>213</v>
      </c>
      <c r="B285" t="s">
        <v>85</v>
      </c>
      <c r="C285" s="10">
        <v>-19</v>
      </c>
      <c r="D285" t="s">
        <v>579</v>
      </c>
      <c r="E285" s="2">
        <f t="shared" si="76"/>
        <v>46209</v>
      </c>
      <c r="F285" s="3">
        <f t="shared" si="75"/>
        <v>0.45416666666666666</v>
      </c>
      <c r="G285" t="s">
        <v>102</v>
      </c>
      <c r="H285" t="s">
        <v>115</v>
      </c>
      <c r="I285" t="s">
        <v>162</v>
      </c>
      <c r="J285" s="2">
        <v>46209</v>
      </c>
      <c r="K285" s="1">
        <v>0.46180555555555558</v>
      </c>
      <c r="L285" s="10">
        <f t="shared" si="71"/>
        <v>11.000000000000041</v>
      </c>
      <c r="M285" s="1" t="str">
        <f t="shared" si="77"/>
        <v>On Time</v>
      </c>
      <c r="N285" s="27" t="str">
        <f t="shared" si="72"/>
        <v>Ryanair</v>
      </c>
      <c r="O285" s="3" t="s">
        <v>1385</v>
      </c>
      <c r="P285" s="20">
        <f t="shared" si="73"/>
        <v>10</v>
      </c>
      <c r="Q285" s="3" t="s">
        <v>1385</v>
      </c>
      <c r="R285" s="23" t="str">
        <f t="shared" si="74"/>
        <v>Monday</v>
      </c>
      <c r="S285" s="3" t="s">
        <v>1385</v>
      </c>
      <c r="T285" s="23" t="s">
        <v>85</v>
      </c>
      <c r="U285" s="3" t="s">
        <v>1385</v>
      </c>
      <c r="AO285" s="15"/>
      <c r="AP285" s="15"/>
      <c r="AQ285" s="15"/>
      <c r="AR285" s="23"/>
      <c r="AS285" s="15"/>
      <c r="AT285" s="15"/>
      <c r="AU285" s="23"/>
      <c r="AV285" s="23"/>
    </row>
    <row r="286" spans="1:48" x14ac:dyDescent="0.25">
      <c r="A286" t="s">
        <v>178</v>
      </c>
      <c r="B286" t="s">
        <v>85</v>
      </c>
      <c r="C286" s="10">
        <v>0</v>
      </c>
      <c r="D286" t="s">
        <v>580</v>
      </c>
      <c r="E286" s="2">
        <f t="shared" si="76"/>
        <v>46209</v>
      </c>
      <c r="F286" s="3">
        <f t="shared" si="75"/>
        <v>0.47291666666666665</v>
      </c>
      <c r="G286" t="s">
        <v>180</v>
      </c>
      <c r="H286" t="s">
        <v>181</v>
      </c>
      <c r="I286" t="s">
        <v>89</v>
      </c>
      <c r="J286" s="2">
        <v>46209</v>
      </c>
      <c r="K286" s="1">
        <v>0.48958333333333331</v>
      </c>
      <c r="L286" s="10">
        <f t="shared" si="71"/>
        <v>23.999999999999993</v>
      </c>
      <c r="M286" s="1" t="str">
        <f t="shared" si="77"/>
        <v>On Time</v>
      </c>
      <c r="N286" s="27" t="str">
        <f t="shared" si="72"/>
        <v>Ryanair</v>
      </c>
      <c r="O286" s="3" t="s">
        <v>1385</v>
      </c>
      <c r="P286" s="20">
        <f t="shared" si="73"/>
        <v>11</v>
      </c>
      <c r="Q286" s="3" t="s">
        <v>1385</v>
      </c>
      <c r="R286" s="23" t="str">
        <f t="shared" si="74"/>
        <v>Monday</v>
      </c>
      <c r="S286" s="3" t="s">
        <v>1385</v>
      </c>
      <c r="T286" s="23" t="s">
        <v>85</v>
      </c>
      <c r="U286" s="3" t="s">
        <v>1385</v>
      </c>
      <c r="AO286" s="15"/>
      <c r="AP286" s="15"/>
      <c r="AQ286" s="15"/>
      <c r="AR286" s="23"/>
      <c r="AS286" s="15"/>
      <c r="AT286" s="15"/>
      <c r="AU286" s="23"/>
      <c r="AV286" s="23"/>
    </row>
    <row r="287" spans="1:48" x14ac:dyDescent="0.25">
      <c r="A287" t="s">
        <v>245</v>
      </c>
      <c r="B287" t="s">
        <v>124</v>
      </c>
      <c r="D287" t="s">
        <v>581</v>
      </c>
      <c r="E287" s="2">
        <f t="shared" si="76"/>
        <v>46209</v>
      </c>
      <c r="F287" s="3">
        <f t="shared" si="75"/>
        <v>0.48541666666666666</v>
      </c>
      <c r="G287" t="s">
        <v>247</v>
      </c>
      <c r="H287" t="s">
        <v>248</v>
      </c>
      <c r="I287" t="s">
        <v>126</v>
      </c>
      <c r="J287" s="2">
        <v>46209</v>
      </c>
      <c r="K287" s="1">
        <v>0.49722222222222223</v>
      </c>
      <c r="L287" s="10">
        <f t="shared" si="71"/>
        <v>17.000000000000021</v>
      </c>
      <c r="M287" s="1" t="str">
        <f t="shared" si="77"/>
        <v>On Time</v>
      </c>
      <c r="N287" s="27" t="str">
        <f t="shared" si="72"/>
        <v>GetJet Airlines</v>
      </c>
      <c r="O287" s="3" t="s">
        <v>1385</v>
      </c>
      <c r="P287" s="20">
        <f t="shared" si="73"/>
        <v>11</v>
      </c>
      <c r="Q287" s="3" t="s">
        <v>1385</v>
      </c>
      <c r="R287" s="23" t="str">
        <f t="shared" si="74"/>
        <v>Monday</v>
      </c>
      <c r="S287" s="3" t="s">
        <v>1385</v>
      </c>
      <c r="T287" s="23" t="s">
        <v>124</v>
      </c>
      <c r="U287" s="3" t="s">
        <v>1385</v>
      </c>
      <c r="AO287" s="15"/>
      <c r="AP287" s="15"/>
      <c r="AQ287" s="15"/>
      <c r="AR287" s="23"/>
      <c r="AS287" s="15"/>
      <c r="AT287" s="15"/>
      <c r="AU287" s="23"/>
      <c r="AV287" s="23"/>
    </row>
    <row r="288" spans="1:48" x14ac:dyDescent="0.25">
      <c r="A288" t="s">
        <v>108</v>
      </c>
      <c r="B288" t="s">
        <v>190</v>
      </c>
      <c r="C288" s="10">
        <v>-25</v>
      </c>
      <c r="D288" t="s">
        <v>582</v>
      </c>
      <c r="E288" s="2">
        <f t="shared" si="76"/>
        <v>46209</v>
      </c>
      <c r="F288" s="3">
        <f t="shared" si="75"/>
        <v>0.52638888888888891</v>
      </c>
      <c r="G288" t="s">
        <v>110</v>
      </c>
      <c r="H288" t="s">
        <v>111</v>
      </c>
      <c r="I288" t="s">
        <v>112</v>
      </c>
      <c r="J288" s="2">
        <v>46209</v>
      </c>
      <c r="K288" s="1">
        <v>0.52777777777777779</v>
      </c>
      <c r="L288" s="10">
        <f t="shared" si="71"/>
        <v>1.9999999999999929</v>
      </c>
      <c r="M288" s="1" t="str">
        <f t="shared" si="77"/>
        <v>On Time</v>
      </c>
      <c r="N288" s="27" t="str">
        <f t="shared" si="72"/>
        <v>Lufthansa</v>
      </c>
      <c r="O288" s="3" t="s">
        <v>1385</v>
      </c>
      <c r="P288" s="20">
        <f t="shared" si="73"/>
        <v>12</v>
      </c>
      <c r="Q288" s="3" t="s">
        <v>1385</v>
      </c>
      <c r="R288" s="23" t="str">
        <f t="shared" si="74"/>
        <v>Monday</v>
      </c>
      <c r="S288" s="3" t="s">
        <v>1385</v>
      </c>
      <c r="T288" s="23" t="s">
        <v>190</v>
      </c>
      <c r="U288" s="3" t="s">
        <v>1385</v>
      </c>
      <c r="AO288" s="15"/>
      <c r="AP288" s="15"/>
      <c r="AQ288" s="15"/>
      <c r="AR288" s="23"/>
      <c r="AS288" s="15"/>
      <c r="AT288" s="15"/>
      <c r="AU288" s="23"/>
      <c r="AV288" s="23"/>
    </row>
    <row r="289" spans="1:48" x14ac:dyDescent="0.25">
      <c r="A289" t="s">
        <v>383</v>
      </c>
      <c r="B289" t="s">
        <v>7</v>
      </c>
      <c r="C289" s="10">
        <v>-172</v>
      </c>
      <c r="D289" t="s">
        <v>583</v>
      </c>
      <c r="E289" s="2">
        <f t="shared" si="76"/>
        <v>46209</v>
      </c>
      <c r="F289" s="3">
        <f t="shared" si="75"/>
        <v>0.63611111111111118</v>
      </c>
      <c r="G289" t="s">
        <v>26</v>
      </c>
      <c r="H289" t="s">
        <v>27</v>
      </c>
      <c r="I289" t="s">
        <v>11</v>
      </c>
      <c r="J289" s="2">
        <v>46209</v>
      </c>
      <c r="K289" s="1">
        <v>0.53125</v>
      </c>
      <c r="L289" s="10">
        <f t="shared" si="71"/>
        <v>-151.00000000000011</v>
      </c>
      <c r="M289" s="1" t="str">
        <f t="shared" si="77"/>
        <v>Delayed</v>
      </c>
      <c r="N289" s="27" t="str">
        <f t="shared" si="72"/>
        <v>airBaltic</v>
      </c>
      <c r="O289" s="3" t="s">
        <v>1318</v>
      </c>
      <c r="P289" s="20">
        <f t="shared" si="73"/>
        <v>15</v>
      </c>
      <c r="Q289" s="3" t="s">
        <v>1318</v>
      </c>
      <c r="R289" s="23" t="str">
        <f t="shared" si="74"/>
        <v>Monday</v>
      </c>
      <c r="S289" s="3" t="s">
        <v>1318</v>
      </c>
      <c r="T289" s="23" t="s">
        <v>7</v>
      </c>
      <c r="U289" s="3" t="s">
        <v>1318</v>
      </c>
      <c r="AO289" s="15"/>
      <c r="AP289" s="15"/>
      <c r="AQ289" s="15"/>
      <c r="AR289" s="23"/>
      <c r="AS289" s="15"/>
      <c r="AT289" s="15"/>
      <c r="AU289" s="23"/>
      <c r="AV289" s="23"/>
    </row>
    <row r="290" spans="1:48" x14ac:dyDescent="0.25">
      <c r="A290" t="s">
        <v>584</v>
      </c>
      <c r="B290" t="s">
        <v>585</v>
      </c>
      <c r="C290" s="10">
        <v>-13</v>
      </c>
      <c r="D290" t="s">
        <v>507</v>
      </c>
      <c r="E290" s="2">
        <f t="shared" si="76"/>
        <v>46209</v>
      </c>
      <c r="F290" s="3">
        <f t="shared" si="75"/>
        <v>0.53472222222222221</v>
      </c>
      <c r="G290" t="s">
        <v>71</v>
      </c>
      <c r="H290" t="s">
        <v>72</v>
      </c>
      <c r="I290" t="s">
        <v>586</v>
      </c>
      <c r="J290" s="2">
        <v>46209</v>
      </c>
      <c r="K290" s="1">
        <v>0.53125</v>
      </c>
      <c r="L290" s="10">
        <f t="shared" si="71"/>
        <v>-4.9999999999999822</v>
      </c>
      <c r="M290" s="1" t="str">
        <f t="shared" si="77"/>
        <v>On Time</v>
      </c>
      <c r="N290" s="27" t="e">
        <f t="shared" si="72"/>
        <v>#N/A</v>
      </c>
      <c r="O290" s="3" t="s">
        <v>1385</v>
      </c>
      <c r="P290" s="20">
        <f t="shared" si="73"/>
        <v>12</v>
      </c>
      <c r="Q290" s="3" t="s">
        <v>1385</v>
      </c>
      <c r="R290" s="23" t="str">
        <f t="shared" si="74"/>
        <v>Monday</v>
      </c>
      <c r="S290" s="3" t="s">
        <v>1385</v>
      </c>
      <c r="T290" s="23" t="s">
        <v>585</v>
      </c>
      <c r="U290" s="3" t="s">
        <v>1385</v>
      </c>
      <c r="AO290" s="15"/>
      <c r="AP290" s="15"/>
      <c r="AQ290" s="15"/>
      <c r="AR290" s="23"/>
      <c r="AS290" s="15"/>
      <c r="AT290" s="15"/>
      <c r="AU290" s="23"/>
      <c r="AV290" s="23"/>
    </row>
    <row r="291" spans="1:48" x14ac:dyDescent="0.25">
      <c r="A291" t="s">
        <v>113</v>
      </c>
      <c r="B291" t="s">
        <v>13</v>
      </c>
      <c r="C291" s="10">
        <v>-10</v>
      </c>
      <c r="D291" t="s">
        <v>587</v>
      </c>
      <c r="E291" s="2">
        <f t="shared" si="76"/>
        <v>46209</v>
      </c>
      <c r="F291" s="3">
        <f t="shared" si="75"/>
        <v>0.51944444444444449</v>
      </c>
      <c r="G291" t="s">
        <v>102</v>
      </c>
      <c r="H291" t="s">
        <v>115</v>
      </c>
      <c r="I291" t="s">
        <v>17</v>
      </c>
      <c r="J291" s="2">
        <v>46209</v>
      </c>
      <c r="K291" s="1">
        <v>0.53472222222222221</v>
      </c>
      <c r="L291" s="10">
        <f t="shared" si="71"/>
        <v>21.999999999999922</v>
      </c>
      <c r="M291" s="1" t="str">
        <f t="shared" si="77"/>
        <v>On Time</v>
      </c>
      <c r="N291" s="27" t="str">
        <f t="shared" si="72"/>
        <v>Wizz Air</v>
      </c>
      <c r="O291" s="3" t="s">
        <v>1385</v>
      </c>
      <c r="P291" s="20">
        <f t="shared" si="73"/>
        <v>12</v>
      </c>
      <c r="Q291" s="3" t="s">
        <v>1385</v>
      </c>
      <c r="R291" s="23" t="str">
        <f t="shared" si="74"/>
        <v>Monday</v>
      </c>
      <c r="S291" s="3" t="s">
        <v>1385</v>
      </c>
      <c r="T291" s="23" t="s">
        <v>13</v>
      </c>
      <c r="U291" s="3" t="s">
        <v>1385</v>
      </c>
      <c r="AO291" s="15"/>
      <c r="AP291" s="15"/>
      <c r="AQ291" s="15"/>
      <c r="AR291" s="23"/>
      <c r="AS291" s="15"/>
      <c r="AT291" s="15"/>
      <c r="AU291" s="23"/>
      <c r="AV291" s="23"/>
    </row>
    <row r="292" spans="1:48" x14ac:dyDescent="0.25">
      <c r="A292" t="s">
        <v>121</v>
      </c>
      <c r="B292" t="s">
        <v>69</v>
      </c>
      <c r="C292" s="10">
        <v>36</v>
      </c>
      <c r="D292" t="s">
        <v>322</v>
      </c>
      <c r="E292" s="2">
        <f t="shared" si="76"/>
        <v>46209</v>
      </c>
      <c r="F292" s="3">
        <f t="shared" si="75"/>
        <v>0.54375000000000007</v>
      </c>
      <c r="G292" t="s">
        <v>71</v>
      </c>
      <c r="H292" t="s">
        <v>72</v>
      </c>
      <c r="I292" t="s">
        <v>73</v>
      </c>
      <c r="J292" s="2">
        <v>46209</v>
      </c>
      <c r="K292" s="1">
        <v>0.54166666666666663</v>
      </c>
      <c r="L292" s="10">
        <f t="shared" si="71"/>
        <v>-3.0000000000001492</v>
      </c>
      <c r="M292" s="1" t="str">
        <f t="shared" si="77"/>
        <v>On Time</v>
      </c>
      <c r="N292" s="27" t="str">
        <f t="shared" si="72"/>
        <v>Finnair</v>
      </c>
      <c r="O292" s="3" t="s">
        <v>1385</v>
      </c>
      <c r="P292" s="20">
        <f t="shared" si="73"/>
        <v>13</v>
      </c>
      <c r="Q292" s="3" t="s">
        <v>1385</v>
      </c>
      <c r="R292" s="23" t="str">
        <f t="shared" si="74"/>
        <v>Monday</v>
      </c>
      <c r="S292" s="3" t="s">
        <v>1385</v>
      </c>
      <c r="T292" s="23" t="s">
        <v>69</v>
      </c>
      <c r="U292" s="3" t="s">
        <v>1385</v>
      </c>
      <c r="AO292" s="15"/>
      <c r="AP292" s="15"/>
      <c r="AQ292" s="15"/>
      <c r="AR292" s="23"/>
      <c r="AS292" s="15"/>
      <c r="AT292" s="15"/>
      <c r="AU292" s="23"/>
      <c r="AV292" s="23"/>
    </row>
    <row r="293" spans="1:48" x14ac:dyDescent="0.25">
      <c r="A293" t="s">
        <v>100</v>
      </c>
      <c r="B293" t="s">
        <v>85</v>
      </c>
      <c r="C293" s="10">
        <v>-16</v>
      </c>
      <c r="D293" t="s">
        <v>588</v>
      </c>
      <c r="E293" s="2">
        <f t="shared" si="76"/>
        <v>46209</v>
      </c>
      <c r="F293" s="3">
        <f t="shared" si="75"/>
        <v>0.53263888888888888</v>
      </c>
      <c r="G293" t="s">
        <v>102</v>
      </c>
      <c r="H293" t="s">
        <v>103</v>
      </c>
      <c r="I293" t="s">
        <v>89</v>
      </c>
      <c r="J293" s="2">
        <v>46209</v>
      </c>
      <c r="K293" s="1">
        <v>0.54166666666666663</v>
      </c>
      <c r="L293" s="10">
        <f t="shared" si="71"/>
        <v>12.999999999999954</v>
      </c>
      <c r="M293" s="1" t="str">
        <f t="shared" si="77"/>
        <v>On Time</v>
      </c>
      <c r="N293" s="27" t="str">
        <f t="shared" si="72"/>
        <v>Ryanair</v>
      </c>
      <c r="O293" s="3" t="s">
        <v>1385</v>
      </c>
      <c r="P293" s="20">
        <f t="shared" si="73"/>
        <v>12</v>
      </c>
      <c r="Q293" s="3" t="s">
        <v>1385</v>
      </c>
      <c r="R293" s="23" t="str">
        <f t="shared" si="74"/>
        <v>Monday</v>
      </c>
      <c r="S293" s="3" t="s">
        <v>1385</v>
      </c>
      <c r="T293" s="23" t="s">
        <v>85</v>
      </c>
      <c r="U293" s="3" t="s">
        <v>1385</v>
      </c>
      <c r="AO293" s="15"/>
      <c r="AP293" s="15"/>
      <c r="AQ293" s="15"/>
      <c r="AR293" s="23"/>
      <c r="AS293" s="15"/>
      <c r="AT293" s="15"/>
      <c r="AU293" s="23"/>
      <c r="AV293" s="23"/>
    </row>
    <row r="294" spans="1:48" x14ac:dyDescent="0.25">
      <c r="A294" t="s">
        <v>116</v>
      </c>
      <c r="B294" t="s">
        <v>117</v>
      </c>
      <c r="C294" s="10">
        <v>-18</v>
      </c>
      <c r="D294" t="s">
        <v>505</v>
      </c>
      <c r="E294" s="2">
        <f t="shared" si="76"/>
        <v>46209</v>
      </c>
      <c r="F294" s="3">
        <f t="shared" si="75"/>
        <v>0.54097222222222219</v>
      </c>
      <c r="G294" t="s">
        <v>119</v>
      </c>
      <c r="H294" t="s">
        <v>120</v>
      </c>
      <c r="I294" t="s">
        <v>83</v>
      </c>
      <c r="J294" s="2">
        <v>46209</v>
      </c>
      <c r="K294" s="1">
        <v>0.54999999999999993</v>
      </c>
      <c r="L294" s="10">
        <f t="shared" si="71"/>
        <v>12.999999999999954</v>
      </c>
      <c r="M294" s="1" t="str">
        <f t="shared" si="77"/>
        <v>On Time</v>
      </c>
      <c r="N294" s="27" t="str">
        <f t="shared" si="72"/>
        <v>Heston Airlines</v>
      </c>
      <c r="O294" s="3" t="s">
        <v>1385</v>
      </c>
      <c r="P294" s="20">
        <f t="shared" si="73"/>
        <v>12</v>
      </c>
      <c r="Q294" s="3" t="s">
        <v>1385</v>
      </c>
      <c r="R294" s="23" t="str">
        <f t="shared" si="74"/>
        <v>Monday</v>
      </c>
      <c r="S294" s="3" t="s">
        <v>1385</v>
      </c>
      <c r="T294" s="23" t="s">
        <v>117</v>
      </c>
      <c r="U294" s="3" t="s">
        <v>1385</v>
      </c>
      <c r="AO294" s="15"/>
      <c r="AP294" s="15"/>
      <c r="AQ294" s="15"/>
      <c r="AR294" s="23"/>
      <c r="AS294" s="15"/>
      <c r="AT294" s="15"/>
      <c r="AU294" s="23"/>
      <c r="AV294" s="23"/>
    </row>
    <row r="295" spans="1:48" x14ac:dyDescent="0.25">
      <c r="A295" t="s">
        <v>133</v>
      </c>
      <c r="B295" t="s">
        <v>7</v>
      </c>
      <c r="C295" s="10">
        <v>-13</v>
      </c>
      <c r="D295" t="s">
        <v>589</v>
      </c>
      <c r="E295" s="2">
        <f t="shared" si="76"/>
        <v>46209</v>
      </c>
      <c r="F295" s="3">
        <f t="shared" si="75"/>
        <v>0.55138888888888882</v>
      </c>
      <c r="G295" t="s">
        <v>135</v>
      </c>
      <c r="H295" t="s">
        <v>136</v>
      </c>
      <c r="I295" t="s">
        <v>11</v>
      </c>
      <c r="J295" s="2">
        <v>46209</v>
      </c>
      <c r="K295" s="1">
        <v>0.55902777777777779</v>
      </c>
      <c r="L295" s="10">
        <f t="shared" si="71"/>
        <v>11.000000000000121</v>
      </c>
      <c r="M295" s="1" t="str">
        <f t="shared" si="77"/>
        <v>On Time</v>
      </c>
      <c r="N295" s="27" t="str">
        <f t="shared" si="72"/>
        <v>airBaltic</v>
      </c>
      <c r="O295" s="3" t="s">
        <v>1385</v>
      </c>
      <c r="P295" s="20">
        <f t="shared" si="73"/>
        <v>13</v>
      </c>
      <c r="Q295" s="3" t="s">
        <v>1385</v>
      </c>
      <c r="R295" s="23" t="str">
        <f t="shared" si="74"/>
        <v>Monday</v>
      </c>
      <c r="S295" s="3" t="s">
        <v>1385</v>
      </c>
      <c r="T295" s="23" t="s">
        <v>7</v>
      </c>
      <c r="U295" s="3" t="s">
        <v>1385</v>
      </c>
      <c r="AO295" s="15"/>
      <c r="AP295" s="15"/>
      <c r="AQ295" s="15"/>
      <c r="AR295" s="23"/>
      <c r="AS295" s="15"/>
      <c r="AT295" s="15"/>
      <c r="AU295" s="23"/>
      <c r="AV295" s="23"/>
    </row>
    <row r="296" spans="1:48" x14ac:dyDescent="0.25">
      <c r="A296" t="s">
        <v>123</v>
      </c>
      <c r="B296" t="s">
        <v>124</v>
      </c>
      <c r="D296" t="s">
        <v>590</v>
      </c>
      <c r="E296" s="2">
        <f t="shared" si="76"/>
        <v>46209</v>
      </c>
      <c r="F296" s="3">
        <f t="shared" si="75"/>
        <v>0.54999999999999993</v>
      </c>
      <c r="G296" t="s">
        <v>119</v>
      </c>
      <c r="H296" t="s">
        <v>120</v>
      </c>
      <c r="I296" t="s">
        <v>249</v>
      </c>
      <c r="J296" s="2">
        <v>46209</v>
      </c>
      <c r="K296" s="1">
        <v>0.56319444444444444</v>
      </c>
      <c r="L296" s="10">
        <f t="shared" si="71"/>
        <v>19.000000000000092</v>
      </c>
      <c r="M296" s="1" t="str">
        <f t="shared" si="77"/>
        <v>On Time</v>
      </c>
      <c r="N296" s="27" t="str">
        <f t="shared" si="72"/>
        <v>GetJet Airlines</v>
      </c>
      <c r="O296" s="3" t="s">
        <v>1385</v>
      </c>
      <c r="P296" s="20">
        <f t="shared" si="73"/>
        <v>13</v>
      </c>
      <c r="Q296" s="3" t="s">
        <v>1385</v>
      </c>
      <c r="R296" s="23" t="str">
        <f t="shared" si="74"/>
        <v>Monday</v>
      </c>
      <c r="S296" s="3" t="s">
        <v>1385</v>
      </c>
      <c r="T296" s="23" t="s">
        <v>124</v>
      </c>
      <c r="U296" s="3" t="s">
        <v>1385</v>
      </c>
      <c r="AO296" s="15"/>
      <c r="AP296" s="15"/>
      <c r="AQ296" s="15"/>
      <c r="AR296" s="23"/>
      <c r="AS296" s="15"/>
      <c r="AT296" s="15"/>
      <c r="AU296" s="23"/>
      <c r="AV296" s="23"/>
    </row>
    <row r="297" spans="1:48" x14ac:dyDescent="0.25">
      <c r="A297" t="s">
        <v>591</v>
      </c>
      <c r="B297" t="s">
        <v>7</v>
      </c>
      <c r="C297" s="10">
        <v>-18</v>
      </c>
      <c r="D297" t="s">
        <v>137</v>
      </c>
      <c r="E297" s="2">
        <f t="shared" si="76"/>
        <v>46209</v>
      </c>
      <c r="F297" s="3">
        <f t="shared" si="75"/>
        <v>0.56388888888888888</v>
      </c>
      <c r="G297" t="s">
        <v>252</v>
      </c>
      <c r="H297" t="s">
        <v>253</v>
      </c>
      <c r="I297" t="s">
        <v>11</v>
      </c>
      <c r="J297" s="2">
        <v>46209</v>
      </c>
      <c r="K297" s="1">
        <v>0.56944444444444442</v>
      </c>
      <c r="L297" s="10">
        <f t="shared" si="71"/>
        <v>7.9999999999999716</v>
      </c>
      <c r="M297" s="1" t="str">
        <f t="shared" si="77"/>
        <v>On Time</v>
      </c>
      <c r="N297" s="27" t="str">
        <f t="shared" si="72"/>
        <v>airBaltic</v>
      </c>
      <c r="O297" s="3" t="s">
        <v>1385</v>
      </c>
      <c r="P297" s="20">
        <f t="shared" si="73"/>
        <v>13</v>
      </c>
      <c r="Q297" s="3" t="s">
        <v>1385</v>
      </c>
      <c r="R297" s="23" t="str">
        <f t="shared" si="74"/>
        <v>Monday</v>
      </c>
      <c r="S297" s="3" t="s">
        <v>1385</v>
      </c>
      <c r="T297" s="23" t="s">
        <v>7</v>
      </c>
      <c r="U297" s="3" t="s">
        <v>1385</v>
      </c>
      <c r="AO297" s="15"/>
      <c r="AP297" s="15"/>
      <c r="AQ297" s="15"/>
      <c r="AR297" s="23"/>
      <c r="AS297" s="15"/>
      <c r="AT297" s="15"/>
      <c r="AU297" s="23"/>
      <c r="AV297" s="23"/>
    </row>
    <row r="298" spans="1:48" x14ac:dyDescent="0.25">
      <c r="A298" t="s">
        <v>436</v>
      </c>
      <c r="B298" t="s">
        <v>592</v>
      </c>
      <c r="C298" s="10">
        <v>-4</v>
      </c>
      <c r="D298" t="s">
        <v>128</v>
      </c>
      <c r="E298" s="2">
        <f t="shared" si="76"/>
        <v>46209</v>
      </c>
      <c r="F298" s="3">
        <f t="shared" si="75"/>
        <v>0.54583333333333328</v>
      </c>
      <c r="G298" t="s">
        <v>119</v>
      </c>
      <c r="H298" t="s">
        <v>120</v>
      </c>
      <c r="I298" t="s">
        <v>83</v>
      </c>
      <c r="J298" s="2">
        <v>46209</v>
      </c>
      <c r="K298" s="1">
        <v>0.56944444444444442</v>
      </c>
      <c r="L298" s="10">
        <f t="shared" si="71"/>
        <v>34.000000000000043</v>
      </c>
      <c r="M298" s="1" t="str">
        <f t="shared" si="77"/>
        <v>On Time</v>
      </c>
      <c r="N298" s="27" t="e">
        <f t="shared" si="72"/>
        <v>#N/A</v>
      </c>
      <c r="O298" s="3" t="s">
        <v>1385</v>
      </c>
      <c r="P298" s="20">
        <f t="shared" si="73"/>
        <v>13</v>
      </c>
      <c r="Q298" s="3" t="s">
        <v>1385</v>
      </c>
      <c r="R298" s="23" t="str">
        <f t="shared" si="74"/>
        <v>Monday</v>
      </c>
      <c r="S298" s="3" t="s">
        <v>1385</v>
      </c>
      <c r="T298" s="23" t="s">
        <v>592</v>
      </c>
      <c r="U298" s="3" t="s">
        <v>1385</v>
      </c>
      <c r="AO298" s="15"/>
      <c r="AP298" s="15"/>
      <c r="AQ298" s="15"/>
      <c r="AR298" s="23"/>
      <c r="AS298" s="15"/>
      <c r="AT298" s="15"/>
      <c r="AU298" s="23"/>
      <c r="AV298" s="23"/>
    </row>
    <row r="299" spans="1:48" x14ac:dyDescent="0.25">
      <c r="A299" t="s">
        <v>141</v>
      </c>
      <c r="B299" t="s">
        <v>19</v>
      </c>
      <c r="C299" s="10">
        <v>-27</v>
      </c>
      <c r="D299" t="s">
        <v>593</v>
      </c>
      <c r="E299" s="2">
        <f t="shared" si="76"/>
        <v>46209</v>
      </c>
      <c r="F299" s="3">
        <f t="shared" si="75"/>
        <v>0.5805555555555556</v>
      </c>
      <c r="G299" t="s">
        <v>21</v>
      </c>
      <c r="H299" t="s">
        <v>22</v>
      </c>
      <c r="I299" t="s">
        <v>594</v>
      </c>
      <c r="J299" s="2">
        <v>46209</v>
      </c>
      <c r="K299" s="1">
        <v>0.57638888888888895</v>
      </c>
      <c r="L299" s="10">
        <f t="shared" si="71"/>
        <v>-5.9999999999999787</v>
      </c>
      <c r="M299" s="1" t="str">
        <f t="shared" si="77"/>
        <v>On Time</v>
      </c>
      <c r="N299" s="27" t="str">
        <f t="shared" si="72"/>
        <v>LOT</v>
      </c>
      <c r="O299" s="3" t="s">
        <v>1385</v>
      </c>
      <c r="P299" s="20">
        <f t="shared" si="73"/>
        <v>13</v>
      </c>
      <c r="Q299" s="3" t="s">
        <v>1385</v>
      </c>
      <c r="R299" s="23" t="str">
        <f t="shared" si="74"/>
        <v>Monday</v>
      </c>
      <c r="S299" s="3" t="s">
        <v>1385</v>
      </c>
      <c r="T299" s="23" t="s">
        <v>19</v>
      </c>
      <c r="U299" s="3" t="s">
        <v>1385</v>
      </c>
      <c r="AO299" s="15"/>
      <c r="AP299" s="15"/>
      <c r="AQ299" s="15"/>
      <c r="AR299" s="23"/>
      <c r="AS299" s="15"/>
      <c r="AT299" s="15"/>
      <c r="AU299" s="23"/>
      <c r="AV299" s="23"/>
    </row>
    <row r="300" spans="1:48" x14ac:dyDescent="0.25">
      <c r="A300" t="s">
        <v>327</v>
      </c>
      <c r="B300" t="s">
        <v>13</v>
      </c>
      <c r="C300" s="10">
        <v>-7</v>
      </c>
      <c r="D300" t="s">
        <v>595</v>
      </c>
      <c r="E300" s="2">
        <f t="shared" si="76"/>
        <v>46209</v>
      </c>
      <c r="F300" s="3">
        <f t="shared" si="75"/>
        <v>0.57847222222222217</v>
      </c>
      <c r="G300" t="s">
        <v>329</v>
      </c>
      <c r="H300" t="s">
        <v>330</v>
      </c>
      <c r="I300" t="s">
        <v>17</v>
      </c>
      <c r="J300" s="2">
        <v>46209</v>
      </c>
      <c r="K300" s="1">
        <v>0.59027777777777779</v>
      </c>
      <c r="L300" s="10">
        <f t="shared" si="71"/>
        <v>17.000000000000099</v>
      </c>
      <c r="M300" s="1" t="str">
        <f t="shared" si="77"/>
        <v>On Time</v>
      </c>
      <c r="N300" s="27" t="str">
        <f t="shared" si="72"/>
        <v>Wizz Air</v>
      </c>
      <c r="O300" s="3" t="s">
        <v>1385</v>
      </c>
      <c r="P300" s="20">
        <f t="shared" si="73"/>
        <v>13</v>
      </c>
      <c r="Q300" s="3" t="s">
        <v>1385</v>
      </c>
      <c r="R300" s="23" t="str">
        <f t="shared" si="74"/>
        <v>Monday</v>
      </c>
      <c r="S300" s="3" t="s">
        <v>1385</v>
      </c>
      <c r="T300" s="23" t="s">
        <v>13</v>
      </c>
      <c r="U300" s="3" t="s">
        <v>1385</v>
      </c>
      <c r="AO300" s="15"/>
      <c r="AP300" s="15"/>
      <c r="AQ300" s="15"/>
      <c r="AR300" s="23"/>
      <c r="AS300" s="15"/>
      <c r="AT300" s="15"/>
      <c r="AU300" s="23"/>
      <c r="AV300" s="23"/>
    </row>
    <row r="301" spans="1:48" x14ac:dyDescent="0.25">
      <c r="A301" t="s">
        <v>393</v>
      </c>
      <c r="B301" t="s">
        <v>85</v>
      </c>
      <c r="C301" s="10">
        <v>-11</v>
      </c>
      <c r="D301" t="s">
        <v>596</v>
      </c>
      <c r="E301" s="2">
        <f t="shared" si="76"/>
        <v>46209</v>
      </c>
      <c r="F301" s="3">
        <f t="shared" si="75"/>
        <v>0.60277777777777775</v>
      </c>
      <c r="G301" t="s">
        <v>153</v>
      </c>
      <c r="H301" t="s">
        <v>154</v>
      </c>
      <c r="I301" t="s">
        <v>89</v>
      </c>
      <c r="J301" s="2">
        <v>46209</v>
      </c>
      <c r="K301" s="1">
        <v>0.61458333333333337</v>
      </c>
      <c r="L301" s="10">
        <f t="shared" si="71"/>
        <v>17.000000000000099</v>
      </c>
      <c r="M301" s="1" t="str">
        <f t="shared" si="77"/>
        <v>On Time</v>
      </c>
      <c r="N301" s="27" t="str">
        <f t="shared" si="72"/>
        <v>Ryanair</v>
      </c>
      <c r="O301" s="3" t="s">
        <v>1385</v>
      </c>
      <c r="P301" s="20">
        <f t="shared" si="73"/>
        <v>14</v>
      </c>
      <c r="Q301" s="3" t="s">
        <v>1385</v>
      </c>
      <c r="R301" s="23" t="str">
        <f t="shared" si="74"/>
        <v>Monday</v>
      </c>
      <c r="S301" s="3" t="s">
        <v>1385</v>
      </c>
      <c r="T301" s="23" t="s">
        <v>85</v>
      </c>
      <c r="U301" s="3" t="s">
        <v>1385</v>
      </c>
      <c r="AO301" s="15"/>
      <c r="AP301" s="15"/>
      <c r="AQ301" s="15"/>
      <c r="AR301" s="23"/>
      <c r="AS301" s="15"/>
      <c r="AT301" s="15"/>
      <c r="AU301" s="23"/>
      <c r="AV301" s="23"/>
    </row>
    <row r="302" spans="1:48" x14ac:dyDescent="0.25">
      <c r="A302" t="s">
        <v>512</v>
      </c>
      <c r="B302" t="s">
        <v>513</v>
      </c>
      <c r="C302" s="10">
        <v>-22</v>
      </c>
      <c r="D302" t="s">
        <v>597</v>
      </c>
      <c r="E302" s="2">
        <f t="shared" si="76"/>
        <v>46209</v>
      </c>
      <c r="F302" s="3">
        <f t="shared" si="75"/>
        <v>0.63750000000000007</v>
      </c>
      <c r="G302" t="s">
        <v>65</v>
      </c>
      <c r="H302" t="s">
        <v>66</v>
      </c>
      <c r="I302" t="s">
        <v>67</v>
      </c>
      <c r="J302" s="2">
        <v>46209</v>
      </c>
      <c r="K302" s="1">
        <v>0.63194444444444442</v>
      </c>
      <c r="L302" s="10">
        <f t="shared" si="71"/>
        <v>-8.0000000000001315</v>
      </c>
      <c r="M302" s="1" t="str">
        <f t="shared" si="77"/>
        <v>On Time</v>
      </c>
      <c r="N302" s="27" t="e">
        <f t="shared" si="72"/>
        <v>#N/A</v>
      </c>
      <c r="O302" s="3" t="s">
        <v>1385</v>
      </c>
      <c r="P302" s="20">
        <f t="shared" si="73"/>
        <v>15</v>
      </c>
      <c r="Q302" s="3" t="s">
        <v>1385</v>
      </c>
      <c r="R302" s="23" t="str">
        <f t="shared" si="74"/>
        <v>Monday</v>
      </c>
      <c r="S302" s="3" t="s">
        <v>1385</v>
      </c>
      <c r="T302" s="23" t="s">
        <v>513</v>
      </c>
      <c r="U302" s="3" t="s">
        <v>1385</v>
      </c>
      <c r="AO302" s="15"/>
      <c r="AP302" s="15"/>
      <c r="AQ302" s="15"/>
      <c r="AR302" s="23"/>
      <c r="AS302" s="15"/>
      <c r="AT302" s="15"/>
      <c r="AU302" s="23"/>
      <c r="AV302" s="23"/>
    </row>
    <row r="303" spans="1:48" x14ac:dyDescent="0.25">
      <c r="A303" t="s">
        <v>156</v>
      </c>
      <c r="B303" t="s">
        <v>41</v>
      </c>
      <c r="C303" s="10">
        <v>-11</v>
      </c>
      <c r="D303" t="s">
        <v>598</v>
      </c>
      <c r="E303" s="2">
        <f t="shared" si="76"/>
        <v>46209</v>
      </c>
      <c r="F303" s="3">
        <f t="shared" si="75"/>
        <v>0.62916666666666665</v>
      </c>
      <c r="G303" t="s">
        <v>43</v>
      </c>
      <c r="H303" t="s">
        <v>44</v>
      </c>
      <c r="I303" t="s">
        <v>158</v>
      </c>
      <c r="J303" s="2">
        <v>46209</v>
      </c>
      <c r="K303" s="1">
        <v>0.63541666666666663</v>
      </c>
      <c r="L303" s="10">
        <f t="shared" si="71"/>
        <v>8.999999999999968</v>
      </c>
      <c r="M303" s="1" t="str">
        <f t="shared" si="77"/>
        <v>On Time</v>
      </c>
      <c r="N303" s="27" t="str">
        <f t="shared" si="72"/>
        <v>SAS</v>
      </c>
      <c r="O303" s="3" t="s">
        <v>1385</v>
      </c>
      <c r="P303" s="20">
        <f t="shared" si="73"/>
        <v>15</v>
      </c>
      <c r="Q303" s="3" t="s">
        <v>1385</v>
      </c>
      <c r="R303" s="23" t="str">
        <f t="shared" si="74"/>
        <v>Monday</v>
      </c>
      <c r="S303" s="3" t="s">
        <v>1385</v>
      </c>
      <c r="T303" s="23" t="s">
        <v>41</v>
      </c>
      <c r="U303" s="3" t="s">
        <v>1385</v>
      </c>
      <c r="AO303" s="15"/>
      <c r="AP303" s="15"/>
      <c r="AQ303" s="15"/>
      <c r="AR303" s="23"/>
      <c r="AS303" s="15"/>
      <c r="AT303" s="15"/>
      <c r="AU303" s="23"/>
      <c r="AV303" s="23"/>
    </row>
    <row r="304" spans="1:48" x14ac:dyDescent="0.25">
      <c r="A304" t="s">
        <v>254</v>
      </c>
      <c r="B304" t="s">
        <v>85</v>
      </c>
      <c r="C304" s="10">
        <v>-20</v>
      </c>
      <c r="D304" t="s">
        <v>599</v>
      </c>
      <c r="E304" s="2">
        <f t="shared" si="76"/>
        <v>46209</v>
      </c>
      <c r="F304" s="3">
        <f t="shared" si="75"/>
        <v>0.64236111111111105</v>
      </c>
      <c r="G304" t="s">
        <v>256</v>
      </c>
      <c r="H304" t="s">
        <v>257</v>
      </c>
      <c r="I304" t="s">
        <v>162</v>
      </c>
      <c r="J304" s="2">
        <v>46209</v>
      </c>
      <c r="K304" s="1">
        <v>0.64236111111111105</v>
      </c>
      <c r="L304" s="10">
        <f t="shared" si="71"/>
        <v>0</v>
      </c>
      <c r="M304" s="1" t="str">
        <f t="shared" si="77"/>
        <v>On Time</v>
      </c>
      <c r="N304" s="27" t="str">
        <f t="shared" si="72"/>
        <v>Ryanair</v>
      </c>
      <c r="O304" s="3" t="s">
        <v>1385</v>
      </c>
      <c r="P304" s="20">
        <f t="shared" si="73"/>
        <v>15</v>
      </c>
      <c r="Q304" s="3" t="s">
        <v>1385</v>
      </c>
      <c r="R304" s="23" t="str">
        <f t="shared" si="74"/>
        <v>Monday</v>
      </c>
      <c r="S304" s="3" t="s">
        <v>1385</v>
      </c>
      <c r="T304" s="23" t="s">
        <v>85</v>
      </c>
      <c r="U304" s="3" t="s">
        <v>1385</v>
      </c>
      <c r="AO304" s="15"/>
      <c r="AP304" s="15"/>
      <c r="AQ304" s="15"/>
      <c r="AR304" s="23"/>
      <c r="AS304" s="15"/>
      <c r="AT304" s="15"/>
      <c r="AU304" s="23"/>
      <c r="AV304" s="23"/>
    </row>
    <row r="305" spans="1:48" x14ac:dyDescent="0.25">
      <c r="A305" t="s">
        <v>335</v>
      </c>
      <c r="B305" t="s">
        <v>7</v>
      </c>
      <c r="C305" s="10">
        <v>-12</v>
      </c>
      <c r="D305" t="s">
        <v>345</v>
      </c>
      <c r="E305" s="2">
        <f t="shared" si="76"/>
        <v>46209</v>
      </c>
      <c r="F305" s="3">
        <f t="shared" si="75"/>
        <v>0.63263888888888886</v>
      </c>
      <c r="G305" t="s">
        <v>337</v>
      </c>
      <c r="H305" t="s">
        <v>338</v>
      </c>
      <c r="I305" t="s">
        <v>11</v>
      </c>
      <c r="J305" s="2">
        <v>46209</v>
      </c>
      <c r="K305" s="1">
        <v>0.64236111111111105</v>
      </c>
      <c r="L305" s="10">
        <f t="shared" si="71"/>
        <v>13.99999999999995</v>
      </c>
      <c r="M305" s="1" t="str">
        <f t="shared" si="77"/>
        <v>On Time</v>
      </c>
      <c r="N305" s="27" t="str">
        <f t="shared" si="72"/>
        <v>airBaltic</v>
      </c>
      <c r="O305" s="3" t="s">
        <v>1385</v>
      </c>
      <c r="P305" s="20">
        <f t="shared" si="73"/>
        <v>15</v>
      </c>
      <c r="Q305" s="3" t="s">
        <v>1385</v>
      </c>
      <c r="R305" s="23" t="str">
        <f t="shared" si="74"/>
        <v>Monday</v>
      </c>
      <c r="S305" s="3" t="s">
        <v>1385</v>
      </c>
      <c r="T305" s="23" t="s">
        <v>7</v>
      </c>
      <c r="U305" s="3" t="s">
        <v>1385</v>
      </c>
      <c r="AO305" s="15"/>
      <c r="AP305" s="15"/>
      <c r="AQ305" s="15"/>
      <c r="AR305" s="23"/>
      <c r="AS305" s="15"/>
      <c r="AT305" s="15"/>
      <c r="AU305" s="23"/>
      <c r="AV305" s="23"/>
    </row>
    <row r="306" spans="1:48" x14ac:dyDescent="0.25">
      <c r="A306" t="s">
        <v>348</v>
      </c>
      <c r="B306" t="s">
        <v>13</v>
      </c>
      <c r="C306" s="10">
        <v>-23</v>
      </c>
      <c r="D306" t="s">
        <v>600</v>
      </c>
      <c r="E306" s="2">
        <f t="shared" si="76"/>
        <v>46209</v>
      </c>
      <c r="F306" s="3">
        <f t="shared" si="75"/>
        <v>0.65555555555555556</v>
      </c>
      <c r="G306" t="s">
        <v>349</v>
      </c>
      <c r="H306" t="s">
        <v>350</v>
      </c>
      <c r="I306" t="s">
        <v>17</v>
      </c>
      <c r="J306" s="2">
        <v>46209</v>
      </c>
      <c r="K306" s="1">
        <v>0.64930555555555558</v>
      </c>
      <c r="L306" s="10">
        <f t="shared" si="71"/>
        <v>-8.999999999999968</v>
      </c>
      <c r="M306" s="1" t="str">
        <f t="shared" si="77"/>
        <v>On Time</v>
      </c>
      <c r="N306" s="27" t="str">
        <f t="shared" si="72"/>
        <v>Wizz Air</v>
      </c>
      <c r="O306" s="3" t="s">
        <v>1385</v>
      </c>
      <c r="P306" s="20">
        <f t="shared" si="73"/>
        <v>15</v>
      </c>
      <c r="Q306" s="3" t="s">
        <v>1385</v>
      </c>
      <c r="R306" s="23" t="str">
        <f t="shared" si="74"/>
        <v>Monday</v>
      </c>
      <c r="S306" s="3" t="s">
        <v>1385</v>
      </c>
      <c r="T306" s="23" t="s">
        <v>13</v>
      </c>
      <c r="U306" s="3" t="s">
        <v>1385</v>
      </c>
      <c r="AO306" s="15"/>
      <c r="AP306" s="15"/>
      <c r="AQ306" s="15"/>
      <c r="AR306" s="23"/>
      <c r="AS306" s="15"/>
      <c r="AT306" s="15"/>
      <c r="AU306" s="23"/>
      <c r="AV306" s="23"/>
    </row>
    <row r="307" spans="1:48" x14ac:dyDescent="0.25">
      <c r="A307" t="s">
        <v>148</v>
      </c>
      <c r="B307" t="s">
        <v>7</v>
      </c>
      <c r="C307" s="10">
        <v>-6</v>
      </c>
      <c r="D307" t="s">
        <v>601</v>
      </c>
      <c r="E307" s="2">
        <f t="shared" si="76"/>
        <v>46209</v>
      </c>
      <c r="F307" s="3">
        <f t="shared" si="75"/>
        <v>0.65902777777777777</v>
      </c>
      <c r="G307" t="s">
        <v>9</v>
      </c>
      <c r="H307" t="s">
        <v>10</v>
      </c>
      <c r="I307" t="s">
        <v>11</v>
      </c>
      <c r="J307" s="2">
        <v>46209</v>
      </c>
      <c r="K307" s="1">
        <v>0.67013888888888884</v>
      </c>
      <c r="L307" s="10">
        <f t="shared" si="71"/>
        <v>15.999999999999943</v>
      </c>
      <c r="M307" s="1" t="str">
        <f t="shared" si="77"/>
        <v>On Time</v>
      </c>
      <c r="N307" s="27" t="str">
        <f t="shared" si="72"/>
        <v>airBaltic</v>
      </c>
      <c r="O307" s="3" t="s">
        <v>1385</v>
      </c>
      <c r="P307" s="20">
        <f t="shared" si="73"/>
        <v>15</v>
      </c>
      <c r="Q307" s="3" t="s">
        <v>1385</v>
      </c>
      <c r="R307" s="23" t="str">
        <f t="shared" si="74"/>
        <v>Monday</v>
      </c>
      <c r="S307" s="3" t="s">
        <v>1385</v>
      </c>
      <c r="T307" s="23" t="s">
        <v>7</v>
      </c>
      <c r="U307" s="3" t="s">
        <v>1385</v>
      </c>
      <c r="AO307" s="15"/>
      <c r="AP307" s="15"/>
      <c r="AQ307" s="15"/>
      <c r="AR307" s="23"/>
      <c r="AS307" s="15"/>
      <c r="AT307" s="15"/>
      <c r="AU307" s="23"/>
      <c r="AV307" s="23"/>
    </row>
    <row r="308" spans="1:48" x14ac:dyDescent="0.25">
      <c r="A308" t="s">
        <v>175</v>
      </c>
      <c r="B308" t="s">
        <v>19</v>
      </c>
      <c r="C308" s="10">
        <v>-19</v>
      </c>
      <c r="D308" t="s">
        <v>602</v>
      </c>
      <c r="E308" s="2">
        <f t="shared" si="76"/>
        <v>46209</v>
      </c>
      <c r="F308" s="3">
        <f t="shared" si="75"/>
        <v>0.6791666666666667</v>
      </c>
      <c r="G308" t="s">
        <v>21</v>
      </c>
      <c r="H308" t="s">
        <v>22</v>
      </c>
      <c r="I308" t="s">
        <v>177</v>
      </c>
      <c r="J308" s="2">
        <v>46209</v>
      </c>
      <c r="K308" s="1">
        <v>0.68055555555555547</v>
      </c>
      <c r="L308" s="10">
        <f t="shared" si="71"/>
        <v>1.999999999999833</v>
      </c>
      <c r="M308" s="1" t="str">
        <f t="shared" si="77"/>
        <v>On Time</v>
      </c>
      <c r="N308" s="27" t="str">
        <f t="shared" si="72"/>
        <v>LOT</v>
      </c>
      <c r="O308" s="3" t="s">
        <v>1385</v>
      </c>
      <c r="P308" s="20">
        <f t="shared" si="73"/>
        <v>16</v>
      </c>
      <c r="Q308" s="3" t="s">
        <v>1385</v>
      </c>
      <c r="R308" s="23" t="str">
        <f t="shared" si="74"/>
        <v>Monday</v>
      </c>
      <c r="S308" s="3" t="s">
        <v>1385</v>
      </c>
      <c r="T308" s="23" t="s">
        <v>19</v>
      </c>
      <c r="U308" s="3" t="s">
        <v>1385</v>
      </c>
      <c r="AO308" s="15"/>
      <c r="AP308" s="15"/>
      <c r="AQ308" s="15"/>
      <c r="AR308" s="23"/>
      <c r="AS308" s="15"/>
      <c r="AT308" s="15"/>
      <c r="AU308" s="23"/>
      <c r="AV308" s="23"/>
    </row>
    <row r="309" spans="1:48" x14ac:dyDescent="0.25">
      <c r="A309" t="s">
        <v>372</v>
      </c>
      <c r="B309" t="s">
        <v>85</v>
      </c>
      <c r="C309" s="10">
        <v>-9</v>
      </c>
      <c r="D309" t="s">
        <v>603</v>
      </c>
      <c r="E309" s="2">
        <f t="shared" si="76"/>
        <v>46209</v>
      </c>
      <c r="F309" s="3">
        <f t="shared" si="75"/>
        <v>0.70208333333333339</v>
      </c>
      <c r="G309" t="s">
        <v>368</v>
      </c>
      <c r="H309" t="s">
        <v>369</v>
      </c>
      <c r="I309" t="s">
        <v>89</v>
      </c>
      <c r="J309" s="2">
        <v>46209</v>
      </c>
      <c r="K309" s="1">
        <v>0.71180555555555547</v>
      </c>
      <c r="L309" s="10">
        <f t="shared" si="71"/>
        <v>13.99999999999979</v>
      </c>
      <c r="M309" s="1" t="str">
        <f t="shared" si="77"/>
        <v>On Time</v>
      </c>
      <c r="N309" s="27" t="str">
        <f t="shared" si="72"/>
        <v>Ryanair</v>
      </c>
      <c r="O309" s="3" t="s">
        <v>1385</v>
      </c>
      <c r="P309" s="20">
        <f t="shared" si="73"/>
        <v>16</v>
      </c>
      <c r="Q309" s="3" t="s">
        <v>1385</v>
      </c>
      <c r="R309" s="23" t="str">
        <f t="shared" si="74"/>
        <v>Monday</v>
      </c>
      <c r="S309" s="3" t="s">
        <v>1385</v>
      </c>
      <c r="T309" s="23" t="s">
        <v>85</v>
      </c>
      <c r="U309" s="3" t="s">
        <v>1385</v>
      </c>
      <c r="AO309" s="15"/>
      <c r="AP309" s="15"/>
      <c r="AQ309" s="15"/>
      <c r="AR309" s="23"/>
      <c r="AS309" s="15"/>
      <c r="AT309" s="15"/>
      <c r="AU309" s="23"/>
      <c r="AV309" s="23"/>
    </row>
    <row r="310" spans="1:48" x14ac:dyDescent="0.25">
      <c r="A310" t="s">
        <v>182</v>
      </c>
      <c r="B310" t="s">
        <v>69</v>
      </c>
      <c r="C310" s="10">
        <v>-10</v>
      </c>
      <c r="D310" t="s">
        <v>604</v>
      </c>
      <c r="E310" s="2">
        <f t="shared" si="76"/>
        <v>46209</v>
      </c>
      <c r="F310" s="3">
        <f t="shared" si="75"/>
        <v>0.74236111111111114</v>
      </c>
      <c r="G310" t="s">
        <v>71</v>
      </c>
      <c r="H310" t="s">
        <v>72</v>
      </c>
      <c r="I310" t="s">
        <v>73</v>
      </c>
      <c r="J310" s="2">
        <v>46209</v>
      </c>
      <c r="K310" s="1">
        <v>0.74305555555555547</v>
      </c>
      <c r="L310" s="10">
        <f t="shared" si="71"/>
        <v>0.99999999999983658</v>
      </c>
      <c r="M310" s="1" t="str">
        <f t="shared" si="77"/>
        <v>On Time</v>
      </c>
      <c r="N310" s="27" t="str">
        <f t="shared" si="72"/>
        <v>Finnair</v>
      </c>
      <c r="O310" s="3" t="s">
        <v>1385</v>
      </c>
      <c r="P310" s="20">
        <f t="shared" si="73"/>
        <v>17</v>
      </c>
      <c r="Q310" s="3" t="s">
        <v>1385</v>
      </c>
      <c r="R310" s="23" t="str">
        <f t="shared" si="74"/>
        <v>Monday</v>
      </c>
      <c r="S310" s="3" t="s">
        <v>1385</v>
      </c>
      <c r="T310" s="23" t="s">
        <v>69</v>
      </c>
      <c r="U310" s="3" t="s">
        <v>1385</v>
      </c>
      <c r="AO310" s="15"/>
      <c r="AP310" s="15"/>
      <c r="AQ310" s="15"/>
      <c r="AR310" s="23"/>
      <c r="AS310" s="15"/>
      <c r="AT310" s="15"/>
      <c r="AU310" s="23"/>
      <c r="AV310" s="23"/>
    </row>
    <row r="311" spans="1:48" x14ac:dyDescent="0.25">
      <c r="A311" t="s">
        <v>186</v>
      </c>
      <c r="B311" t="s">
        <v>19</v>
      </c>
      <c r="C311" s="10">
        <v>-21</v>
      </c>
      <c r="D311" t="s">
        <v>605</v>
      </c>
      <c r="E311" s="2">
        <f t="shared" si="76"/>
        <v>46209</v>
      </c>
      <c r="F311" s="3">
        <f t="shared" si="75"/>
        <v>0.77013888888888893</v>
      </c>
      <c r="G311" t="s">
        <v>21</v>
      </c>
      <c r="H311" t="s">
        <v>22</v>
      </c>
      <c r="I311" t="s">
        <v>177</v>
      </c>
      <c r="J311" s="2">
        <v>46209</v>
      </c>
      <c r="K311" s="1">
        <v>0.77430555555555547</v>
      </c>
      <c r="L311" s="10">
        <f t="shared" si="71"/>
        <v>5.9999999999998188</v>
      </c>
      <c r="M311" s="1" t="str">
        <f t="shared" si="77"/>
        <v>On Time</v>
      </c>
      <c r="N311" s="27" t="str">
        <f t="shared" si="72"/>
        <v>LOT</v>
      </c>
      <c r="O311" s="3" t="s">
        <v>1385</v>
      </c>
      <c r="P311" s="20">
        <f t="shared" si="73"/>
        <v>18</v>
      </c>
      <c r="Q311" s="3" t="s">
        <v>1385</v>
      </c>
      <c r="R311" s="23" t="str">
        <f t="shared" si="74"/>
        <v>Monday</v>
      </c>
      <c r="S311" s="3" t="s">
        <v>1385</v>
      </c>
      <c r="T311" s="23" t="s">
        <v>19</v>
      </c>
      <c r="U311" s="3" t="s">
        <v>1385</v>
      </c>
      <c r="AO311" s="15"/>
      <c r="AP311" s="15"/>
      <c r="AQ311" s="15"/>
      <c r="AR311" s="23"/>
      <c r="AS311" s="15"/>
      <c r="AT311" s="15"/>
      <c r="AU311" s="23"/>
      <c r="AV311" s="23"/>
    </row>
    <row r="312" spans="1:48" x14ac:dyDescent="0.25">
      <c r="A312" t="s">
        <v>78</v>
      </c>
      <c r="B312" t="s">
        <v>606</v>
      </c>
      <c r="C312" s="10">
        <v>-99</v>
      </c>
      <c r="D312" t="s">
        <v>607</v>
      </c>
      <c r="E312" s="2">
        <f t="shared" si="76"/>
        <v>46209</v>
      </c>
      <c r="F312" s="3">
        <f t="shared" si="75"/>
        <v>0.83750000000000002</v>
      </c>
      <c r="G312" t="s">
        <v>81</v>
      </c>
      <c r="H312" t="s">
        <v>82</v>
      </c>
      <c r="I312" t="s">
        <v>67</v>
      </c>
      <c r="J312" s="2">
        <v>46209</v>
      </c>
      <c r="K312" s="1">
        <v>0.78125</v>
      </c>
      <c r="L312" s="10">
        <f t="shared" si="71"/>
        <v>-81.000000000000028</v>
      </c>
      <c r="M312" s="1" t="str">
        <f t="shared" si="77"/>
        <v>Delayed</v>
      </c>
      <c r="N312" s="27" t="e">
        <f t="shared" si="72"/>
        <v>#N/A</v>
      </c>
      <c r="O312" s="3" t="s">
        <v>1318</v>
      </c>
      <c r="P312" s="20">
        <f t="shared" si="73"/>
        <v>20</v>
      </c>
      <c r="Q312" s="3" t="s">
        <v>1318</v>
      </c>
      <c r="R312" s="23" t="str">
        <f t="shared" si="74"/>
        <v>Monday</v>
      </c>
      <c r="S312" s="3" t="s">
        <v>1318</v>
      </c>
      <c r="T312" s="23" t="s">
        <v>606</v>
      </c>
      <c r="U312" s="3" t="s">
        <v>1318</v>
      </c>
      <c r="AO312" s="15"/>
      <c r="AP312" s="15"/>
      <c r="AQ312" s="15"/>
      <c r="AR312" s="23"/>
      <c r="AS312" s="15"/>
      <c r="AT312" s="15"/>
      <c r="AU312" s="23"/>
      <c r="AV312" s="23"/>
    </row>
    <row r="313" spans="1:48" x14ac:dyDescent="0.25">
      <c r="A313" t="s">
        <v>366</v>
      </c>
      <c r="B313" t="s">
        <v>13</v>
      </c>
      <c r="C313" s="10">
        <v>-6</v>
      </c>
      <c r="D313" t="s">
        <v>528</v>
      </c>
      <c r="E313" s="2">
        <f t="shared" si="76"/>
        <v>46209</v>
      </c>
      <c r="F313" s="3">
        <f t="shared" si="75"/>
        <v>0.76527777777777783</v>
      </c>
      <c r="G313" t="s">
        <v>368</v>
      </c>
      <c r="H313" t="s">
        <v>369</v>
      </c>
      <c r="I313" t="s">
        <v>17</v>
      </c>
      <c r="J313" s="2">
        <v>46209</v>
      </c>
      <c r="K313" s="1">
        <v>0.78125</v>
      </c>
      <c r="L313" s="10">
        <f t="shared" si="71"/>
        <v>22.999999999999918</v>
      </c>
      <c r="M313" s="1" t="str">
        <f t="shared" si="77"/>
        <v>On Time</v>
      </c>
      <c r="N313" s="27" t="str">
        <f t="shared" si="72"/>
        <v>Wizz Air</v>
      </c>
      <c r="O313" s="3" t="s">
        <v>1385</v>
      </c>
      <c r="P313" s="20">
        <f t="shared" si="73"/>
        <v>18</v>
      </c>
      <c r="Q313" s="3" t="s">
        <v>1385</v>
      </c>
      <c r="R313" s="23" t="str">
        <f t="shared" si="74"/>
        <v>Monday</v>
      </c>
      <c r="S313" s="3" t="s">
        <v>1385</v>
      </c>
      <c r="T313" s="23" t="s">
        <v>13</v>
      </c>
      <c r="U313" s="3" t="s">
        <v>1385</v>
      </c>
      <c r="AO313" s="15"/>
      <c r="AP313" s="15"/>
      <c r="AQ313" s="15"/>
      <c r="AR313" s="23"/>
      <c r="AS313" s="15"/>
      <c r="AT313" s="15"/>
      <c r="AU313" s="23"/>
      <c r="AV313" s="23"/>
    </row>
    <row r="314" spans="1:48" x14ac:dyDescent="0.25">
      <c r="A314" t="s">
        <v>189</v>
      </c>
      <c r="B314" t="s">
        <v>190</v>
      </c>
      <c r="C314" s="10">
        <v>-16</v>
      </c>
      <c r="D314" t="s">
        <v>193</v>
      </c>
      <c r="E314" s="2">
        <f t="shared" si="76"/>
        <v>46209</v>
      </c>
      <c r="F314" s="3">
        <f t="shared" si="75"/>
        <v>0.78263888888888899</v>
      </c>
      <c r="G314" t="s">
        <v>110</v>
      </c>
      <c r="H314" t="s">
        <v>111</v>
      </c>
      <c r="I314" t="s">
        <v>112</v>
      </c>
      <c r="J314" s="2">
        <v>46209</v>
      </c>
      <c r="K314" s="1">
        <v>0.78819444444444453</v>
      </c>
      <c r="L314" s="10">
        <f t="shared" si="71"/>
        <v>7.9999999999999716</v>
      </c>
      <c r="M314" s="1" t="str">
        <f t="shared" si="77"/>
        <v>On Time</v>
      </c>
      <c r="N314" s="27" t="str">
        <f t="shared" si="72"/>
        <v>Lufthansa</v>
      </c>
      <c r="O314" s="3" t="s">
        <v>1385</v>
      </c>
      <c r="P314" s="20">
        <f t="shared" si="73"/>
        <v>18</v>
      </c>
      <c r="Q314" s="3" t="s">
        <v>1385</v>
      </c>
      <c r="R314" s="23" t="str">
        <f t="shared" si="74"/>
        <v>Monday</v>
      </c>
      <c r="S314" s="3" t="s">
        <v>1385</v>
      </c>
      <c r="T314" s="23" t="s">
        <v>190</v>
      </c>
      <c r="U314" s="3" t="s">
        <v>1385</v>
      </c>
      <c r="AO314" s="15"/>
      <c r="AP314" s="15"/>
      <c r="AQ314" s="15"/>
      <c r="AR314" s="23"/>
      <c r="AS314" s="15"/>
      <c r="AT314" s="15"/>
      <c r="AU314" s="23"/>
      <c r="AV314" s="23"/>
    </row>
    <row r="315" spans="1:48" x14ac:dyDescent="0.25">
      <c r="A315" t="s">
        <v>208</v>
      </c>
      <c r="B315" t="s">
        <v>96</v>
      </c>
      <c r="C315" s="10">
        <v>-15</v>
      </c>
      <c r="D315" t="s">
        <v>608</v>
      </c>
      <c r="E315" s="2">
        <f t="shared" si="76"/>
        <v>46209</v>
      </c>
      <c r="F315" s="3">
        <f t="shared" si="75"/>
        <v>0.8041666666666667</v>
      </c>
      <c r="G315" t="s">
        <v>98</v>
      </c>
      <c r="H315" t="s">
        <v>99</v>
      </c>
      <c r="I315" t="s">
        <v>305</v>
      </c>
      <c r="J315" s="2">
        <v>46209</v>
      </c>
      <c r="K315" s="1">
        <v>0.8125</v>
      </c>
      <c r="L315" s="10">
        <f t="shared" si="71"/>
        <v>11.999999999999957</v>
      </c>
      <c r="M315" s="1" t="str">
        <f t="shared" si="77"/>
        <v>On Time</v>
      </c>
      <c r="N315" s="27" t="str">
        <f t="shared" si="72"/>
        <v>Turkish Airlines</v>
      </c>
      <c r="O315" s="3" t="s">
        <v>1385</v>
      </c>
      <c r="P315" s="20">
        <f t="shared" si="73"/>
        <v>19</v>
      </c>
      <c r="Q315" s="3" t="s">
        <v>1385</v>
      </c>
      <c r="R315" s="23" t="str">
        <f t="shared" si="74"/>
        <v>Monday</v>
      </c>
      <c r="S315" s="3" t="s">
        <v>1385</v>
      </c>
      <c r="T315" s="23" t="s">
        <v>96</v>
      </c>
      <c r="U315" s="3" t="s">
        <v>1385</v>
      </c>
      <c r="AO315" s="15"/>
      <c r="AP315" s="15"/>
      <c r="AQ315" s="15"/>
      <c r="AR315" s="23"/>
      <c r="AS315" s="15"/>
      <c r="AT315" s="15"/>
      <c r="AU315" s="23"/>
      <c r="AV315" s="23"/>
    </row>
    <row r="316" spans="1:48" x14ac:dyDescent="0.25">
      <c r="A316" t="s">
        <v>211</v>
      </c>
      <c r="B316" t="s">
        <v>7</v>
      </c>
      <c r="C316" s="10">
        <v>-31</v>
      </c>
      <c r="D316" t="s">
        <v>609</v>
      </c>
      <c r="E316" s="2">
        <f t="shared" si="76"/>
        <v>46209</v>
      </c>
      <c r="F316" s="3">
        <f t="shared" si="75"/>
        <v>0.82916666666666661</v>
      </c>
      <c r="G316" t="s">
        <v>135</v>
      </c>
      <c r="H316" t="s">
        <v>136</v>
      </c>
      <c r="I316" t="s">
        <v>11</v>
      </c>
      <c r="J316" s="2">
        <v>46209</v>
      </c>
      <c r="K316" s="1">
        <v>0.82638888888888884</v>
      </c>
      <c r="L316" s="10">
        <f t="shared" si="71"/>
        <v>-3.9999999999999858</v>
      </c>
      <c r="M316" s="1" t="str">
        <f t="shared" si="77"/>
        <v>On Time</v>
      </c>
      <c r="N316" s="27" t="str">
        <f t="shared" si="72"/>
        <v>airBaltic</v>
      </c>
      <c r="O316" s="3" t="s">
        <v>1385</v>
      </c>
      <c r="P316" s="20">
        <f t="shared" si="73"/>
        <v>19</v>
      </c>
      <c r="Q316" s="3" t="s">
        <v>1385</v>
      </c>
      <c r="R316" s="23" t="str">
        <f t="shared" si="74"/>
        <v>Monday</v>
      </c>
      <c r="S316" s="3" t="s">
        <v>1385</v>
      </c>
      <c r="T316" s="23" t="s">
        <v>7</v>
      </c>
      <c r="U316" s="3" t="s">
        <v>1385</v>
      </c>
      <c r="AO316" s="15"/>
      <c r="AP316" s="15"/>
      <c r="AQ316" s="15"/>
      <c r="AR316" s="23"/>
      <c r="AS316" s="15"/>
      <c r="AT316" s="15"/>
      <c r="AU316" s="23"/>
      <c r="AV316" s="23"/>
    </row>
    <row r="317" spans="1:48" x14ac:dyDescent="0.25">
      <c r="A317" t="s">
        <v>519</v>
      </c>
      <c r="B317" t="s">
        <v>85</v>
      </c>
      <c r="C317" s="10">
        <v>-2</v>
      </c>
      <c r="D317" t="s">
        <v>610</v>
      </c>
      <c r="E317" s="2">
        <f t="shared" si="76"/>
        <v>46209</v>
      </c>
      <c r="F317" s="3">
        <f t="shared" si="75"/>
        <v>0.84027777777777779</v>
      </c>
      <c r="G317" t="s">
        <v>110</v>
      </c>
      <c r="H317" t="s">
        <v>521</v>
      </c>
      <c r="I317" t="s">
        <v>89</v>
      </c>
      <c r="J317" s="2">
        <v>46209</v>
      </c>
      <c r="K317" s="1">
        <v>0.85416666666666663</v>
      </c>
      <c r="L317" s="10">
        <f t="shared" si="71"/>
        <v>19.999999999999929</v>
      </c>
      <c r="M317" s="1" t="str">
        <f t="shared" si="77"/>
        <v>On Time</v>
      </c>
      <c r="N317" s="27" t="str">
        <f t="shared" si="72"/>
        <v>Ryanair</v>
      </c>
      <c r="O317" s="3" t="s">
        <v>1385</v>
      </c>
      <c r="P317" s="20">
        <f t="shared" si="73"/>
        <v>20</v>
      </c>
      <c r="Q317" s="3" t="s">
        <v>1385</v>
      </c>
      <c r="R317" s="23" t="str">
        <f t="shared" si="74"/>
        <v>Monday</v>
      </c>
      <c r="S317" s="3" t="s">
        <v>1385</v>
      </c>
      <c r="T317" s="23" t="s">
        <v>85</v>
      </c>
      <c r="U317" s="3" t="s">
        <v>1385</v>
      </c>
      <c r="AO317" s="15"/>
      <c r="AP317" s="15"/>
      <c r="AQ317" s="15"/>
      <c r="AR317" s="23"/>
      <c r="AS317" s="15"/>
      <c r="AT317" s="15"/>
      <c r="AU317" s="23"/>
      <c r="AV317" s="23"/>
    </row>
    <row r="318" spans="1:48" x14ac:dyDescent="0.25">
      <c r="A318" t="s">
        <v>123</v>
      </c>
      <c r="B318" t="s">
        <v>123</v>
      </c>
      <c r="D318" t="s">
        <v>611</v>
      </c>
      <c r="E318" s="2">
        <f t="shared" si="76"/>
        <v>46209</v>
      </c>
      <c r="F318" s="3">
        <f t="shared" si="75"/>
        <v>0.84444444444444444</v>
      </c>
      <c r="G318" t="s">
        <v>612</v>
      </c>
      <c r="H318" t="s">
        <v>613</v>
      </c>
      <c r="I318" t="s">
        <v>614</v>
      </c>
      <c r="J318" s="2">
        <v>46209</v>
      </c>
      <c r="K318" s="1">
        <v>0.85486111111111107</v>
      </c>
      <c r="L318" s="10">
        <f t="shared" si="71"/>
        <v>14.999999999999947</v>
      </c>
      <c r="M318" s="1" t="str">
        <f t="shared" si="77"/>
        <v>On Time</v>
      </c>
      <c r="N318" s="27" t="e">
        <f t="shared" si="72"/>
        <v>#N/A</v>
      </c>
      <c r="O318" s="3" t="s">
        <v>1385</v>
      </c>
      <c r="P318" s="20">
        <f t="shared" si="73"/>
        <v>20</v>
      </c>
      <c r="Q318" s="3" t="s">
        <v>1385</v>
      </c>
      <c r="R318" s="23" t="str">
        <f t="shared" si="74"/>
        <v>Monday</v>
      </c>
      <c r="S318" s="3" t="s">
        <v>1385</v>
      </c>
      <c r="T318" s="23" t="s">
        <v>123</v>
      </c>
      <c r="U318" s="3" t="s">
        <v>1385</v>
      </c>
      <c r="AO318" s="15"/>
      <c r="AP318" s="15"/>
      <c r="AQ318" s="15"/>
      <c r="AR318" s="23"/>
      <c r="AS318" s="15"/>
      <c r="AT318" s="15"/>
      <c r="AU318" s="23"/>
      <c r="AV318" s="23"/>
    </row>
    <row r="319" spans="1:48" x14ac:dyDescent="0.25">
      <c r="A319" t="s">
        <v>228</v>
      </c>
      <c r="B319" t="s">
        <v>69</v>
      </c>
      <c r="C319" s="10">
        <v>-12</v>
      </c>
      <c r="D319" t="s">
        <v>615</v>
      </c>
      <c r="E319" s="2">
        <f t="shared" si="76"/>
        <v>46209</v>
      </c>
      <c r="F319" s="3">
        <f t="shared" si="75"/>
        <v>0.88194444444444453</v>
      </c>
      <c r="G319" t="s">
        <v>71</v>
      </c>
      <c r="H319" t="s">
        <v>72</v>
      </c>
      <c r="I319" t="s">
        <v>73</v>
      </c>
      <c r="J319" s="2">
        <v>46209</v>
      </c>
      <c r="K319" s="1">
        <v>0.88194444444444453</v>
      </c>
      <c r="L319" s="10">
        <f t="shared" si="71"/>
        <v>0</v>
      </c>
      <c r="M319" s="1" t="str">
        <f t="shared" si="77"/>
        <v>On Time</v>
      </c>
      <c r="N319" s="27" t="str">
        <f t="shared" si="72"/>
        <v>Finnair</v>
      </c>
      <c r="O319" s="3" t="s">
        <v>1385</v>
      </c>
      <c r="P319" s="20">
        <f t="shared" si="73"/>
        <v>21</v>
      </c>
      <c r="Q319" s="3" t="s">
        <v>1385</v>
      </c>
      <c r="R319" s="23" t="str">
        <f t="shared" si="74"/>
        <v>Monday</v>
      </c>
      <c r="S319" s="3" t="s">
        <v>1385</v>
      </c>
      <c r="T319" s="23" t="s">
        <v>69</v>
      </c>
      <c r="U319" s="3" t="s">
        <v>1385</v>
      </c>
      <c r="AO319" s="15"/>
      <c r="AP319" s="15"/>
      <c r="AQ319" s="15"/>
      <c r="AR319" s="23"/>
      <c r="AS319" s="15"/>
      <c r="AT319" s="15"/>
      <c r="AU319" s="23"/>
      <c r="AV319" s="23"/>
    </row>
    <row r="320" spans="1:48" x14ac:dyDescent="0.25">
      <c r="A320" t="s">
        <v>159</v>
      </c>
      <c r="B320" t="s">
        <v>85</v>
      </c>
      <c r="C320" s="10">
        <v>-37</v>
      </c>
      <c r="D320" t="s">
        <v>616</v>
      </c>
      <c r="E320" s="2">
        <f t="shared" si="76"/>
        <v>46209</v>
      </c>
      <c r="F320" s="3">
        <f t="shared" si="75"/>
        <v>0.90277777777777779</v>
      </c>
      <c r="G320" t="s">
        <v>34</v>
      </c>
      <c r="H320" t="s">
        <v>161</v>
      </c>
      <c r="I320" t="s">
        <v>162</v>
      </c>
      <c r="J320" s="2">
        <v>46209</v>
      </c>
      <c r="K320" s="1">
        <v>0.88888888888888884</v>
      </c>
      <c r="L320" s="10">
        <f t="shared" si="71"/>
        <v>-20.000000000000089</v>
      </c>
      <c r="M320" s="1" t="str">
        <f t="shared" si="77"/>
        <v>Delayed</v>
      </c>
      <c r="N320" s="27" t="str">
        <f t="shared" si="72"/>
        <v>Ryanair</v>
      </c>
      <c r="O320" s="3" t="s">
        <v>1318</v>
      </c>
      <c r="P320" s="20">
        <f t="shared" si="73"/>
        <v>21</v>
      </c>
      <c r="Q320" s="3" t="s">
        <v>1318</v>
      </c>
      <c r="R320" s="23" t="str">
        <f t="shared" si="74"/>
        <v>Monday</v>
      </c>
      <c r="S320" s="3" t="s">
        <v>1318</v>
      </c>
      <c r="T320" s="23" t="s">
        <v>85</v>
      </c>
      <c r="U320" s="3" t="s">
        <v>1318</v>
      </c>
      <c r="AO320" s="15"/>
      <c r="AP320" s="15"/>
      <c r="AQ320" s="15"/>
      <c r="AR320" s="23"/>
      <c r="AS320" s="15"/>
      <c r="AT320" s="15"/>
      <c r="AU320" s="23"/>
      <c r="AV320" s="23"/>
    </row>
    <row r="321" spans="1:48" x14ac:dyDescent="0.25">
      <c r="A321" t="s">
        <v>123</v>
      </c>
      <c r="B321" t="s">
        <v>123</v>
      </c>
      <c r="C321" s="10" t="e">
        <f>NA()</f>
        <v>#N/A</v>
      </c>
      <c r="D321" t="s">
        <v>242</v>
      </c>
      <c r="E321" s="2">
        <f t="shared" si="76"/>
        <v>46209</v>
      </c>
      <c r="F321" s="3" t="e">
        <f t="shared" si="75"/>
        <v>#N/A</v>
      </c>
      <c r="G321" t="s">
        <v>617</v>
      </c>
      <c r="H321" t="s">
        <v>618</v>
      </c>
      <c r="I321" t="s">
        <v>619</v>
      </c>
      <c r="J321" s="2">
        <v>46209</v>
      </c>
      <c r="K321" s="1">
        <v>0.90069444444444446</v>
      </c>
      <c r="L321" s="10" t="e">
        <f t="shared" si="71"/>
        <v>#N/A</v>
      </c>
      <c r="M321" s="1" t="e">
        <f t="shared" si="77"/>
        <v>#N/A</v>
      </c>
      <c r="N321" s="27" t="e">
        <f t="shared" si="72"/>
        <v>#N/A</v>
      </c>
      <c r="O321" s="3" t="e">
        <v>#N/A</v>
      </c>
      <c r="P321" s="20" t="e">
        <f t="shared" si="73"/>
        <v>#N/A</v>
      </c>
      <c r="Q321" s="3" t="e">
        <v>#N/A</v>
      </c>
      <c r="R321" s="23" t="str">
        <f t="shared" si="74"/>
        <v>Monday</v>
      </c>
      <c r="S321" s="3" t="e">
        <v>#N/A</v>
      </c>
      <c r="T321" s="23" t="s">
        <v>123</v>
      </c>
      <c r="AO321" s="15"/>
      <c r="AP321" s="15"/>
      <c r="AQ321" s="15"/>
      <c r="AR321" s="23"/>
      <c r="AS321" s="15"/>
      <c r="AT321" s="15"/>
      <c r="AU321" s="23"/>
      <c r="AV321" s="23"/>
    </row>
    <row r="322" spans="1:48" x14ac:dyDescent="0.25">
      <c r="A322" t="s">
        <v>123</v>
      </c>
      <c r="B322" t="s">
        <v>124</v>
      </c>
      <c r="D322" t="s">
        <v>620</v>
      </c>
      <c r="E322" s="2">
        <f t="shared" si="76"/>
        <v>46209</v>
      </c>
      <c r="F322" s="3">
        <f t="shared" si="75"/>
        <v>0.90625</v>
      </c>
      <c r="G322" t="s">
        <v>87</v>
      </c>
      <c r="H322" t="s">
        <v>88</v>
      </c>
      <c r="I322" t="s">
        <v>126</v>
      </c>
      <c r="J322" s="2">
        <v>46209</v>
      </c>
      <c r="K322" s="1">
        <v>0.90555555555555556</v>
      </c>
      <c r="L322" s="10">
        <f t="shared" ref="L322:L385" si="78">IF(J322&gt;E322,(K322+1-F322)*1440,IF(J322&lt;E322,-(F322+1-K322)*1440,(K322-F322)*1440))</f>
        <v>-0.99999999999999645</v>
      </c>
      <c r="M322" s="1" t="str">
        <f t="shared" si="77"/>
        <v>On Time</v>
      </c>
      <c r="N322" s="27" t="str">
        <f t="shared" ref="N322:N385" si="79">IF(COUNTIFS($B$2:$B$1553,B322,$M$2:$M$1553,"&lt;&gt;#N/A")&gt;=30,B322,NA())</f>
        <v>GetJet Airlines</v>
      </c>
      <c r="O322" s="3" t="s">
        <v>1385</v>
      </c>
      <c r="P322" s="20">
        <f t="shared" ref="P322:P385" si="80">HOUR(F322)</f>
        <v>21</v>
      </c>
      <c r="Q322" s="3" t="s">
        <v>1385</v>
      </c>
      <c r="R322" s="23" t="str">
        <f t="shared" ref="R322:R385" si="81">TEXT(E322, "dddd")</f>
        <v>Monday</v>
      </c>
      <c r="S322" s="3" t="s">
        <v>1385</v>
      </c>
      <c r="T322" s="23" t="s">
        <v>124</v>
      </c>
      <c r="U322" s="3" t="s">
        <v>1385</v>
      </c>
      <c r="AO322" s="15"/>
      <c r="AP322" s="15"/>
      <c r="AQ322" s="15"/>
      <c r="AR322" s="23"/>
      <c r="AS322" s="15"/>
      <c r="AT322" s="15"/>
      <c r="AU322" s="23"/>
      <c r="AV322" s="23"/>
    </row>
    <row r="323" spans="1:48" x14ac:dyDescent="0.25">
      <c r="A323" t="s">
        <v>233</v>
      </c>
      <c r="B323" t="s">
        <v>7</v>
      </c>
      <c r="C323" s="10">
        <v>-22</v>
      </c>
      <c r="D323" t="s">
        <v>621</v>
      </c>
      <c r="E323" s="2">
        <f t="shared" si="76"/>
        <v>46209</v>
      </c>
      <c r="F323" s="3">
        <f t="shared" ref="F323:F386" si="82">IF(ISNUMBER(SEARCH("Landed", D323)), TIMEVALUE(_xlfn.TEXTAFTER(D323, " ")), NA())</f>
        <v>0.90972222222222221</v>
      </c>
      <c r="G323" t="s">
        <v>76</v>
      </c>
      <c r="H323" t="s">
        <v>77</v>
      </c>
      <c r="I323" t="s">
        <v>11</v>
      </c>
      <c r="J323" s="2">
        <v>46209</v>
      </c>
      <c r="K323" s="1">
        <v>0.90972222222222221</v>
      </c>
      <c r="L323" s="10">
        <f t="shared" si="78"/>
        <v>0</v>
      </c>
      <c r="M323" s="1" t="str">
        <f t="shared" si="77"/>
        <v>On Time</v>
      </c>
      <c r="N323" s="27" t="str">
        <f t="shared" si="79"/>
        <v>airBaltic</v>
      </c>
      <c r="O323" s="3" t="s">
        <v>1385</v>
      </c>
      <c r="P323" s="20">
        <f t="shared" si="80"/>
        <v>21</v>
      </c>
      <c r="Q323" s="3" t="s">
        <v>1385</v>
      </c>
      <c r="R323" s="23" t="str">
        <f t="shared" si="81"/>
        <v>Monday</v>
      </c>
      <c r="S323" s="3" t="s">
        <v>1385</v>
      </c>
      <c r="T323" s="23" t="s">
        <v>7</v>
      </c>
      <c r="U323" s="3" t="s">
        <v>1385</v>
      </c>
      <c r="AO323" s="15"/>
      <c r="AP323" s="15"/>
      <c r="AQ323" s="15"/>
      <c r="AR323" s="23"/>
      <c r="AS323" s="15"/>
      <c r="AT323" s="15"/>
      <c r="AU323" s="23"/>
      <c r="AV323" s="23"/>
    </row>
    <row r="324" spans="1:48" x14ac:dyDescent="0.25">
      <c r="A324" t="s">
        <v>331</v>
      </c>
      <c r="B324" t="s">
        <v>7</v>
      </c>
      <c r="C324" s="10">
        <v>-13</v>
      </c>
      <c r="D324" t="s">
        <v>461</v>
      </c>
      <c r="E324" s="2">
        <f t="shared" si="76"/>
        <v>46209</v>
      </c>
      <c r="F324" s="3">
        <f t="shared" si="82"/>
        <v>0.91388888888888886</v>
      </c>
      <c r="G324" t="s">
        <v>247</v>
      </c>
      <c r="H324" t="s">
        <v>248</v>
      </c>
      <c r="I324" t="s">
        <v>11</v>
      </c>
      <c r="J324" s="2">
        <v>46209</v>
      </c>
      <c r="K324" s="1">
        <v>0.90972222222222221</v>
      </c>
      <c r="L324" s="10">
        <f t="shared" si="78"/>
        <v>-5.9999999999999787</v>
      </c>
      <c r="M324" s="1" t="str">
        <f t="shared" si="77"/>
        <v>On Time</v>
      </c>
      <c r="N324" s="27" t="str">
        <f t="shared" si="79"/>
        <v>airBaltic</v>
      </c>
      <c r="O324" s="3" t="s">
        <v>1385</v>
      </c>
      <c r="P324" s="20">
        <f t="shared" si="80"/>
        <v>21</v>
      </c>
      <c r="Q324" s="3" t="s">
        <v>1385</v>
      </c>
      <c r="R324" s="23" t="str">
        <f t="shared" si="81"/>
        <v>Monday</v>
      </c>
      <c r="S324" s="3" t="s">
        <v>1385</v>
      </c>
      <c r="T324" s="23" t="s">
        <v>7</v>
      </c>
      <c r="U324" s="3" t="s">
        <v>1385</v>
      </c>
      <c r="AO324" s="15"/>
      <c r="AP324" s="15"/>
      <c r="AQ324" s="15"/>
      <c r="AR324" s="23"/>
      <c r="AS324" s="15"/>
      <c r="AT324" s="15"/>
      <c r="AU324" s="23"/>
      <c r="AV324" s="23"/>
    </row>
    <row r="325" spans="1:48" x14ac:dyDescent="0.25">
      <c r="A325" t="s">
        <v>319</v>
      </c>
      <c r="B325" t="s">
        <v>85</v>
      </c>
      <c r="C325" s="10">
        <v>-29</v>
      </c>
      <c r="D325" t="s">
        <v>622</v>
      </c>
      <c r="E325" s="2">
        <f t="shared" si="76"/>
        <v>46209</v>
      </c>
      <c r="F325" s="3">
        <f t="shared" si="82"/>
        <v>0.9277777777777777</v>
      </c>
      <c r="G325" t="s">
        <v>15</v>
      </c>
      <c r="H325" t="s">
        <v>16</v>
      </c>
      <c r="I325" t="s">
        <v>89</v>
      </c>
      <c r="J325" s="2">
        <v>46209</v>
      </c>
      <c r="K325" s="1">
        <v>0.91666666666666663</v>
      </c>
      <c r="L325" s="10">
        <f t="shared" si="78"/>
        <v>-15.999999999999943</v>
      </c>
      <c r="M325" s="1" t="str">
        <f t="shared" si="77"/>
        <v>Delayed</v>
      </c>
      <c r="N325" s="27" t="str">
        <f t="shared" si="79"/>
        <v>Ryanair</v>
      </c>
      <c r="O325" s="3" t="s">
        <v>1318</v>
      </c>
      <c r="P325" s="20">
        <f t="shared" si="80"/>
        <v>22</v>
      </c>
      <c r="Q325" s="3" t="s">
        <v>1318</v>
      </c>
      <c r="R325" s="23" t="str">
        <f t="shared" si="81"/>
        <v>Monday</v>
      </c>
      <c r="S325" s="3" t="s">
        <v>1318</v>
      </c>
      <c r="T325" s="23" t="s">
        <v>85</v>
      </c>
      <c r="U325" s="3" t="s">
        <v>1318</v>
      </c>
      <c r="AO325" s="15"/>
      <c r="AP325" s="15"/>
      <c r="AQ325" s="15"/>
      <c r="AR325" s="23"/>
      <c r="AS325" s="15"/>
      <c r="AT325" s="15"/>
      <c r="AU325" s="23"/>
      <c r="AV325" s="23"/>
    </row>
    <row r="326" spans="1:48" x14ac:dyDescent="0.25">
      <c r="A326" t="s">
        <v>219</v>
      </c>
      <c r="B326" t="s">
        <v>7</v>
      </c>
      <c r="C326" s="10">
        <v>-133</v>
      </c>
      <c r="D326" t="s">
        <v>623</v>
      </c>
      <c r="E326" s="2">
        <f t="shared" ref="E326:E389" si="83">J326</f>
        <v>46209</v>
      </c>
      <c r="F326" s="3" t="e">
        <f t="shared" si="82"/>
        <v>#N/A</v>
      </c>
      <c r="G326" t="s">
        <v>9</v>
      </c>
      <c r="H326" t="s">
        <v>10</v>
      </c>
      <c r="I326" t="s">
        <v>11</v>
      </c>
      <c r="J326" s="2">
        <v>46209</v>
      </c>
      <c r="K326" s="1">
        <v>0.93055555555555547</v>
      </c>
      <c r="L326" s="10" t="e">
        <f t="shared" si="78"/>
        <v>#N/A</v>
      </c>
      <c r="M326" s="1" t="e">
        <f t="shared" si="77"/>
        <v>#N/A</v>
      </c>
      <c r="N326" s="27" t="str">
        <f t="shared" si="79"/>
        <v>airBaltic</v>
      </c>
      <c r="O326" s="3" t="e">
        <v>#N/A</v>
      </c>
      <c r="P326" s="20" t="e">
        <f t="shared" si="80"/>
        <v>#N/A</v>
      </c>
      <c r="Q326" s="3" t="e">
        <v>#N/A</v>
      </c>
      <c r="R326" s="23" t="str">
        <f t="shared" si="81"/>
        <v>Monday</v>
      </c>
      <c r="S326" s="3" t="e">
        <v>#N/A</v>
      </c>
      <c r="T326" s="23" t="s">
        <v>7</v>
      </c>
      <c r="AO326" s="15"/>
      <c r="AP326" s="15"/>
      <c r="AQ326" s="15"/>
      <c r="AR326" s="23"/>
      <c r="AS326" s="15"/>
      <c r="AT326" s="15"/>
      <c r="AU326" s="23"/>
      <c r="AV326" s="23"/>
    </row>
    <row r="327" spans="1:48" x14ac:dyDescent="0.25">
      <c r="A327" t="s">
        <v>235</v>
      </c>
      <c r="B327" t="s">
        <v>19</v>
      </c>
      <c r="C327" s="10">
        <v>-17</v>
      </c>
      <c r="D327" t="s">
        <v>624</v>
      </c>
      <c r="E327" s="2">
        <f t="shared" si="83"/>
        <v>46209</v>
      </c>
      <c r="F327" s="3">
        <f t="shared" si="82"/>
        <v>0.93333333333333324</v>
      </c>
      <c r="G327" t="s">
        <v>21</v>
      </c>
      <c r="H327" t="s">
        <v>22</v>
      </c>
      <c r="I327" t="s">
        <v>295</v>
      </c>
      <c r="J327" s="2">
        <v>46209</v>
      </c>
      <c r="K327" s="1">
        <v>0.93055555555555547</v>
      </c>
      <c r="L327" s="10">
        <f t="shared" si="78"/>
        <v>-3.9999999999999858</v>
      </c>
      <c r="M327" s="1" t="str">
        <f t="shared" si="77"/>
        <v>On Time</v>
      </c>
      <c r="N327" s="27" t="str">
        <f t="shared" si="79"/>
        <v>LOT</v>
      </c>
      <c r="O327" s="3" t="s">
        <v>1385</v>
      </c>
      <c r="P327" s="20">
        <f t="shared" si="80"/>
        <v>22</v>
      </c>
      <c r="Q327" s="3" t="s">
        <v>1385</v>
      </c>
      <c r="R327" s="23" t="str">
        <f t="shared" si="81"/>
        <v>Monday</v>
      </c>
      <c r="S327" s="3" t="s">
        <v>1385</v>
      </c>
      <c r="T327" s="23" t="s">
        <v>19</v>
      </c>
      <c r="U327" s="3" t="s">
        <v>1385</v>
      </c>
      <c r="AO327" s="15"/>
      <c r="AP327" s="15"/>
      <c r="AQ327" s="15"/>
      <c r="AR327" s="23"/>
      <c r="AS327" s="15"/>
      <c r="AT327" s="15"/>
      <c r="AU327" s="23"/>
      <c r="AV327" s="23"/>
    </row>
    <row r="328" spans="1:48" x14ac:dyDescent="0.25">
      <c r="A328" t="s">
        <v>123</v>
      </c>
      <c r="B328" t="s">
        <v>123</v>
      </c>
      <c r="D328" t="s">
        <v>462</v>
      </c>
      <c r="E328" s="2">
        <f t="shared" si="83"/>
        <v>46209</v>
      </c>
      <c r="F328" s="3">
        <f t="shared" si="82"/>
        <v>0.91736111111111107</v>
      </c>
      <c r="G328" t="s">
        <v>625</v>
      </c>
      <c r="H328" t="s">
        <v>626</v>
      </c>
      <c r="I328" t="s">
        <v>614</v>
      </c>
      <c r="J328" s="2">
        <v>46209</v>
      </c>
      <c r="K328" s="1">
        <v>0.9375</v>
      </c>
      <c r="L328" s="10">
        <f t="shared" si="78"/>
        <v>29.000000000000057</v>
      </c>
      <c r="M328" s="1" t="str">
        <f t="shared" si="77"/>
        <v>On Time</v>
      </c>
      <c r="N328" s="27" t="e">
        <f t="shared" si="79"/>
        <v>#N/A</v>
      </c>
      <c r="O328" s="3" t="s">
        <v>1385</v>
      </c>
      <c r="P328" s="20">
        <f t="shared" si="80"/>
        <v>22</v>
      </c>
      <c r="Q328" s="3" t="s">
        <v>1385</v>
      </c>
      <c r="R328" s="23" t="str">
        <f t="shared" si="81"/>
        <v>Monday</v>
      </c>
      <c r="S328" s="3" t="s">
        <v>1385</v>
      </c>
      <c r="T328" s="23" t="s">
        <v>123</v>
      </c>
      <c r="U328" s="3" t="s">
        <v>1385</v>
      </c>
      <c r="AO328" s="15"/>
      <c r="AP328" s="15"/>
      <c r="AQ328" s="15"/>
      <c r="AR328" s="23"/>
      <c r="AS328" s="15"/>
      <c r="AT328" s="15"/>
      <c r="AU328" s="23"/>
      <c r="AV328" s="23"/>
    </row>
    <row r="329" spans="1:48" x14ac:dyDescent="0.25">
      <c r="A329" t="s">
        <v>627</v>
      </c>
      <c r="B329" t="s">
        <v>592</v>
      </c>
      <c r="C329" s="10">
        <v>3</v>
      </c>
      <c r="D329" t="s">
        <v>628</v>
      </c>
      <c r="E329" s="2">
        <f t="shared" si="83"/>
        <v>46209</v>
      </c>
      <c r="F329" s="3">
        <f t="shared" si="82"/>
        <v>0.93194444444444446</v>
      </c>
      <c r="G329" t="s">
        <v>629</v>
      </c>
      <c r="H329" t="s">
        <v>630</v>
      </c>
      <c r="I329" t="s">
        <v>83</v>
      </c>
      <c r="J329" s="2">
        <v>46209</v>
      </c>
      <c r="K329" s="1">
        <v>0.9375</v>
      </c>
      <c r="L329" s="10">
        <f t="shared" si="78"/>
        <v>7.9999999999999716</v>
      </c>
      <c r="M329" s="1" t="str">
        <f t="shared" si="77"/>
        <v>On Time</v>
      </c>
      <c r="N329" s="27" t="e">
        <f t="shared" si="79"/>
        <v>#N/A</v>
      </c>
      <c r="O329" s="3" t="s">
        <v>1385</v>
      </c>
      <c r="P329" s="20">
        <f t="shared" si="80"/>
        <v>22</v>
      </c>
      <c r="Q329" s="3" t="s">
        <v>1385</v>
      </c>
      <c r="R329" s="23" t="str">
        <f t="shared" si="81"/>
        <v>Monday</v>
      </c>
      <c r="S329" s="3" t="s">
        <v>1385</v>
      </c>
      <c r="T329" s="23" t="s">
        <v>592</v>
      </c>
      <c r="U329" s="3" t="s">
        <v>1385</v>
      </c>
      <c r="AO329" s="15"/>
      <c r="AP329" s="15"/>
      <c r="AQ329" s="15"/>
      <c r="AR329" s="23"/>
      <c r="AS329" s="15"/>
      <c r="AT329" s="15"/>
      <c r="AU329" s="23"/>
      <c r="AV329" s="23"/>
    </row>
    <row r="330" spans="1:48" x14ac:dyDescent="0.25">
      <c r="A330" t="s">
        <v>321</v>
      </c>
      <c r="B330" t="s">
        <v>85</v>
      </c>
      <c r="C330" s="10">
        <v>-26</v>
      </c>
      <c r="D330" t="s">
        <v>544</v>
      </c>
      <c r="E330" s="2">
        <f t="shared" si="83"/>
        <v>46209</v>
      </c>
      <c r="F330" s="3">
        <f t="shared" si="82"/>
        <v>0.94166666666666676</v>
      </c>
      <c r="G330" t="s">
        <v>323</v>
      </c>
      <c r="H330" t="s">
        <v>324</v>
      </c>
      <c r="I330" t="s">
        <v>162</v>
      </c>
      <c r="J330" s="2">
        <v>46209</v>
      </c>
      <c r="K330" s="1">
        <v>0.94097222222222221</v>
      </c>
      <c r="L330" s="10">
        <f t="shared" si="78"/>
        <v>-1.0000000000001563</v>
      </c>
      <c r="M330" s="1" t="str">
        <f t="shared" si="77"/>
        <v>On Time</v>
      </c>
      <c r="N330" s="27" t="str">
        <f t="shared" si="79"/>
        <v>Ryanair</v>
      </c>
      <c r="O330" s="3" t="s">
        <v>1385</v>
      </c>
      <c r="P330" s="20">
        <f t="shared" si="80"/>
        <v>22</v>
      </c>
      <c r="Q330" s="3" t="s">
        <v>1385</v>
      </c>
      <c r="R330" s="23" t="str">
        <f t="shared" si="81"/>
        <v>Monday</v>
      </c>
      <c r="S330" s="3" t="s">
        <v>1385</v>
      </c>
      <c r="T330" s="23" t="s">
        <v>85</v>
      </c>
      <c r="U330" s="3" t="s">
        <v>1385</v>
      </c>
      <c r="AO330" s="15"/>
      <c r="AP330" s="15"/>
      <c r="AQ330" s="15"/>
      <c r="AR330" s="23"/>
      <c r="AS330" s="15"/>
      <c r="AT330" s="15"/>
      <c r="AU330" s="23"/>
      <c r="AV330" s="23"/>
    </row>
    <row r="331" spans="1:48" x14ac:dyDescent="0.25">
      <c r="A331" t="s">
        <v>344</v>
      </c>
      <c r="B331" t="s">
        <v>85</v>
      </c>
      <c r="C331" s="10">
        <v>0</v>
      </c>
      <c r="D331" t="s">
        <v>631</v>
      </c>
      <c r="E331" s="2">
        <f t="shared" si="83"/>
        <v>46209</v>
      </c>
      <c r="F331" s="3">
        <f t="shared" si="82"/>
        <v>0.9819444444444444</v>
      </c>
      <c r="G331" t="s">
        <v>346</v>
      </c>
      <c r="H331" t="s">
        <v>347</v>
      </c>
      <c r="I331" t="s">
        <v>89</v>
      </c>
      <c r="J331" s="2">
        <v>46209</v>
      </c>
      <c r="K331" s="1">
        <v>0.99652777777777779</v>
      </c>
      <c r="L331" s="10">
        <f t="shared" si="78"/>
        <v>21.000000000000085</v>
      </c>
      <c r="M331" s="1" t="str">
        <f t="shared" si="77"/>
        <v>On Time</v>
      </c>
      <c r="N331" s="27" t="str">
        <f t="shared" si="79"/>
        <v>Ryanair</v>
      </c>
      <c r="O331" s="3" t="s">
        <v>1385</v>
      </c>
      <c r="P331" s="20">
        <f t="shared" si="80"/>
        <v>23</v>
      </c>
      <c r="Q331" s="3" t="s">
        <v>1385</v>
      </c>
      <c r="R331" s="23" t="str">
        <f t="shared" si="81"/>
        <v>Monday</v>
      </c>
      <c r="S331" s="3" t="s">
        <v>1385</v>
      </c>
      <c r="T331" s="23" t="s">
        <v>85</v>
      </c>
      <c r="U331" s="3" t="s">
        <v>1385</v>
      </c>
      <c r="AO331" s="15"/>
      <c r="AP331" s="15"/>
      <c r="AQ331" s="15"/>
      <c r="AR331" s="23"/>
      <c r="AS331" s="15"/>
      <c r="AT331" s="15"/>
      <c r="AU331" s="23"/>
      <c r="AV331" s="23"/>
    </row>
    <row r="332" spans="1:48" x14ac:dyDescent="0.25">
      <c r="A332" t="s">
        <v>258</v>
      </c>
      <c r="B332" t="s">
        <v>190</v>
      </c>
      <c r="C332" s="10">
        <v>-120</v>
      </c>
      <c r="D332" t="s">
        <v>632</v>
      </c>
      <c r="E332" s="2">
        <f t="shared" si="83"/>
        <v>46209</v>
      </c>
      <c r="F332" s="3" t="e">
        <f t="shared" si="82"/>
        <v>#N/A</v>
      </c>
      <c r="G332" t="s">
        <v>110</v>
      </c>
      <c r="H332" t="s">
        <v>111</v>
      </c>
      <c r="I332" t="s">
        <v>67</v>
      </c>
      <c r="J332" s="2">
        <v>46209</v>
      </c>
      <c r="K332" s="1">
        <v>0.99652777777777779</v>
      </c>
      <c r="L332" s="10" t="e">
        <f t="shared" si="78"/>
        <v>#N/A</v>
      </c>
      <c r="M332" s="1" t="e">
        <f t="shared" si="77"/>
        <v>#N/A</v>
      </c>
      <c r="N332" s="27" t="str">
        <f t="shared" si="79"/>
        <v>Lufthansa</v>
      </c>
      <c r="O332" s="3" t="e">
        <v>#N/A</v>
      </c>
      <c r="P332" s="20" t="e">
        <f t="shared" si="80"/>
        <v>#N/A</v>
      </c>
      <c r="Q332" s="3" t="e">
        <v>#N/A</v>
      </c>
      <c r="R332" s="23" t="str">
        <f t="shared" si="81"/>
        <v>Monday</v>
      </c>
      <c r="S332" s="3" t="e">
        <v>#N/A</v>
      </c>
      <c r="T332" s="23" t="s">
        <v>190</v>
      </c>
      <c r="AO332" s="15"/>
      <c r="AP332" s="15"/>
      <c r="AQ332" s="15"/>
      <c r="AR332" s="23"/>
      <c r="AS332" s="15"/>
      <c r="AT332" s="15"/>
      <c r="AU332" s="23"/>
      <c r="AV332" s="23"/>
    </row>
    <row r="333" spans="1:48" x14ac:dyDescent="0.25">
      <c r="A333" t="s">
        <v>265</v>
      </c>
      <c r="B333" t="s">
        <v>7</v>
      </c>
      <c r="C333" s="10">
        <v>-27</v>
      </c>
      <c r="D333" t="s">
        <v>633</v>
      </c>
      <c r="E333" s="2">
        <f t="shared" si="83"/>
        <v>46210</v>
      </c>
      <c r="F333" s="3">
        <f t="shared" si="82"/>
        <v>1.7361111111111112E-2</v>
      </c>
      <c r="G333" t="s">
        <v>180</v>
      </c>
      <c r="H333" t="s">
        <v>181</v>
      </c>
      <c r="I333" t="s">
        <v>11</v>
      </c>
      <c r="J333" s="2">
        <v>46210</v>
      </c>
      <c r="K333" s="1">
        <v>1.0416666666666666E-2</v>
      </c>
      <c r="L333" s="10">
        <f t="shared" si="78"/>
        <v>-10.000000000000002</v>
      </c>
      <c r="M333" s="1" t="str">
        <f t="shared" si="77"/>
        <v>On Time</v>
      </c>
      <c r="N333" s="27" t="str">
        <f t="shared" si="79"/>
        <v>airBaltic</v>
      </c>
      <c r="O333" s="3" t="s">
        <v>1385</v>
      </c>
      <c r="P333" s="20">
        <f t="shared" si="80"/>
        <v>0</v>
      </c>
      <c r="Q333" s="3" t="s">
        <v>1385</v>
      </c>
      <c r="R333" s="23" t="str">
        <f t="shared" si="81"/>
        <v>Tuesday</v>
      </c>
      <c r="S333" s="3" t="s">
        <v>1385</v>
      </c>
      <c r="T333" s="23" t="s">
        <v>7</v>
      </c>
      <c r="U333" s="3" t="s">
        <v>1385</v>
      </c>
      <c r="AO333" s="15"/>
      <c r="AP333" s="15"/>
      <c r="AQ333" s="15"/>
      <c r="AR333" s="23"/>
      <c r="AS333" s="15"/>
      <c r="AT333" s="15"/>
      <c r="AU333" s="23"/>
      <c r="AV333" s="23"/>
    </row>
    <row r="334" spans="1:48" x14ac:dyDescent="0.25">
      <c r="A334" t="s">
        <v>163</v>
      </c>
      <c r="B334" t="s">
        <v>13</v>
      </c>
      <c r="C334" s="10">
        <v>-27</v>
      </c>
      <c r="D334" t="s">
        <v>634</v>
      </c>
      <c r="E334" s="2">
        <f t="shared" si="83"/>
        <v>46210</v>
      </c>
      <c r="F334" s="3">
        <f t="shared" si="82"/>
        <v>7.6388888888888886E-3</v>
      </c>
      <c r="G334" t="s">
        <v>165</v>
      </c>
      <c r="H334" t="s">
        <v>166</v>
      </c>
      <c r="I334" t="s">
        <v>17</v>
      </c>
      <c r="J334" s="2">
        <v>46210</v>
      </c>
      <c r="K334" s="1">
        <v>1.3888888888888888E-2</v>
      </c>
      <c r="L334" s="10">
        <f t="shared" si="78"/>
        <v>9</v>
      </c>
      <c r="M334" s="1" t="str">
        <f t="shared" si="77"/>
        <v>On Time</v>
      </c>
      <c r="N334" s="27" t="str">
        <f t="shared" si="79"/>
        <v>Wizz Air</v>
      </c>
      <c r="O334" s="3" t="s">
        <v>1385</v>
      </c>
      <c r="P334" s="20">
        <f t="shared" si="80"/>
        <v>0</v>
      </c>
      <c r="Q334" s="3" t="s">
        <v>1385</v>
      </c>
      <c r="R334" s="23" t="str">
        <f t="shared" si="81"/>
        <v>Tuesday</v>
      </c>
      <c r="S334" s="3" t="s">
        <v>1385</v>
      </c>
      <c r="T334" s="23" t="s">
        <v>13</v>
      </c>
      <c r="U334" s="3" t="s">
        <v>1385</v>
      </c>
      <c r="AO334" s="15"/>
      <c r="AP334" s="15"/>
      <c r="AQ334" s="15"/>
      <c r="AR334" s="23"/>
      <c r="AS334" s="15"/>
      <c r="AT334" s="15"/>
      <c r="AU334" s="23"/>
      <c r="AV334" s="23"/>
    </row>
    <row r="335" spans="1:48" x14ac:dyDescent="0.25">
      <c r="A335" t="s">
        <v>6</v>
      </c>
      <c r="B335" t="s">
        <v>7</v>
      </c>
      <c r="C335" s="10">
        <v>-76</v>
      </c>
      <c r="D335" t="s">
        <v>554</v>
      </c>
      <c r="E335" s="2">
        <f t="shared" si="83"/>
        <v>46210</v>
      </c>
      <c r="F335" s="3">
        <f t="shared" si="82"/>
        <v>5.9722222222222225E-2</v>
      </c>
      <c r="G335" t="s">
        <v>9</v>
      </c>
      <c r="H335" t="s">
        <v>10</v>
      </c>
      <c r="I335" t="s">
        <v>11</v>
      </c>
      <c r="J335" s="2">
        <v>46210</v>
      </c>
      <c r="K335" s="1">
        <v>2.0833333333333332E-2</v>
      </c>
      <c r="L335" s="10">
        <f t="shared" si="78"/>
        <v>-56</v>
      </c>
      <c r="M335" s="1" t="str">
        <f t="shared" si="77"/>
        <v>Delayed</v>
      </c>
      <c r="N335" s="27" t="str">
        <f t="shared" si="79"/>
        <v>airBaltic</v>
      </c>
      <c r="O335" s="3" t="s">
        <v>1318</v>
      </c>
      <c r="P335" s="20">
        <f t="shared" si="80"/>
        <v>1</v>
      </c>
      <c r="Q335" s="3" t="s">
        <v>1318</v>
      </c>
      <c r="R335" s="23" t="str">
        <f t="shared" si="81"/>
        <v>Tuesday</v>
      </c>
      <c r="S335" s="3" t="s">
        <v>1318</v>
      </c>
      <c r="T335" s="23" t="s">
        <v>7</v>
      </c>
      <c r="U335" s="3" t="s">
        <v>1318</v>
      </c>
      <c r="AO335" s="15"/>
      <c r="AP335" s="15"/>
      <c r="AQ335" s="15"/>
      <c r="AR335" s="23"/>
      <c r="AS335" s="15"/>
      <c r="AT335" s="15"/>
      <c r="AU335" s="23"/>
      <c r="AV335" s="23"/>
    </row>
    <row r="336" spans="1:48" x14ac:dyDescent="0.25">
      <c r="A336" t="s">
        <v>18</v>
      </c>
      <c r="B336" t="s">
        <v>19</v>
      </c>
      <c r="C336" s="10">
        <v>-18</v>
      </c>
      <c r="D336" t="s">
        <v>635</v>
      </c>
      <c r="E336" s="2">
        <f t="shared" si="83"/>
        <v>46210</v>
      </c>
      <c r="F336" s="3">
        <f t="shared" si="82"/>
        <v>2.4305555555555556E-2</v>
      </c>
      <c r="G336" t="s">
        <v>21</v>
      </c>
      <c r="H336" t="s">
        <v>22</v>
      </c>
      <c r="I336" t="s">
        <v>594</v>
      </c>
      <c r="J336" s="2">
        <v>46210</v>
      </c>
      <c r="K336" s="1">
        <v>2.7777777777777776E-2</v>
      </c>
      <c r="L336" s="10">
        <f t="shared" si="78"/>
        <v>4.9999999999999973</v>
      </c>
      <c r="M336" s="1" t="str">
        <f t="shared" si="77"/>
        <v>On Time</v>
      </c>
      <c r="N336" s="27" t="str">
        <f t="shared" si="79"/>
        <v>LOT</v>
      </c>
      <c r="O336" s="3" t="s">
        <v>1385</v>
      </c>
      <c r="P336" s="20">
        <f t="shared" si="80"/>
        <v>0</v>
      </c>
      <c r="Q336" s="3" t="s">
        <v>1385</v>
      </c>
      <c r="R336" s="23" t="str">
        <f t="shared" si="81"/>
        <v>Tuesday</v>
      </c>
      <c r="S336" s="3" t="s">
        <v>1385</v>
      </c>
      <c r="T336" s="23" t="s">
        <v>19</v>
      </c>
      <c r="U336" s="3" t="s">
        <v>1385</v>
      </c>
      <c r="AO336" s="15"/>
      <c r="AP336" s="15"/>
      <c r="AQ336" s="15"/>
      <c r="AR336" s="23"/>
      <c r="AS336" s="15"/>
      <c r="AT336" s="15"/>
      <c r="AU336" s="23"/>
      <c r="AV336" s="23"/>
    </row>
    <row r="337" spans="1:48" x14ac:dyDescent="0.25">
      <c r="A337" t="s">
        <v>402</v>
      </c>
      <c r="B337" t="s">
        <v>13</v>
      </c>
      <c r="C337" s="10">
        <v>-6</v>
      </c>
      <c r="D337" t="s">
        <v>551</v>
      </c>
      <c r="E337" s="2">
        <f t="shared" si="83"/>
        <v>46210</v>
      </c>
      <c r="F337" s="3">
        <f t="shared" si="82"/>
        <v>2.8472222222222222E-2</v>
      </c>
      <c r="G337" t="s">
        <v>404</v>
      </c>
      <c r="H337" t="s">
        <v>405</v>
      </c>
      <c r="I337" t="s">
        <v>17</v>
      </c>
      <c r="J337" s="2">
        <v>46210</v>
      </c>
      <c r="K337" s="1">
        <v>4.5138888888888888E-2</v>
      </c>
      <c r="L337" s="10">
        <f t="shared" si="78"/>
        <v>24</v>
      </c>
      <c r="M337" s="1" t="str">
        <f t="shared" si="77"/>
        <v>On Time</v>
      </c>
      <c r="N337" s="27" t="str">
        <f t="shared" si="79"/>
        <v>Wizz Air</v>
      </c>
      <c r="O337" s="3" t="s">
        <v>1385</v>
      </c>
      <c r="P337" s="20">
        <f t="shared" si="80"/>
        <v>0</v>
      </c>
      <c r="Q337" s="3" t="s">
        <v>1385</v>
      </c>
      <c r="R337" s="23" t="str">
        <f t="shared" si="81"/>
        <v>Tuesday</v>
      </c>
      <c r="S337" s="3" t="s">
        <v>1385</v>
      </c>
      <c r="T337" s="23" t="s">
        <v>13</v>
      </c>
      <c r="U337" s="3" t="s">
        <v>1385</v>
      </c>
      <c r="AO337" s="15"/>
      <c r="AP337" s="15"/>
      <c r="AQ337" s="15"/>
      <c r="AR337" s="23"/>
      <c r="AS337" s="15"/>
      <c r="AT337" s="15"/>
      <c r="AU337" s="23"/>
      <c r="AV337" s="23"/>
    </row>
    <row r="338" spans="1:48" x14ac:dyDescent="0.25">
      <c r="A338" t="s">
        <v>418</v>
      </c>
      <c r="B338" t="s">
        <v>85</v>
      </c>
      <c r="C338" s="10">
        <v>-2</v>
      </c>
      <c r="D338" t="s">
        <v>636</v>
      </c>
      <c r="E338" s="2">
        <f t="shared" si="83"/>
        <v>46210</v>
      </c>
      <c r="F338" s="3">
        <f t="shared" si="82"/>
        <v>3.7499999999999999E-2</v>
      </c>
      <c r="G338" t="s">
        <v>419</v>
      </c>
      <c r="H338" t="s">
        <v>420</v>
      </c>
      <c r="I338" t="s">
        <v>89</v>
      </c>
      <c r="J338" s="2">
        <v>46210</v>
      </c>
      <c r="K338" s="1">
        <v>5.2083333333333336E-2</v>
      </c>
      <c r="L338" s="10">
        <f t="shared" si="78"/>
        <v>21.000000000000007</v>
      </c>
      <c r="M338" s="1" t="str">
        <f t="shared" si="77"/>
        <v>On Time</v>
      </c>
      <c r="N338" s="27" t="str">
        <f t="shared" si="79"/>
        <v>Ryanair</v>
      </c>
      <c r="O338" s="3" t="s">
        <v>1385</v>
      </c>
      <c r="P338" s="20">
        <f t="shared" si="80"/>
        <v>0</v>
      </c>
      <c r="Q338" s="3" t="s">
        <v>1385</v>
      </c>
      <c r="R338" s="23" t="str">
        <f t="shared" si="81"/>
        <v>Tuesday</v>
      </c>
      <c r="S338" s="3" t="s">
        <v>1385</v>
      </c>
      <c r="T338" s="23" t="s">
        <v>85</v>
      </c>
      <c r="U338" s="3" t="s">
        <v>1385</v>
      </c>
      <c r="AO338" s="15"/>
      <c r="AP338" s="15"/>
      <c r="AQ338" s="15"/>
      <c r="AR338" s="23"/>
      <c r="AS338" s="15"/>
      <c r="AT338" s="15"/>
      <c r="AU338" s="23"/>
      <c r="AV338" s="23"/>
    </row>
    <row r="339" spans="1:48" x14ac:dyDescent="0.25">
      <c r="A339" t="s">
        <v>32</v>
      </c>
      <c r="B339" t="s">
        <v>13</v>
      </c>
      <c r="C339" s="10">
        <v>-6</v>
      </c>
      <c r="D339" t="s">
        <v>637</v>
      </c>
      <c r="E339" s="2">
        <f t="shared" si="83"/>
        <v>46210</v>
      </c>
      <c r="F339" s="3">
        <f t="shared" si="82"/>
        <v>4.7222222222222221E-2</v>
      </c>
      <c r="G339" t="s">
        <v>34</v>
      </c>
      <c r="H339" t="s">
        <v>35</v>
      </c>
      <c r="I339" t="s">
        <v>17</v>
      </c>
      <c r="J339" s="2">
        <v>46210</v>
      </c>
      <c r="K339" s="1">
        <v>5.5555555555555552E-2</v>
      </c>
      <c r="L339" s="10">
        <f t="shared" si="78"/>
        <v>11.999999999999996</v>
      </c>
      <c r="M339" s="1" t="str">
        <f t="shared" ref="M339:M402" si="84">IF(L339&gt;=-15, "On Time", "Delayed")</f>
        <v>On Time</v>
      </c>
      <c r="N339" s="27" t="str">
        <f t="shared" si="79"/>
        <v>Wizz Air</v>
      </c>
      <c r="O339" s="3" t="s">
        <v>1385</v>
      </c>
      <c r="P339" s="20">
        <f t="shared" si="80"/>
        <v>1</v>
      </c>
      <c r="Q339" s="3" t="s">
        <v>1385</v>
      </c>
      <c r="R339" s="23" t="str">
        <f t="shared" si="81"/>
        <v>Tuesday</v>
      </c>
      <c r="S339" s="3" t="s">
        <v>1385</v>
      </c>
      <c r="T339" s="23" t="s">
        <v>13</v>
      </c>
      <c r="U339" s="3" t="s">
        <v>1385</v>
      </c>
      <c r="AO339" s="15"/>
      <c r="AP339" s="15"/>
      <c r="AQ339" s="15"/>
      <c r="AR339" s="23"/>
      <c r="AS339" s="15"/>
      <c r="AT339" s="15"/>
      <c r="AU339" s="23"/>
      <c r="AV339" s="23"/>
    </row>
    <row r="340" spans="1:48" x14ac:dyDescent="0.25">
      <c r="A340" t="s">
        <v>36</v>
      </c>
      <c r="B340" t="s">
        <v>7</v>
      </c>
      <c r="C340" s="10">
        <v>-60</v>
      </c>
      <c r="D340" t="s">
        <v>638</v>
      </c>
      <c r="E340" s="2">
        <f t="shared" si="83"/>
        <v>46210</v>
      </c>
      <c r="F340" s="3">
        <f t="shared" si="82"/>
        <v>8.6805555555555566E-2</v>
      </c>
      <c r="G340" t="s">
        <v>38</v>
      </c>
      <c r="H340" t="s">
        <v>39</v>
      </c>
      <c r="I340" t="s">
        <v>11</v>
      </c>
      <c r="J340" s="2">
        <v>46210</v>
      </c>
      <c r="K340" s="1">
        <v>5.9027777777777783E-2</v>
      </c>
      <c r="L340" s="10">
        <f t="shared" si="78"/>
        <v>-40.000000000000007</v>
      </c>
      <c r="M340" s="1" t="str">
        <f t="shared" si="84"/>
        <v>Delayed</v>
      </c>
      <c r="N340" s="27" t="str">
        <f t="shared" si="79"/>
        <v>airBaltic</v>
      </c>
      <c r="O340" s="3" t="s">
        <v>1318</v>
      </c>
      <c r="P340" s="20">
        <f t="shared" si="80"/>
        <v>2</v>
      </c>
      <c r="Q340" s="3" t="s">
        <v>1318</v>
      </c>
      <c r="R340" s="23" t="str">
        <f t="shared" si="81"/>
        <v>Tuesday</v>
      </c>
      <c r="S340" s="3" t="s">
        <v>1318</v>
      </c>
      <c r="T340" s="23" t="s">
        <v>7</v>
      </c>
      <c r="U340" s="3" t="s">
        <v>1318</v>
      </c>
      <c r="AO340" s="15"/>
      <c r="AP340" s="15"/>
      <c r="AQ340" s="15"/>
      <c r="AR340" s="23"/>
      <c r="AS340" s="15"/>
      <c r="AT340" s="15"/>
      <c r="AU340" s="23"/>
      <c r="AV340" s="23"/>
    </row>
    <row r="341" spans="1:48" x14ac:dyDescent="0.25">
      <c r="A341" t="s">
        <v>40</v>
      </c>
      <c r="B341" t="s">
        <v>41</v>
      </c>
      <c r="C341" s="10">
        <v>-19</v>
      </c>
      <c r="D341" t="s">
        <v>42</v>
      </c>
      <c r="E341" s="2">
        <f t="shared" si="83"/>
        <v>46210</v>
      </c>
      <c r="F341" s="3">
        <f t="shared" si="82"/>
        <v>5.6250000000000001E-2</v>
      </c>
      <c r="G341" t="s">
        <v>43</v>
      </c>
      <c r="H341" t="s">
        <v>44</v>
      </c>
      <c r="I341" t="s">
        <v>158</v>
      </c>
      <c r="J341" s="2">
        <v>46210</v>
      </c>
      <c r="K341" s="1">
        <v>5.9027777777777783E-2</v>
      </c>
      <c r="L341" s="10">
        <f t="shared" si="78"/>
        <v>4.0000000000000053</v>
      </c>
      <c r="M341" s="1" t="str">
        <f t="shared" si="84"/>
        <v>On Time</v>
      </c>
      <c r="N341" s="27" t="str">
        <f t="shared" si="79"/>
        <v>SAS</v>
      </c>
      <c r="O341" s="3" t="s">
        <v>1385</v>
      </c>
      <c r="P341" s="20">
        <f t="shared" si="80"/>
        <v>1</v>
      </c>
      <c r="Q341" s="3" t="s">
        <v>1385</v>
      </c>
      <c r="R341" s="23" t="str">
        <f t="shared" si="81"/>
        <v>Tuesday</v>
      </c>
      <c r="S341" s="3" t="s">
        <v>1385</v>
      </c>
      <c r="T341" s="23" t="s">
        <v>41</v>
      </c>
      <c r="U341" s="3" t="s">
        <v>1385</v>
      </c>
      <c r="AO341" s="15"/>
      <c r="AP341" s="15"/>
      <c r="AQ341" s="15"/>
      <c r="AR341" s="23"/>
      <c r="AS341" s="15"/>
      <c r="AT341" s="15"/>
      <c r="AU341" s="23"/>
      <c r="AV341" s="23"/>
    </row>
    <row r="342" spans="1:48" x14ac:dyDescent="0.25">
      <c r="A342" t="s">
        <v>123</v>
      </c>
      <c r="B342" t="s">
        <v>124</v>
      </c>
      <c r="D342" t="s">
        <v>639</v>
      </c>
      <c r="E342" s="2">
        <f t="shared" si="83"/>
        <v>46210</v>
      </c>
      <c r="F342" s="3">
        <f t="shared" si="82"/>
        <v>9.9999999999999992E-2</v>
      </c>
      <c r="G342" t="s">
        <v>640</v>
      </c>
      <c r="H342" t="s">
        <v>641</v>
      </c>
      <c r="I342" t="s">
        <v>249</v>
      </c>
      <c r="J342" s="2">
        <v>46210</v>
      </c>
      <c r="K342" s="1">
        <v>0.10347222222222223</v>
      </c>
      <c r="L342" s="10">
        <f t="shared" si="78"/>
        <v>5.0000000000000222</v>
      </c>
      <c r="M342" s="1" t="str">
        <f t="shared" si="84"/>
        <v>On Time</v>
      </c>
      <c r="N342" s="27" t="str">
        <f t="shared" si="79"/>
        <v>GetJet Airlines</v>
      </c>
      <c r="O342" s="3" t="s">
        <v>1385</v>
      </c>
      <c r="P342" s="20">
        <f t="shared" si="80"/>
        <v>2</v>
      </c>
      <c r="Q342" s="3" t="s">
        <v>1385</v>
      </c>
      <c r="R342" s="23" t="str">
        <f t="shared" si="81"/>
        <v>Tuesday</v>
      </c>
      <c r="S342" s="3" t="s">
        <v>1385</v>
      </c>
      <c r="T342" s="23" t="s">
        <v>124</v>
      </c>
      <c r="U342" s="3" t="s">
        <v>1385</v>
      </c>
      <c r="AO342" s="15"/>
      <c r="AP342" s="15"/>
      <c r="AQ342" s="15"/>
      <c r="AR342" s="23"/>
      <c r="AS342" s="15"/>
      <c r="AT342" s="15"/>
      <c r="AU342" s="23"/>
      <c r="AV342" s="23"/>
    </row>
    <row r="343" spans="1:48" x14ac:dyDescent="0.25">
      <c r="A343" t="s">
        <v>54</v>
      </c>
      <c r="B343" t="s">
        <v>55</v>
      </c>
      <c r="C343" s="10">
        <v>-19</v>
      </c>
      <c r="D343" t="s">
        <v>642</v>
      </c>
      <c r="E343" s="2">
        <f t="shared" si="83"/>
        <v>46210</v>
      </c>
      <c r="F343" s="3">
        <f t="shared" si="82"/>
        <v>0.32222222222222224</v>
      </c>
      <c r="G343" t="s">
        <v>57</v>
      </c>
      <c r="H343" t="s">
        <v>58</v>
      </c>
      <c r="I343" t="s">
        <v>59</v>
      </c>
      <c r="J343" s="2">
        <v>46210</v>
      </c>
      <c r="K343" s="1">
        <v>0.31666666666666665</v>
      </c>
      <c r="L343" s="10">
        <f t="shared" si="78"/>
        <v>-8.0000000000000515</v>
      </c>
      <c r="M343" s="1" t="str">
        <f t="shared" si="84"/>
        <v>On Time</v>
      </c>
      <c r="N343" s="27" t="e">
        <f t="shared" si="79"/>
        <v>#N/A</v>
      </c>
      <c r="O343" s="3" t="s">
        <v>1385</v>
      </c>
      <c r="P343" s="20">
        <f t="shared" si="80"/>
        <v>7</v>
      </c>
      <c r="Q343" s="3" t="s">
        <v>1385</v>
      </c>
      <c r="R343" s="23" t="str">
        <f t="shared" si="81"/>
        <v>Tuesday</v>
      </c>
      <c r="S343" s="3" t="s">
        <v>1385</v>
      </c>
      <c r="T343" s="23" t="s">
        <v>55</v>
      </c>
      <c r="U343" s="3" t="s">
        <v>1385</v>
      </c>
      <c r="AO343" s="15"/>
      <c r="AP343" s="15"/>
      <c r="AQ343" s="15"/>
      <c r="AR343" s="23"/>
      <c r="AS343" s="15"/>
      <c r="AT343" s="15"/>
      <c r="AU343" s="23"/>
      <c r="AV343" s="23"/>
    </row>
    <row r="344" spans="1:48" x14ac:dyDescent="0.25">
      <c r="A344" t="s">
        <v>60</v>
      </c>
      <c r="B344" t="s">
        <v>7</v>
      </c>
      <c r="C344" s="10">
        <v>-34</v>
      </c>
      <c r="D344" t="s">
        <v>492</v>
      </c>
      <c r="E344" s="2">
        <f t="shared" si="83"/>
        <v>46210</v>
      </c>
      <c r="F344" s="3">
        <f t="shared" si="82"/>
        <v>0.36944444444444446</v>
      </c>
      <c r="G344" t="s">
        <v>9</v>
      </c>
      <c r="H344" t="s">
        <v>10</v>
      </c>
      <c r="I344" t="s">
        <v>11</v>
      </c>
      <c r="J344" s="2">
        <v>46210</v>
      </c>
      <c r="K344" s="1">
        <v>0.3611111111111111</v>
      </c>
      <c r="L344" s="10">
        <f t="shared" si="78"/>
        <v>-12.000000000000037</v>
      </c>
      <c r="M344" s="1" t="str">
        <f t="shared" si="84"/>
        <v>On Time</v>
      </c>
      <c r="N344" s="27" t="str">
        <f t="shared" si="79"/>
        <v>airBaltic</v>
      </c>
      <c r="O344" s="3" t="s">
        <v>1385</v>
      </c>
      <c r="P344" s="20">
        <f t="shared" si="80"/>
        <v>8</v>
      </c>
      <c r="Q344" s="3" t="s">
        <v>1385</v>
      </c>
      <c r="R344" s="23" t="str">
        <f t="shared" si="81"/>
        <v>Tuesday</v>
      </c>
      <c r="S344" s="3" t="s">
        <v>1385</v>
      </c>
      <c r="T344" s="23" t="s">
        <v>7</v>
      </c>
      <c r="U344" s="3" t="s">
        <v>1385</v>
      </c>
      <c r="AO344" s="15"/>
      <c r="AP344" s="15"/>
      <c r="AQ344" s="15"/>
      <c r="AR344" s="23"/>
      <c r="AS344" s="15"/>
      <c r="AT344" s="15"/>
      <c r="AU344" s="23"/>
      <c r="AV344" s="23"/>
    </row>
    <row r="345" spans="1:48" x14ac:dyDescent="0.25">
      <c r="A345" t="s">
        <v>68</v>
      </c>
      <c r="B345" t="s">
        <v>69</v>
      </c>
      <c r="C345" s="10">
        <v>-2</v>
      </c>
      <c r="D345" t="s">
        <v>297</v>
      </c>
      <c r="E345" s="2">
        <f t="shared" si="83"/>
        <v>46210</v>
      </c>
      <c r="F345" s="3">
        <f t="shared" si="82"/>
        <v>0.37847222222222227</v>
      </c>
      <c r="G345" t="s">
        <v>71</v>
      </c>
      <c r="H345" t="s">
        <v>72</v>
      </c>
      <c r="I345" t="s">
        <v>73</v>
      </c>
      <c r="J345" s="2">
        <v>46210</v>
      </c>
      <c r="K345" s="1">
        <v>0.3888888888888889</v>
      </c>
      <c r="L345" s="10">
        <f t="shared" si="78"/>
        <v>14.999999999999947</v>
      </c>
      <c r="M345" s="1" t="str">
        <f t="shared" si="84"/>
        <v>On Time</v>
      </c>
      <c r="N345" s="27" t="str">
        <f t="shared" si="79"/>
        <v>Finnair</v>
      </c>
      <c r="O345" s="3" t="s">
        <v>1385</v>
      </c>
      <c r="P345" s="20">
        <f t="shared" si="80"/>
        <v>9</v>
      </c>
      <c r="Q345" s="3" t="s">
        <v>1385</v>
      </c>
      <c r="R345" s="23" t="str">
        <f t="shared" si="81"/>
        <v>Tuesday</v>
      </c>
      <c r="S345" s="3" t="s">
        <v>1385</v>
      </c>
      <c r="T345" s="23" t="s">
        <v>69</v>
      </c>
      <c r="U345" s="3" t="s">
        <v>1385</v>
      </c>
      <c r="AO345" s="15"/>
      <c r="AP345" s="15"/>
      <c r="AQ345" s="15"/>
      <c r="AR345" s="23"/>
      <c r="AS345" s="15"/>
      <c r="AT345" s="15"/>
      <c r="AU345" s="23"/>
      <c r="AV345" s="23"/>
    </row>
    <row r="346" spans="1:48" x14ac:dyDescent="0.25">
      <c r="A346" t="s">
        <v>78</v>
      </c>
      <c r="B346" t="s">
        <v>363</v>
      </c>
      <c r="C346" s="10">
        <v>-22</v>
      </c>
      <c r="D346" t="s">
        <v>415</v>
      </c>
      <c r="E346" s="2">
        <f t="shared" si="83"/>
        <v>46210</v>
      </c>
      <c r="F346" s="3">
        <f t="shared" si="82"/>
        <v>0.43541666666666662</v>
      </c>
      <c r="G346" t="s">
        <v>81</v>
      </c>
      <c r="H346" t="s">
        <v>82</v>
      </c>
      <c r="I346" t="s">
        <v>83</v>
      </c>
      <c r="J346" s="2">
        <v>46210</v>
      </c>
      <c r="K346" s="1">
        <v>0.42708333333333331</v>
      </c>
      <c r="L346" s="10">
        <f t="shared" si="78"/>
        <v>-11.999999999999957</v>
      </c>
      <c r="M346" s="1" t="str">
        <f t="shared" si="84"/>
        <v>On Time</v>
      </c>
      <c r="N346" s="27" t="e">
        <f t="shared" si="79"/>
        <v>#N/A</v>
      </c>
      <c r="O346" s="3" t="s">
        <v>1385</v>
      </c>
      <c r="P346" s="20">
        <f t="shared" si="80"/>
        <v>10</v>
      </c>
      <c r="Q346" s="3" t="s">
        <v>1385</v>
      </c>
      <c r="R346" s="23" t="str">
        <f t="shared" si="81"/>
        <v>Tuesday</v>
      </c>
      <c r="S346" s="3" t="s">
        <v>1385</v>
      </c>
      <c r="T346" s="23" t="s">
        <v>363</v>
      </c>
      <c r="U346" s="3" t="s">
        <v>1385</v>
      </c>
      <c r="AO346" s="15"/>
      <c r="AP346" s="15"/>
      <c r="AQ346" s="15"/>
      <c r="AR346" s="23"/>
      <c r="AS346" s="15"/>
      <c r="AT346" s="15"/>
      <c r="AU346" s="23"/>
      <c r="AV346" s="23"/>
    </row>
    <row r="347" spans="1:48" x14ac:dyDescent="0.25">
      <c r="A347" t="s">
        <v>90</v>
      </c>
      <c r="B347" t="s">
        <v>19</v>
      </c>
      <c r="C347" s="10">
        <v>-28</v>
      </c>
      <c r="D347" t="s">
        <v>643</v>
      </c>
      <c r="E347" s="2">
        <f t="shared" si="83"/>
        <v>46210</v>
      </c>
      <c r="F347" s="3">
        <f t="shared" si="82"/>
        <v>0.43055555555555558</v>
      </c>
      <c r="G347" t="s">
        <v>21</v>
      </c>
      <c r="H347" t="s">
        <v>22</v>
      </c>
      <c r="I347" t="s">
        <v>177</v>
      </c>
      <c r="J347" s="2">
        <v>46210</v>
      </c>
      <c r="K347" s="1">
        <v>0.42708333333333331</v>
      </c>
      <c r="L347" s="10">
        <f t="shared" si="78"/>
        <v>-5.0000000000000622</v>
      </c>
      <c r="M347" s="1" t="str">
        <f t="shared" si="84"/>
        <v>On Time</v>
      </c>
      <c r="N347" s="27" t="str">
        <f t="shared" si="79"/>
        <v>LOT</v>
      </c>
      <c r="O347" s="3" t="s">
        <v>1385</v>
      </c>
      <c r="P347" s="20">
        <f t="shared" si="80"/>
        <v>10</v>
      </c>
      <c r="Q347" s="3" t="s">
        <v>1385</v>
      </c>
      <c r="R347" s="23" t="str">
        <f t="shared" si="81"/>
        <v>Tuesday</v>
      </c>
      <c r="S347" s="3" t="s">
        <v>1385</v>
      </c>
      <c r="T347" s="23" t="s">
        <v>19</v>
      </c>
      <c r="U347" s="3" t="s">
        <v>1385</v>
      </c>
      <c r="AO347" s="15"/>
      <c r="AP347" s="15"/>
      <c r="AQ347" s="15"/>
      <c r="AR347" s="23"/>
      <c r="AS347" s="15"/>
      <c r="AT347" s="15"/>
      <c r="AU347" s="23"/>
      <c r="AV347" s="23"/>
    </row>
    <row r="348" spans="1:48" x14ac:dyDescent="0.25">
      <c r="A348" t="s">
        <v>261</v>
      </c>
      <c r="B348" t="s">
        <v>85</v>
      </c>
      <c r="C348" s="10">
        <v>-11</v>
      </c>
      <c r="D348" t="s">
        <v>644</v>
      </c>
      <c r="E348" s="2">
        <f t="shared" si="83"/>
        <v>46210</v>
      </c>
      <c r="F348" s="3">
        <f t="shared" si="82"/>
        <v>0.42083333333333334</v>
      </c>
      <c r="G348" t="s">
        <v>263</v>
      </c>
      <c r="H348" t="s">
        <v>264</v>
      </c>
      <c r="I348" t="s">
        <v>89</v>
      </c>
      <c r="J348" s="2">
        <v>46210</v>
      </c>
      <c r="K348" s="1">
        <v>0.43055555555555558</v>
      </c>
      <c r="L348" s="10">
        <f t="shared" si="78"/>
        <v>14.00000000000003</v>
      </c>
      <c r="M348" s="1" t="str">
        <f t="shared" si="84"/>
        <v>On Time</v>
      </c>
      <c r="N348" s="27" t="str">
        <f t="shared" si="79"/>
        <v>Ryanair</v>
      </c>
      <c r="O348" s="3" t="s">
        <v>1385</v>
      </c>
      <c r="P348" s="20">
        <f t="shared" si="80"/>
        <v>10</v>
      </c>
      <c r="Q348" s="3" t="s">
        <v>1385</v>
      </c>
      <c r="R348" s="23" t="str">
        <f t="shared" si="81"/>
        <v>Tuesday</v>
      </c>
      <c r="S348" s="3" t="s">
        <v>1385</v>
      </c>
      <c r="T348" s="23" t="s">
        <v>85</v>
      </c>
      <c r="U348" s="3" t="s">
        <v>1385</v>
      </c>
      <c r="AO348" s="15"/>
      <c r="AP348" s="15"/>
      <c r="AQ348" s="15"/>
      <c r="AR348" s="23"/>
      <c r="AS348" s="15"/>
      <c r="AT348" s="15"/>
      <c r="AU348" s="23"/>
      <c r="AV348" s="23"/>
    </row>
    <row r="349" spans="1:48" x14ac:dyDescent="0.25">
      <c r="A349" t="s">
        <v>95</v>
      </c>
      <c r="B349" t="s">
        <v>96</v>
      </c>
      <c r="C349" s="10">
        <v>-13</v>
      </c>
      <c r="D349" t="s">
        <v>577</v>
      </c>
      <c r="E349" s="2">
        <f t="shared" si="83"/>
        <v>46210</v>
      </c>
      <c r="F349" s="3">
        <f t="shared" si="82"/>
        <v>0.4381944444444445</v>
      </c>
      <c r="G349" t="s">
        <v>98</v>
      </c>
      <c r="H349" t="s">
        <v>99</v>
      </c>
      <c r="I349" t="s">
        <v>17</v>
      </c>
      <c r="J349" s="2">
        <v>46210</v>
      </c>
      <c r="K349" s="1">
        <v>0.44791666666666669</v>
      </c>
      <c r="L349" s="10">
        <f t="shared" si="78"/>
        <v>13.99999999999995</v>
      </c>
      <c r="M349" s="1" t="str">
        <f t="shared" si="84"/>
        <v>On Time</v>
      </c>
      <c r="N349" s="27" t="str">
        <f t="shared" si="79"/>
        <v>Turkish Airlines</v>
      </c>
      <c r="O349" s="3" t="s">
        <v>1385</v>
      </c>
      <c r="P349" s="20">
        <f t="shared" si="80"/>
        <v>10</v>
      </c>
      <c r="Q349" s="3" t="s">
        <v>1385</v>
      </c>
      <c r="R349" s="23" t="str">
        <f t="shared" si="81"/>
        <v>Tuesday</v>
      </c>
      <c r="S349" s="3" t="s">
        <v>1385</v>
      </c>
      <c r="T349" s="23" t="s">
        <v>96</v>
      </c>
      <c r="U349" s="3" t="s">
        <v>1385</v>
      </c>
      <c r="AO349" s="15"/>
      <c r="AP349" s="15"/>
      <c r="AQ349" s="15"/>
      <c r="AR349" s="23"/>
      <c r="AS349" s="15"/>
      <c r="AT349" s="15"/>
      <c r="AU349" s="23"/>
      <c r="AV349" s="23"/>
    </row>
    <row r="350" spans="1:48" x14ac:dyDescent="0.25">
      <c r="A350" t="s">
        <v>645</v>
      </c>
      <c r="B350" t="s">
        <v>592</v>
      </c>
      <c r="D350" t="s">
        <v>646</v>
      </c>
      <c r="E350" s="2">
        <f t="shared" si="83"/>
        <v>46210</v>
      </c>
      <c r="F350" s="3">
        <f t="shared" si="82"/>
        <v>0.48888888888888887</v>
      </c>
      <c r="G350" t="s">
        <v>247</v>
      </c>
      <c r="H350" t="s">
        <v>248</v>
      </c>
      <c r="I350" t="s">
        <v>83</v>
      </c>
      <c r="J350" s="2">
        <v>46210</v>
      </c>
      <c r="K350" s="1">
        <v>0.49652777777777773</v>
      </c>
      <c r="L350" s="10">
        <f t="shared" si="78"/>
        <v>10.999999999999961</v>
      </c>
      <c r="M350" s="1" t="str">
        <f t="shared" si="84"/>
        <v>On Time</v>
      </c>
      <c r="N350" s="27" t="e">
        <f t="shared" si="79"/>
        <v>#N/A</v>
      </c>
      <c r="O350" s="3" t="s">
        <v>1385</v>
      </c>
      <c r="P350" s="20">
        <f t="shared" si="80"/>
        <v>11</v>
      </c>
      <c r="Q350" s="3" t="s">
        <v>1385</v>
      </c>
      <c r="R350" s="23" t="str">
        <f t="shared" si="81"/>
        <v>Tuesday</v>
      </c>
      <c r="S350" s="3" t="s">
        <v>1385</v>
      </c>
      <c r="T350" s="23" t="s">
        <v>592</v>
      </c>
      <c r="U350" s="3" t="s">
        <v>1385</v>
      </c>
      <c r="AO350" s="15"/>
      <c r="AP350" s="15"/>
      <c r="AQ350" s="15"/>
      <c r="AR350" s="23"/>
      <c r="AS350" s="15"/>
      <c r="AT350" s="15"/>
      <c r="AU350" s="23"/>
      <c r="AV350" s="23"/>
    </row>
    <row r="351" spans="1:48" x14ac:dyDescent="0.25">
      <c r="A351" t="s">
        <v>383</v>
      </c>
      <c r="B351" t="s">
        <v>7</v>
      </c>
      <c r="C351" s="10">
        <v>-23</v>
      </c>
      <c r="D351" t="s">
        <v>647</v>
      </c>
      <c r="E351" s="2">
        <f t="shared" si="83"/>
        <v>46210</v>
      </c>
      <c r="F351" s="3">
        <f t="shared" si="82"/>
        <v>0.5</v>
      </c>
      <c r="G351" t="s">
        <v>26</v>
      </c>
      <c r="H351" t="s">
        <v>27</v>
      </c>
      <c r="I351" t="s">
        <v>11</v>
      </c>
      <c r="J351" s="2">
        <v>46210</v>
      </c>
      <c r="K351" s="1">
        <v>0.5</v>
      </c>
      <c r="L351" s="10">
        <f t="shared" si="78"/>
        <v>0</v>
      </c>
      <c r="M351" s="1" t="str">
        <f t="shared" si="84"/>
        <v>On Time</v>
      </c>
      <c r="N351" s="27" t="str">
        <f t="shared" si="79"/>
        <v>airBaltic</v>
      </c>
      <c r="O351" s="3" t="s">
        <v>1385</v>
      </c>
      <c r="P351" s="20">
        <f t="shared" si="80"/>
        <v>12</v>
      </c>
      <c r="Q351" s="3" t="s">
        <v>1385</v>
      </c>
      <c r="R351" s="23" t="str">
        <f t="shared" si="81"/>
        <v>Tuesday</v>
      </c>
      <c r="S351" s="3" t="s">
        <v>1385</v>
      </c>
      <c r="T351" s="23" t="s">
        <v>7</v>
      </c>
      <c r="U351" s="3" t="s">
        <v>1385</v>
      </c>
      <c r="AO351" s="15"/>
      <c r="AP351" s="15"/>
      <c r="AQ351" s="15"/>
      <c r="AR351" s="23"/>
      <c r="AS351" s="15"/>
      <c r="AT351" s="15"/>
      <c r="AU351" s="23"/>
      <c r="AV351" s="23"/>
    </row>
    <row r="352" spans="1:48" x14ac:dyDescent="0.25">
      <c r="A352" t="s">
        <v>159</v>
      </c>
      <c r="B352" t="s">
        <v>85</v>
      </c>
      <c r="C352" s="10">
        <v>-30</v>
      </c>
      <c r="D352" t="s">
        <v>648</v>
      </c>
      <c r="E352" s="2">
        <f t="shared" si="83"/>
        <v>46210</v>
      </c>
      <c r="F352" s="3">
        <f t="shared" si="82"/>
        <v>0.5180555555555556</v>
      </c>
      <c r="G352" t="s">
        <v>34</v>
      </c>
      <c r="H352" t="s">
        <v>161</v>
      </c>
      <c r="I352" t="s">
        <v>89</v>
      </c>
      <c r="J352" s="2">
        <v>46210</v>
      </c>
      <c r="K352" s="1">
        <v>0.51041666666666663</v>
      </c>
      <c r="L352" s="10">
        <f t="shared" si="78"/>
        <v>-11.000000000000121</v>
      </c>
      <c r="M352" s="1" t="str">
        <f t="shared" si="84"/>
        <v>On Time</v>
      </c>
      <c r="N352" s="27" t="str">
        <f t="shared" si="79"/>
        <v>Ryanair</v>
      </c>
      <c r="O352" s="3" t="s">
        <v>1385</v>
      </c>
      <c r="P352" s="20">
        <f t="shared" si="80"/>
        <v>12</v>
      </c>
      <c r="Q352" s="3" t="s">
        <v>1385</v>
      </c>
      <c r="R352" s="23" t="str">
        <f t="shared" si="81"/>
        <v>Tuesday</v>
      </c>
      <c r="S352" s="3" t="s">
        <v>1385</v>
      </c>
      <c r="T352" s="23" t="s">
        <v>85</v>
      </c>
      <c r="U352" s="3" t="s">
        <v>1385</v>
      </c>
      <c r="AO352" s="15"/>
      <c r="AP352" s="15"/>
      <c r="AQ352" s="15"/>
      <c r="AR352" s="23"/>
      <c r="AS352" s="15"/>
      <c r="AT352" s="15"/>
      <c r="AU352" s="23"/>
      <c r="AV352" s="23"/>
    </row>
    <row r="353" spans="1:48" x14ac:dyDescent="0.25">
      <c r="A353" t="s">
        <v>540</v>
      </c>
      <c r="B353" t="s">
        <v>13</v>
      </c>
      <c r="C353" s="10">
        <v>-13</v>
      </c>
      <c r="D353" t="s">
        <v>649</v>
      </c>
      <c r="E353" s="2">
        <f t="shared" si="83"/>
        <v>46210</v>
      </c>
      <c r="F353" s="3">
        <f t="shared" si="82"/>
        <v>0.50694444444444442</v>
      </c>
      <c r="G353" t="s">
        <v>481</v>
      </c>
      <c r="H353" t="s">
        <v>482</v>
      </c>
      <c r="I353" t="s">
        <v>17</v>
      </c>
      <c r="J353" s="2">
        <v>46210</v>
      </c>
      <c r="K353" s="1">
        <v>0.51388888888888895</v>
      </c>
      <c r="L353" s="10">
        <f t="shared" si="78"/>
        <v>10.000000000000124</v>
      </c>
      <c r="M353" s="1" t="str">
        <f t="shared" si="84"/>
        <v>On Time</v>
      </c>
      <c r="N353" s="27" t="str">
        <f t="shared" si="79"/>
        <v>Wizz Air</v>
      </c>
      <c r="O353" s="3" t="s">
        <v>1385</v>
      </c>
      <c r="P353" s="20">
        <f t="shared" si="80"/>
        <v>12</v>
      </c>
      <c r="Q353" s="3" t="s">
        <v>1385</v>
      </c>
      <c r="R353" s="23" t="str">
        <f t="shared" si="81"/>
        <v>Tuesday</v>
      </c>
      <c r="S353" s="3" t="s">
        <v>1385</v>
      </c>
      <c r="T353" s="23" t="s">
        <v>13</v>
      </c>
      <c r="U353" s="3" t="s">
        <v>1385</v>
      </c>
      <c r="AO353" s="15"/>
      <c r="AP353" s="15"/>
      <c r="AQ353" s="15"/>
      <c r="AR353" s="23"/>
      <c r="AS353" s="15"/>
      <c r="AT353" s="15"/>
      <c r="AU353" s="23"/>
      <c r="AV353" s="23"/>
    </row>
    <row r="354" spans="1:48" x14ac:dyDescent="0.25">
      <c r="A354" t="s">
        <v>422</v>
      </c>
      <c r="B354" t="s">
        <v>13</v>
      </c>
      <c r="C354" s="10" t="e">
        <f>NA()</f>
        <v>#N/A</v>
      </c>
      <c r="D354" t="s">
        <v>377</v>
      </c>
      <c r="E354" s="2">
        <f t="shared" si="83"/>
        <v>46210</v>
      </c>
      <c r="F354" s="3" t="e">
        <f t="shared" si="82"/>
        <v>#N/A</v>
      </c>
      <c r="G354" t="s">
        <v>424</v>
      </c>
      <c r="H354" t="s">
        <v>425</v>
      </c>
      <c r="I354" t="s">
        <v>123</v>
      </c>
      <c r="J354" s="2">
        <v>46210</v>
      </c>
      <c r="K354" s="1">
        <v>0.51736111111111105</v>
      </c>
      <c r="L354" s="10" t="e">
        <f t="shared" si="78"/>
        <v>#N/A</v>
      </c>
      <c r="M354" s="1" t="e">
        <f t="shared" si="84"/>
        <v>#N/A</v>
      </c>
      <c r="N354" s="27" t="str">
        <f t="shared" si="79"/>
        <v>Wizz Air</v>
      </c>
      <c r="O354" s="3" t="e">
        <v>#N/A</v>
      </c>
      <c r="P354" s="20" t="e">
        <f t="shared" si="80"/>
        <v>#N/A</v>
      </c>
      <c r="Q354" s="3" t="e">
        <v>#N/A</v>
      </c>
      <c r="R354" s="23" t="str">
        <f t="shared" si="81"/>
        <v>Tuesday</v>
      </c>
      <c r="S354" s="3" t="e">
        <v>#N/A</v>
      </c>
      <c r="T354" s="23" t="s">
        <v>13</v>
      </c>
      <c r="AO354" s="15"/>
      <c r="AP354" s="15"/>
      <c r="AQ354" s="15"/>
      <c r="AR354" s="23"/>
      <c r="AS354" s="15"/>
      <c r="AT354" s="15"/>
      <c r="AU354" s="23"/>
      <c r="AV354" s="23"/>
    </row>
    <row r="355" spans="1:48" x14ac:dyDescent="0.25">
      <c r="A355" t="s">
        <v>100</v>
      </c>
      <c r="B355" t="s">
        <v>85</v>
      </c>
      <c r="C355" s="10">
        <v>-11</v>
      </c>
      <c r="D355" t="s">
        <v>650</v>
      </c>
      <c r="E355" s="2">
        <f t="shared" si="83"/>
        <v>46210</v>
      </c>
      <c r="F355" s="3">
        <f t="shared" si="82"/>
        <v>0.51388888888888895</v>
      </c>
      <c r="G355" t="s">
        <v>102</v>
      </c>
      <c r="H355" t="s">
        <v>103</v>
      </c>
      <c r="I355" t="s">
        <v>89</v>
      </c>
      <c r="J355" s="2">
        <v>46210</v>
      </c>
      <c r="K355" s="1">
        <v>0.52777777777777779</v>
      </c>
      <c r="L355" s="10">
        <f t="shared" si="78"/>
        <v>19.999999999999929</v>
      </c>
      <c r="M355" s="1" t="str">
        <f t="shared" si="84"/>
        <v>On Time</v>
      </c>
      <c r="N355" s="27" t="str">
        <f t="shared" si="79"/>
        <v>Ryanair</v>
      </c>
      <c r="O355" s="3" t="s">
        <v>1385</v>
      </c>
      <c r="P355" s="20">
        <f t="shared" si="80"/>
        <v>12</v>
      </c>
      <c r="Q355" s="3" t="s">
        <v>1385</v>
      </c>
      <c r="R355" s="23" t="str">
        <f t="shared" si="81"/>
        <v>Tuesday</v>
      </c>
      <c r="S355" s="3" t="s">
        <v>1385</v>
      </c>
      <c r="T355" s="23" t="s">
        <v>85</v>
      </c>
      <c r="U355" s="3" t="s">
        <v>1385</v>
      </c>
      <c r="AO355" s="15"/>
      <c r="AP355" s="15"/>
      <c r="AQ355" s="15"/>
      <c r="AR355" s="23"/>
      <c r="AS355" s="15"/>
      <c r="AT355" s="15"/>
      <c r="AU355" s="23"/>
      <c r="AV355" s="23"/>
    </row>
    <row r="356" spans="1:48" x14ac:dyDescent="0.25">
      <c r="A356" t="s">
        <v>108</v>
      </c>
      <c r="B356" t="s">
        <v>190</v>
      </c>
      <c r="C356" s="10">
        <v>-10</v>
      </c>
      <c r="D356" t="s">
        <v>648</v>
      </c>
      <c r="E356" s="2">
        <f t="shared" si="83"/>
        <v>46210</v>
      </c>
      <c r="F356" s="3">
        <f t="shared" si="82"/>
        <v>0.5180555555555556</v>
      </c>
      <c r="G356" t="s">
        <v>110</v>
      </c>
      <c r="H356" t="s">
        <v>111</v>
      </c>
      <c r="I356" t="s">
        <v>112</v>
      </c>
      <c r="J356" s="2">
        <v>46210</v>
      </c>
      <c r="K356" s="1">
        <v>0.52777777777777779</v>
      </c>
      <c r="L356" s="10">
        <f t="shared" si="78"/>
        <v>13.99999999999995</v>
      </c>
      <c r="M356" s="1" t="str">
        <f t="shared" si="84"/>
        <v>On Time</v>
      </c>
      <c r="N356" s="27" t="str">
        <f t="shared" si="79"/>
        <v>Lufthansa</v>
      </c>
      <c r="O356" s="3" t="s">
        <v>1385</v>
      </c>
      <c r="P356" s="20">
        <f t="shared" si="80"/>
        <v>12</v>
      </c>
      <c r="Q356" s="3" t="s">
        <v>1385</v>
      </c>
      <c r="R356" s="23" t="str">
        <f t="shared" si="81"/>
        <v>Tuesday</v>
      </c>
      <c r="S356" s="3" t="s">
        <v>1385</v>
      </c>
      <c r="T356" s="23" t="s">
        <v>190</v>
      </c>
      <c r="U356" s="3" t="s">
        <v>1385</v>
      </c>
      <c r="AO356" s="15"/>
      <c r="AP356" s="15"/>
      <c r="AQ356" s="15"/>
      <c r="AR356" s="23"/>
      <c r="AS356" s="15"/>
      <c r="AT356" s="15"/>
      <c r="AU356" s="23"/>
      <c r="AV356" s="23"/>
    </row>
    <row r="357" spans="1:48" x14ac:dyDescent="0.25">
      <c r="A357" t="s">
        <v>651</v>
      </c>
      <c r="B357" t="s">
        <v>117</v>
      </c>
      <c r="D357" t="s">
        <v>118</v>
      </c>
      <c r="E357" s="2">
        <f t="shared" si="83"/>
        <v>46210</v>
      </c>
      <c r="F357" s="3">
        <f t="shared" si="82"/>
        <v>0.52569444444444446</v>
      </c>
      <c r="G357" t="s">
        <v>247</v>
      </c>
      <c r="H357" t="s">
        <v>248</v>
      </c>
      <c r="I357" t="s">
        <v>67</v>
      </c>
      <c r="J357" s="2">
        <v>46210</v>
      </c>
      <c r="K357" s="1">
        <v>0.53333333333333333</v>
      </c>
      <c r="L357" s="10">
        <f t="shared" si="78"/>
        <v>10.999999999999961</v>
      </c>
      <c r="M357" s="1" t="str">
        <f t="shared" si="84"/>
        <v>On Time</v>
      </c>
      <c r="N357" s="27" t="str">
        <f t="shared" si="79"/>
        <v>Heston Airlines</v>
      </c>
      <c r="O357" s="3" t="s">
        <v>1385</v>
      </c>
      <c r="P357" s="20">
        <f t="shared" si="80"/>
        <v>12</v>
      </c>
      <c r="Q357" s="3" t="s">
        <v>1385</v>
      </c>
      <c r="R357" s="23" t="str">
        <f t="shared" si="81"/>
        <v>Tuesday</v>
      </c>
      <c r="S357" s="3" t="s">
        <v>1385</v>
      </c>
      <c r="T357" s="23" t="s">
        <v>117</v>
      </c>
      <c r="U357" s="3" t="s">
        <v>1385</v>
      </c>
      <c r="AO357" s="15"/>
      <c r="AP357" s="15"/>
      <c r="AQ357" s="15"/>
      <c r="AR357" s="23"/>
      <c r="AS357" s="15"/>
      <c r="AT357" s="15"/>
      <c r="AU357" s="23"/>
      <c r="AV357" s="23"/>
    </row>
    <row r="358" spans="1:48" x14ac:dyDescent="0.25">
      <c r="A358" t="s">
        <v>121</v>
      </c>
      <c r="B358" t="s">
        <v>69</v>
      </c>
      <c r="C358" s="10">
        <v>-13</v>
      </c>
      <c r="D358" t="s">
        <v>652</v>
      </c>
      <c r="E358" s="2">
        <f t="shared" si="83"/>
        <v>46210</v>
      </c>
      <c r="F358" s="3">
        <f t="shared" si="82"/>
        <v>0.53888888888888886</v>
      </c>
      <c r="G358" t="s">
        <v>71</v>
      </c>
      <c r="H358" t="s">
        <v>72</v>
      </c>
      <c r="I358" t="s">
        <v>73</v>
      </c>
      <c r="J358" s="2">
        <v>46210</v>
      </c>
      <c r="K358" s="1">
        <v>0.54166666666666663</v>
      </c>
      <c r="L358" s="10">
        <f t="shared" si="78"/>
        <v>3.9999999999999858</v>
      </c>
      <c r="M358" s="1" t="str">
        <f t="shared" si="84"/>
        <v>On Time</v>
      </c>
      <c r="N358" s="27" t="str">
        <f t="shared" si="79"/>
        <v>Finnair</v>
      </c>
      <c r="O358" s="3" t="s">
        <v>1385</v>
      </c>
      <c r="P358" s="20">
        <f t="shared" si="80"/>
        <v>12</v>
      </c>
      <c r="Q358" s="3" t="s">
        <v>1385</v>
      </c>
      <c r="R358" s="23" t="str">
        <f t="shared" si="81"/>
        <v>Tuesday</v>
      </c>
      <c r="S358" s="3" t="s">
        <v>1385</v>
      </c>
      <c r="T358" s="23" t="s">
        <v>69</v>
      </c>
      <c r="U358" s="3" t="s">
        <v>1385</v>
      </c>
      <c r="AO358" s="15"/>
      <c r="AP358" s="15"/>
      <c r="AQ358" s="15"/>
      <c r="AR358" s="23"/>
      <c r="AS358" s="15"/>
      <c r="AT358" s="15"/>
      <c r="AU358" s="23"/>
      <c r="AV358" s="23"/>
    </row>
    <row r="359" spans="1:48" x14ac:dyDescent="0.25">
      <c r="A359" t="s">
        <v>245</v>
      </c>
      <c r="B359" t="s">
        <v>124</v>
      </c>
      <c r="D359" t="s">
        <v>125</v>
      </c>
      <c r="E359" s="2">
        <f t="shared" si="83"/>
        <v>46210</v>
      </c>
      <c r="F359" s="3">
        <f t="shared" si="82"/>
        <v>0.55277777777777781</v>
      </c>
      <c r="G359" t="s">
        <v>247</v>
      </c>
      <c r="H359" t="s">
        <v>248</v>
      </c>
      <c r="I359" t="s">
        <v>249</v>
      </c>
      <c r="J359" s="2">
        <v>46210</v>
      </c>
      <c r="K359" s="1">
        <v>0.55347222222222225</v>
      </c>
      <c r="L359" s="10">
        <f t="shared" si="78"/>
        <v>0.99999999999999645</v>
      </c>
      <c r="M359" s="1" t="str">
        <f t="shared" si="84"/>
        <v>On Time</v>
      </c>
      <c r="N359" s="27" t="str">
        <f t="shared" si="79"/>
        <v>GetJet Airlines</v>
      </c>
      <c r="O359" s="3" t="s">
        <v>1385</v>
      </c>
      <c r="P359" s="20">
        <f t="shared" si="80"/>
        <v>13</v>
      </c>
      <c r="Q359" s="3" t="s">
        <v>1385</v>
      </c>
      <c r="R359" s="23" t="str">
        <f t="shared" si="81"/>
        <v>Tuesday</v>
      </c>
      <c r="S359" s="3" t="s">
        <v>1385</v>
      </c>
      <c r="T359" s="23" t="s">
        <v>124</v>
      </c>
      <c r="U359" s="3" t="s">
        <v>1385</v>
      </c>
      <c r="AO359" s="15"/>
      <c r="AP359" s="15"/>
      <c r="AQ359" s="15"/>
      <c r="AR359" s="23"/>
      <c r="AS359" s="15"/>
      <c r="AT359" s="15"/>
      <c r="AU359" s="23"/>
      <c r="AV359" s="23"/>
    </row>
    <row r="360" spans="1:48" x14ac:dyDescent="0.25">
      <c r="A360" t="s">
        <v>133</v>
      </c>
      <c r="B360" t="s">
        <v>7</v>
      </c>
      <c r="C360" s="10">
        <v>-29</v>
      </c>
      <c r="D360" t="s">
        <v>653</v>
      </c>
      <c r="E360" s="2">
        <f t="shared" si="83"/>
        <v>46210</v>
      </c>
      <c r="F360" s="3">
        <f t="shared" si="82"/>
        <v>0.55902777777777779</v>
      </c>
      <c r="G360" t="s">
        <v>135</v>
      </c>
      <c r="H360" t="s">
        <v>136</v>
      </c>
      <c r="I360" t="s">
        <v>11</v>
      </c>
      <c r="J360" s="2">
        <v>46210</v>
      </c>
      <c r="K360" s="1">
        <v>0.55902777777777779</v>
      </c>
      <c r="L360" s="10">
        <f t="shared" si="78"/>
        <v>0</v>
      </c>
      <c r="M360" s="1" t="str">
        <f t="shared" si="84"/>
        <v>On Time</v>
      </c>
      <c r="N360" s="27" t="str">
        <f t="shared" si="79"/>
        <v>airBaltic</v>
      </c>
      <c r="O360" s="3" t="s">
        <v>1385</v>
      </c>
      <c r="P360" s="20">
        <f t="shared" si="80"/>
        <v>13</v>
      </c>
      <c r="Q360" s="3" t="s">
        <v>1385</v>
      </c>
      <c r="R360" s="23" t="str">
        <f t="shared" si="81"/>
        <v>Tuesday</v>
      </c>
      <c r="S360" s="3" t="s">
        <v>1385</v>
      </c>
      <c r="T360" s="23" t="s">
        <v>7</v>
      </c>
      <c r="U360" s="3" t="s">
        <v>1385</v>
      </c>
      <c r="AO360" s="15"/>
      <c r="AP360" s="15"/>
      <c r="AQ360" s="15"/>
      <c r="AR360" s="23"/>
      <c r="AS360" s="15"/>
      <c r="AT360" s="15"/>
      <c r="AU360" s="23"/>
      <c r="AV360" s="23"/>
    </row>
    <row r="361" spans="1:48" x14ac:dyDescent="0.25">
      <c r="A361" t="s">
        <v>141</v>
      </c>
      <c r="B361" t="s">
        <v>19</v>
      </c>
      <c r="C361" s="10">
        <v>-17</v>
      </c>
      <c r="D361" t="s">
        <v>654</v>
      </c>
      <c r="E361" s="2">
        <f t="shared" si="83"/>
        <v>46210</v>
      </c>
      <c r="F361" s="3">
        <f t="shared" si="82"/>
        <v>0.57291666666666663</v>
      </c>
      <c r="G361" t="s">
        <v>21</v>
      </c>
      <c r="H361" t="s">
        <v>22</v>
      </c>
      <c r="I361" t="s">
        <v>237</v>
      </c>
      <c r="J361" s="2">
        <v>46210</v>
      </c>
      <c r="K361" s="1">
        <v>0.57638888888888895</v>
      </c>
      <c r="L361" s="10">
        <f t="shared" si="78"/>
        <v>5.0000000000001421</v>
      </c>
      <c r="M361" s="1" t="str">
        <f t="shared" si="84"/>
        <v>On Time</v>
      </c>
      <c r="N361" s="27" t="str">
        <f t="shared" si="79"/>
        <v>LOT</v>
      </c>
      <c r="O361" s="3" t="s">
        <v>1385</v>
      </c>
      <c r="P361" s="20">
        <f t="shared" si="80"/>
        <v>13</v>
      </c>
      <c r="Q361" s="3" t="s">
        <v>1385</v>
      </c>
      <c r="R361" s="23" t="str">
        <f t="shared" si="81"/>
        <v>Tuesday</v>
      </c>
      <c r="S361" s="3" t="s">
        <v>1385</v>
      </c>
      <c r="T361" s="23" t="s">
        <v>19</v>
      </c>
      <c r="U361" s="3" t="s">
        <v>1385</v>
      </c>
      <c r="AO361" s="15"/>
      <c r="AP361" s="15"/>
      <c r="AQ361" s="15"/>
      <c r="AR361" s="23"/>
      <c r="AS361" s="15"/>
      <c r="AT361" s="15"/>
      <c r="AU361" s="23"/>
      <c r="AV361" s="23"/>
    </row>
    <row r="362" spans="1:48" x14ac:dyDescent="0.25">
      <c r="A362" t="s">
        <v>655</v>
      </c>
      <c r="B362" t="s">
        <v>388</v>
      </c>
      <c r="C362" s="10">
        <v>92</v>
      </c>
      <c r="D362" t="s">
        <v>656</v>
      </c>
      <c r="E362" s="2">
        <f t="shared" si="83"/>
        <v>46210</v>
      </c>
      <c r="F362" s="3">
        <f t="shared" si="82"/>
        <v>0.49374999999999997</v>
      </c>
      <c r="G362" t="s">
        <v>657</v>
      </c>
      <c r="H362" t="s">
        <v>658</v>
      </c>
      <c r="I362" t="s">
        <v>89</v>
      </c>
      <c r="J362" s="2">
        <v>46210</v>
      </c>
      <c r="K362" s="1">
        <v>0.57986111111111105</v>
      </c>
      <c r="L362" s="10">
        <f t="shared" si="78"/>
        <v>123.99999999999996</v>
      </c>
      <c r="M362" s="1" t="str">
        <f t="shared" si="84"/>
        <v>On Time</v>
      </c>
      <c r="N362" s="27" t="e">
        <f t="shared" si="79"/>
        <v>#N/A</v>
      </c>
      <c r="O362" s="3" t="s">
        <v>1385</v>
      </c>
      <c r="P362" s="20">
        <f t="shared" si="80"/>
        <v>11</v>
      </c>
      <c r="Q362" s="3" t="s">
        <v>1385</v>
      </c>
      <c r="R362" s="23" t="str">
        <f t="shared" si="81"/>
        <v>Tuesday</v>
      </c>
      <c r="S362" s="3" t="s">
        <v>1385</v>
      </c>
      <c r="T362" s="23" t="s">
        <v>388</v>
      </c>
      <c r="U362" s="3" t="s">
        <v>1385</v>
      </c>
      <c r="AO362" s="15"/>
      <c r="AP362" s="15"/>
      <c r="AQ362" s="15"/>
      <c r="AR362" s="23"/>
      <c r="AS362" s="15"/>
      <c r="AT362" s="15"/>
      <c r="AU362" s="23"/>
      <c r="AV362" s="23"/>
    </row>
    <row r="363" spans="1:48" x14ac:dyDescent="0.25">
      <c r="A363" t="s">
        <v>148</v>
      </c>
      <c r="B363" t="s">
        <v>7</v>
      </c>
      <c r="C363" s="10">
        <v>-13</v>
      </c>
      <c r="D363" t="s">
        <v>659</v>
      </c>
      <c r="E363" s="2">
        <f t="shared" si="83"/>
        <v>46210</v>
      </c>
      <c r="F363" s="3">
        <f t="shared" si="82"/>
        <v>0.60555555555555551</v>
      </c>
      <c r="G363" t="s">
        <v>9</v>
      </c>
      <c r="H363" t="s">
        <v>10</v>
      </c>
      <c r="I363" t="s">
        <v>11</v>
      </c>
      <c r="J363" s="2">
        <v>46210</v>
      </c>
      <c r="K363" s="1">
        <v>0.60763888888888895</v>
      </c>
      <c r="L363" s="10">
        <f t="shared" si="78"/>
        <v>3.0000000000001492</v>
      </c>
      <c r="M363" s="1" t="str">
        <f t="shared" si="84"/>
        <v>On Time</v>
      </c>
      <c r="N363" s="27" t="str">
        <f t="shared" si="79"/>
        <v>airBaltic</v>
      </c>
      <c r="O363" s="3" t="s">
        <v>1385</v>
      </c>
      <c r="P363" s="20">
        <f t="shared" si="80"/>
        <v>14</v>
      </c>
      <c r="Q363" s="3" t="s">
        <v>1385</v>
      </c>
      <c r="R363" s="23" t="str">
        <f t="shared" si="81"/>
        <v>Tuesday</v>
      </c>
      <c r="S363" s="3" t="s">
        <v>1385</v>
      </c>
      <c r="T363" s="23" t="s">
        <v>7</v>
      </c>
      <c r="U363" s="3" t="s">
        <v>1385</v>
      </c>
      <c r="AO363" s="15"/>
      <c r="AP363" s="15"/>
      <c r="AQ363" s="15"/>
      <c r="AR363" s="23"/>
      <c r="AS363" s="15"/>
      <c r="AT363" s="15"/>
      <c r="AU363" s="23"/>
      <c r="AV363" s="23"/>
    </row>
    <row r="364" spans="1:48" x14ac:dyDescent="0.25">
      <c r="A364" t="s">
        <v>192</v>
      </c>
      <c r="B364" t="s">
        <v>13</v>
      </c>
      <c r="C364" s="10">
        <v>-15</v>
      </c>
      <c r="D364" t="s">
        <v>660</v>
      </c>
      <c r="E364" s="2">
        <f t="shared" si="83"/>
        <v>46210</v>
      </c>
      <c r="F364" s="3">
        <f t="shared" si="82"/>
        <v>0.61249999999999993</v>
      </c>
      <c r="G364" t="s">
        <v>194</v>
      </c>
      <c r="H364" t="s">
        <v>195</v>
      </c>
      <c r="I364" t="s">
        <v>17</v>
      </c>
      <c r="J364" s="2">
        <v>46210</v>
      </c>
      <c r="K364" s="1">
        <v>0.61805555555555558</v>
      </c>
      <c r="L364" s="10">
        <f t="shared" si="78"/>
        <v>8.0000000000001315</v>
      </c>
      <c r="M364" s="1" t="str">
        <f t="shared" si="84"/>
        <v>On Time</v>
      </c>
      <c r="N364" s="27" t="str">
        <f t="shared" si="79"/>
        <v>Wizz Air</v>
      </c>
      <c r="O364" s="3" t="s">
        <v>1385</v>
      </c>
      <c r="P364" s="20">
        <f t="shared" si="80"/>
        <v>14</v>
      </c>
      <c r="Q364" s="3" t="s">
        <v>1385</v>
      </c>
      <c r="R364" s="23" t="str">
        <f t="shared" si="81"/>
        <v>Tuesday</v>
      </c>
      <c r="S364" s="3" t="s">
        <v>1385</v>
      </c>
      <c r="T364" s="23" t="s">
        <v>13</v>
      </c>
      <c r="U364" s="3" t="s">
        <v>1385</v>
      </c>
      <c r="AO364" s="15"/>
      <c r="AP364" s="15"/>
      <c r="AQ364" s="15"/>
      <c r="AR364" s="23"/>
      <c r="AS364" s="15"/>
      <c r="AT364" s="15"/>
      <c r="AU364" s="23"/>
      <c r="AV364" s="23"/>
    </row>
    <row r="365" spans="1:48" x14ac:dyDescent="0.25">
      <c r="A365" t="s">
        <v>156</v>
      </c>
      <c r="B365" t="s">
        <v>41</v>
      </c>
      <c r="C365" s="10">
        <v>-6</v>
      </c>
      <c r="D365" t="s">
        <v>661</v>
      </c>
      <c r="E365" s="2">
        <f t="shared" si="83"/>
        <v>46210</v>
      </c>
      <c r="F365" s="3">
        <f t="shared" si="82"/>
        <v>0.62638888888888888</v>
      </c>
      <c r="G365" t="s">
        <v>43</v>
      </c>
      <c r="H365" t="s">
        <v>44</v>
      </c>
      <c r="I365" t="s">
        <v>158</v>
      </c>
      <c r="J365" s="2">
        <v>46210</v>
      </c>
      <c r="K365" s="1">
        <v>0.63541666666666663</v>
      </c>
      <c r="L365" s="10">
        <f t="shared" si="78"/>
        <v>12.999999999999954</v>
      </c>
      <c r="M365" s="1" t="str">
        <f t="shared" si="84"/>
        <v>On Time</v>
      </c>
      <c r="N365" s="27" t="str">
        <f t="shared" si="79"/>
        <v>SAS</v>
      </c>
      <c r="O365" s="3" t="s">
        <v>1385</v>
      </c>
      <c r="P365" s="20">
        <f t="shared" si="80"/>
        <v>15</v>
      </c>
      <c r="Q365" s="3" t="s">
        <v>1385</v>
      </c>
      <c r="R365" s="23" t="str">
        <f t="shared" si="81"/>
        <v>Tuesday</v>
      </c>
      <c r="S365" s="3" t="s">
        <v>1385</v>
      </c>
      <c r="T365" s="23" t="s">
        <v>41</v>
      </c>
      <c r="U365" s="3" t="s">
        <v>1385</v>
      </c>
      <c r="AO365" s="15"/>
      <c r="AP365" s="15"/>
      <c r="AQ365" s="15"/>
      <c r="AR365" s="23"/>
      <c r="AS365" s="15"/>
      <c r="AT365" s="15"/>
      <c r="AU365" s="23"/>
      <c r="AV365" s="23"/>
    </row>
    <row r="366" spans="1:48" x14ac:dyDescent="0.25">
      <c r="A366" t="s">
        <v>123</v>
      </c>
      <c r="B366" t="s">
        <v>124</v>
      </c>
      <c r="D366" t="s">
        <v>662</v>
      </c>
      <c r="E366" s="2">
        <f t="shared" si="83"/>
        <v>46210</v>
      </c>
      <c r="F366" s="3">
        <f t="shared" si="82"/>
        <v>0.63194444444444442</v>
      </c>
      <c r="G366" t="s">
        <v>119</v>
      </c>
      <c r="H366" t="s">
        <v>120</v>
      </c>
      <c r="I366" t="s">
        <v>126</v>
      </c>
      <c r="J366" s="2">
        <v>46210</v>
      </c>
      <c r="K366" s="1">
        <v>0.64374999999999993</v>
      </c>
      <c r="L366" s="10">
        <f t="shared" si="78"/>
        <v>16.99999999999994</v>
      </c>
      <c r="M366" s="1" t="str">
        <f t="shared" si="84"/>
        <v>On Time</v>
      </c>
      <c r="N366" s="27" t="str">
        <f t="shared" si="79"/>
        <v>GetJet Airlines</v>
      </c>
      <c r="O366" s="3" t="s">
        <v>1385</v>
      </c>
      <c r="P366" s="20">
        <f t="shared" si="80"/>
        <v>15</v>
      </c>
      <c r="Q366" s="3" t="s">
        <v>1385</v>
      </c>
      <c r="R366" s="23" t="str">
        <f t="shared" si="81"/>
        <v>Tuesday</v>
      </c>
      <c r="S366" s="3" t="s">
        <v>1385</v>
      </c>
      <c r="T366" s="23" t="s">
        <v>124</v>
      </c>
      <c r="U366" s="3" t="s">
        <v>1385</v>
      </c>
      <c r="AO366" s="15"/>
      <c r="AP366" s="15"/>
      <c r="AQ366" s="15"/>
      <c r="AR366" s="23"/>
      <c r="AS366" s="15"/>
      <c r="AT366" s="15"/>
      <c r="AU366" s="23"/>
      <c r="AV366" s="23"/>
    </row>
    <row r="367" spans="1:48" x14ac:dyDescent="0.25">
      <c r="A367" t="s">
        <v>213</v>
      </c>
      <c r="B367" t="s">
        <v>85</v>
      </c>
      <c r="C367" s="10">
        <v>-27</v>
      </c>
      <c r="D367" t="s">
        <v>663</v>
      </c>
      <c r="E367" s="2">
        <f t="shared" si="83"/>
        <v>46210</v>
      </c>
      <c r="F367" s="3">
        <f t="shared" si="82"/>
        <v>0.6430555555555556</v>
      </c>
      <c r="G367" t="s">
        <v>102</v>
      </c>
      <c r="H367" t="s">
        <v>115</v>
      </c>
      <c r="I367" t="s">
        <v>162</v>
      </c>
      <c r="J367" s="2">
        <v>46210</v>
      </c>
      <c r="K367" s="1">
        <v>0.64583333333333337</v>
      </c>
      <c r="L367" s="10">
        <f t="shared" si="78"/>
        <v>3.9999999999999858</v>
      </c>
      <c r="M367" s="1" t="str">
        <f t="shared" si="84"/>
        <v>On Time</v>
      </c>
      <c r="N367" s="27" t="str">
        <f t="shared" si="79"/>
        <v>Ryanair</v>
      </c>
      <c r="O367" s="3" t="s">
        <v>1385</v>
      </c>
      <c r="P367" s="20">
        <f t="shared" si="80"/>
        <v>15</v>
      </c>
      <c r="Q367" s="3" t="s">
        <v>1385</v>
      </c>
      <c r="R367" s="23" t="str">
        <f t="shared" si="81"/>
        <v>Tuesday</v>
      </c>
      <c r="S367" s="3" t="s">
        <v>1385</v>
      </c>
      <c r="T367" s="23" t="s">
        <v>85</v>
      </c>
      <c r="U367" s="3" t="s">
        <v>1385</v>
      </c>
      <c r="AO367" s="15"/>
      <c r="AP367" s="15"/>
      <c r="AQ367" s="15"/>
      <c r="AR367" s="23"/>
      <c r="AS367" s="15"/>
      <c r="AT367" s="15"/>
      <c r="AU367" s="23"/>
      <c r="AV367" s="23"/>
    </row>
    <row r="368" spans="1:48" x14ac:dyDescent="0.25">
      <c r="A368" t="s">
        <v>479</v>
      </c>
      <c r="B368" t="s">
        <v>7</v>
      </c>
      <c r="C368" s="10">
        <v>-21</v>
      </c>
      <c r="D368" t="s">
        <v>664</v>
      </c>
      <c r="E368" s="2">
        <f t="shared" si="83"/>
        <v>46210</v>
      </c>
      <c r="F368" s="3">
        <f t="shared" si="82"/>
        <v>0.66736111111111107</v>
      </c>
      <c r="G368" t="s">
        <v>481</v>
      </c>
      <c r="H368" t="s">
        <v>482</v>
      </c>
      <c r="I368" t="s">
        <v>11</v>
      </c>
      <c r="J368" s="2">
        <v>46210</v>
      </c>
      <c r="K368" s="1">
        <v>0.66666666666666663</v>
      </c>
      <c r="L368" s="10">
        <f t="shared" si="78"/>
        <v>-0.99999999999999645</v>
      </c>
      <c r="M368" s="1" t="str">
        <f t="shared" si="84"/>
        <v>On Time</v>
      </c>
      <c r="N368" s="27" t="str">
        <f t="shared" si="79"/>
        <v>airBaltic</v>
      </c>
      <c r="O368" s="3" t="s">
        <v>1385</v>
      </c>
      <c r="P368" s="20">
        <f t="shared" si="80"/>
        <v>16</v>
      </c>
      <c r="Q368" s="3" t="s">
        <v>1385</v>
      </c>
      <c r="R368" s="23" t="str">
        <f t="shared" si="81"/>
        <v>Tuesday</v>
      </c>
      <c r="S368" s="3" t="s">
        <v>1385</v>
      </c>
      <c r="T368" s="23" t="s">
        <v>7</v>
      </c>
      <c r="U368" s="3" t="s">
        <v>1385</v>
      </c>
      <c r="AO368" s="15"/>
      <c r="AP368" s="15"/>
      <c r="AQ368" s="15"/>
      <c r="AR368" s="23"/>
      <c r="AS368" s="15"/>
      <c r="AT368" s="15"/>
      <c r="AU368" s="23"/>
      <c r="AV368" s="23"/>
    </row>
    <row r="369" spans="1:48" x14ac:dyDescent="0.25">
      <c r="A369" t="s">
        <v>175</v>
      </c>
      <c r="B369" t="s">
        <v>19</v>
      </c>
      <c r="C369" s="10">
        <v>-23</v>
      </c>
      <c r="D369" t="s">
        <v>665</v>
      </c>
      <c r="E369" s="2">
        <f t="shared" si="83"/>
        <v>46210</v>
      </c>
      <c r="F369" s="3">
        <f t="shared" si="82"/>
        <v>0.67986111111111114</v>
      </c>
      <c r="G369" t="s">
        <v>21</v>
      </c>
      <c r="H369" t="s">
        <v>22</v>
      </c>
      <c r="I369" t="s">
        <v>295</v>
      </c>
      <c r="J369" s="2">
        <v>46210</v>
      </c>
      <c r="K369" s="1">
        <v>0.68055555555555547</v>
      </c>
      <c r="L369" s="10">
        <f t="shared" si="78"/>
        <v>0.99999999999983658</v>
      </c>
      <c r="M369" s="1" t="str">
        <f t="shared" si="84"/>
        <v>On Time</v>
      </c>
      <c r="N369" s="27" t="str">
        <f t="shared" si="79"/>
        <v>LOT</v>
      </c>
      <c r="O369" s="3" t="s">
        <v>1385</v>
      </c>
      <c r="P369" s="20">
        <f t="shared" si="80"/>
        <v>16</v>
      </c>
      <c r="Q369" s="3" t="s">
        <v>1385</v>
      </c>
      <c r="R369" s="23" t="str">
        <f t="shared" si="81"/>
        <v>Tuesday</v>
      </c>
      <c r="S369" s="3" t="s">
        <v>1385</v>
      </c>
      <c r="T369" s="23" t="s">
        <v>19</v>
      </c>
      <c r="U369" s="3" t="s">
        <v>1385</v>
      </c>
      <c r="AO369" s="15"/>
      <c r="AP369" s="15"/>
      <c r="AQ369" s="15"/>
      <c r="AR369" s="23"/>
      <c r="AS369" s="15"/>
      <c r="AT369" s="15"/>
      <c r="AU369" s="23"/>
      <c r="AV369" s="23"/>
    </row>
    <row r="370" spans="1:48" x14ac:dyDescent="0.25">
      <c r="A370" t="s">
        <v>224</v>
      </c>
      <c r="B370" t="s">
        <v>151</v>
      </c>
      <c r="C370" s="10">
        <v>-22</v>
      </c>
      <c r="D370" t="s">
        <v>666</v>
      </c>
      <c r="E370" s="2">
        <f t="shared" si="83"/>
        <v>46210</v>
      </c>
      <c r="F370" s="3">
        <f t="shared" si="82"/>
        <v>0.6972222222222223</v>
      </c>
      <c r="G370" t="s">
        <v>226</v>
      </c>
      <c r="H370" t="s">
        <v>227</v>
      </c>
      <c r="I370" t="s">
        <v>188</v>
      </c>
      <c r="J370" s="2">
        <v>46210</v>
      </c>
      <c r="K370" s="1">
        <v>0.69097222222222221</v>
      </c>
      <c r="L370" s="10">
        <f t="shared" si="78"/>
        <v>-9.0000000000001279</v>
      </c>
      <c r="M370" s="1" t="str">
        <f t="shared" si="84"/>
        <v>On Time</v>
      </c>
      <c r="N370" s="27" t="e">
        <f t="shared" si="79"/>
        <v>#N/A</v>
      </c>
      <c r="O370" s="3" t="s">
        <v>1385</v>
      </c>
      <c r="P370" s="20">
        <f t="shared" si="80"/>
        <v>16</v>
      </c>
      <c r="Q370" s="3" t="s">
        <v>1385</v>
      </c>
      <c r="R370" s="23" t="str">
        <f t="shared" si="81"/>
        <v>Tuesday</v>
      </c>
      <c r="S370" s="3" t="s">
        <v>1385</v>
      </c>
      <c r="T370" s="23" t="s">
        <v>151</v>
      </c>
      <c r="U370" s="3" t="s">
        <v>1385</v>
      </c>
      <c r="AO370" s="15"/>
      <c r="AP370" s="15"/>
      <c r="AQ370" s="15"/>
      <c r="AR370" s="23"/>
      <c r="AS370" s="15"/>
      <c r="AT370" s="15"/>
      <c r="AU370" s="23"/>
      <c r="AV370" s="23"/>
    </row>
    <row r="371" spans="1:48" x14ac:dyDescent="0.25">
      <c r="A371" t="s">
        <v>184</v>
      </c>
      <c r="B371" t="s">
        <v>85</v>
      </c>
      <c r="C371" s="10">
        <v>-32</v>
      </c>
      <c r="D371" t="s">
        <v>667</v>
      </c>
      <c r="E371" s="2">
        <f t="shared" si="83"/>
        <v>46210</v>
      </c>
      <c r="F371" s="3">
        <f t="shared" si="82"/>
        <v>0.70486111111111116</v>
      </c>
      <c r="G371" t="s">
        <v>153</v>
      </c>
      <c r="H371" t="s">
        <v>154</v>
      </c>
      <c r="I371" t="s">
        <v>89</v>
      </c>
      <c r="J371" s="2">
        <v>46210</v>
      </c>
      <c r="K371" s="1">
        <v>0.70138888888888884</v>
      </c>
      <c r="L371" s="10">
        <f t="shared" si="78"/>
        <v>-5.0000000000001421</v>
      </c>
      <c r="M371" s="1" t="str">
        <f t="shared" si="84"/>
        <v>On Time</v>
      </c>
      <c r="N371" s="27" t="str">
        <f t="shared" si="79"/>
        <v>Ryanair</v>
      </c>
      <c r="O371" s="3" t="s">
        <v>1385</v>
      </c>
      <c r="P371" s="20">
        <f t="shared" si="80"/>
        <v>16</v>
      </c>
      <c r="Q371" s="3" t="s">
        <v>1385</v>
      </c>
      <c r="R371" s="23" t="str">
        <f t="shared" si="81"/>
        <v>Tuesday</v>
      </c>
      <c r="S371" s="3" t="s">
        <v>1385</v>
      </c>
      <c r="T371" s="23" t="s">
        <v>85</v>
      </c>
      <c r="U371" s="3" t="s">
        <v>1385</v>
      </c>
      <c r="AO371" s="15"/>
      <c r="AP371" s="15"/>
      <c r="AQ371" s="15"/>
      <c r="AR371" s="23"/>
      <c r="AS371" s="15"/>
      <c r="AT371" s="15"/>
      <c r="AU371" s="23"/>
      <c r="AV371" s="23"/>
    </row>
    <row r="372" spans="1:48" x14ac:dyDescent="0.25">
      <c r="A372" t="s">
        <v>182</v>
      </c>
      <c r="B372" t="s">
        <v>69</v>
      </c>
      <c r="C372" s="10">
        <v>-10</v>
      </c>
      <c r="D372" t="s">
        <v>604</v>
      </c>
      <c r="E372" s="2">
        <f t="shared" si="83"/>
        <v>46210</v>
      </c>
      <c r="F372" s="3">
        <f t="shared" si="82"/>
        <v>0.74236111111111114</v>
      </c>
      <c r="G372" t="s">
        <v>71</v>
      </c>
      <c r="H372" t="s">
        <v>72</v>
      </c>
      <c r="I372" t="s">
        <v>73</v>
      </c>
      <c r="J372" s="2">
        <v>46210</v>
      </c>
      <c r="K372" s="1">
        <v>0.74305555555555547</v>
      </c>
      <c r="L372" s="10">
        <f t="shared" si="78"/>
        <v>0.99999999999983658</v>
      </c>
      <c r="M372" s="1" t="str">
        <f t="shared" si="84"/>
        <v>On Time</v>
      </c>
      <c r="N372" s="27" t="str">
        <f t="shared" si="79"/>
        <v>Finnair</v>
      </c>
      <c r="O372" s="3" t="s">
        <v>1385</v>
      </c>
      <c r="P372" s="20">
        <f t="shared" si="80"/>
        <v>17</v>
      </c>
      <c r="Q372" s="3" t="s">
        <v>1385</v>
      </c>
      <c r="R372" s="23" t="str">
        <f t="shared" si="81"/>
        <v>Tuesday</v>
      </c>
      <c r="S372" s="3" t="s">
        <v>1385</v>
      </c>
      <c r="T372" s="23" t="s">
        <v>69</v>
      </c>
      <c r="U372" s="3" t="s">
        <v>1385</v>
      </c>
      <c r="AO372" s="15"/>
      <c r="AP372" s="15"/>
      <c r="AQ372" s="15"/>
      <c r="AR372" s="23"/>
      <c r="AS372" s="15"/>
      <c r="AT372" s="15"/>
      <c r="AU372" s="23"/>
      <c r="AV372" s="23"/>
    </row>
    <row r="373" spans="1:48" x14ac:dyDescent="0.25">
      <c r="A373" t="s">
        <v>200</v>
      </c>
      <c r="B373" t="s">
        <v>13</v>
      </c>
      <c r="C373" s="10">
        <v>-21</v>
      </c>
      <c r="D373" t="s">
        <v>668</v>
      </c>
      <c r="E373" s="2">
        <f t="shared" si="83"/>
        <v>46210</v>
      </c>
      <c r="F373" s="3">
        <f t="shared" si="82"/>
        <v>0.77847222222222223</v>
      </c>
      <c r="G373" t="s">
        <v>202</v>
      </c>
      <c r="H373" t="s">
        <v>203</v>
      </c>
      <c r="I373" t="s">
        <v>17</v>
      </c>
      <c r="J373" s="2">
        <v>46210</v>
      </c>
      <c r="K373" s="1">
        <v>0.75347222222222221</v>
      </c>
      <c r="L373" s="10">
        <f t="shared" si="78"/>
        <v>-36.000000000000028</v>
      </c>
      <c r="M373" s="1" t="str">
        <f t="shared" si="84"/>
        <v>Delayed</v>
      </c>
      <c r="N373" s="27" t="str">
        <f t="shared" si="79"/>
        <v>Wizz Air</v>
      </c>
      <c r="O373" s="3" t="s">
        <v>1318</v>
      </c>
      <c r="P373" s="20">
        <f t="shared" si="80"/>
        <v>18</v>
      </c>
      <c r="Q373" s="3" t="s">
        <v>1318</v>
      </c>
      <c r="R373" s="23" t="str">
        <f t="shared" si="81"/>
        <v>Tuesday</v>
      </c>
      <c r="S373" s="3" t="s">
        <v>1318</v>
      </c>
      <c r="T373" s="23" t="s">
        <v>13</v>
      </c>
      <c r="U373" s="3" t="s">
        <v>1318</v>
      </c>
      <c r="AO373" s="15"/>
      <c r="AP373" s="15"/>
      <c r="AQ373" s="15"/>
      <c r="AR373" s="23"/>
      <c r="AS373" s="15"/>
      <c r="AT373" s="15"/>
      <c r="AU373" s="23"/>
      <c r="AV373" s="23"/>
    </row>
    <row r="374" spans="1:48" x14ac:dyDescent="0.25">
      <c r="A374" t="s">
        <v>196</v>
      </c>
      <c r="B374" t="s">
        <v>13</v>
      </c>
      <c r="C374" s="10">
        <v>-2</v>
      </c>
      <c r="D374" t="s">
        <v>669</v>
      </c>
      <c r="E374" s="2">
        <f t="shared" si="83"/>
        <v>46210</v>
      </c>
      <c r="F374" s="3">
        <f t="shared" si="82"/>
        <v>0.7583333333333333</v>
      </c>
      <c r="G374" t="s">
        <v>198</v>
      </c>
      <c r="H374" t="s">
        <v>199</v>
      </c>
      <c r="I374" t="s">
        <v>17</v>
      </c>
      <c r="J374" s="2">
        <v>46210</v>
      </c>
      <c r="K374" s="1">
        <v>0.77083333333333337</v>
      </c>
      <c r="L374" s="10">
        <f t="shared" si="78"/>
        <v>18.000000000000096</v>
      </c>
      <c r="M374" s="1" t="str">
        <f t="shared" si="84"/>
        <v>On Time</v>
      </c>
      <c r="N374" s="27" t="str">
        <f t="shared" si="79"/>
        <v>Wizz Air</v>
      </c>
      <c r="O374" s="3" t="s">
        <v>1385</v>
      </c>
      <c r="P374" s="20">
        <f t="shared" si="80"/>
        <v>18</v>
      </c>
      <c r="Q374" s="3" t="s">
        <v>1385</v>
      </c>
      <c r="R374" s="23" t="str">
        <f t="shared" si="81"/>
        <v>Tuesday</v>
      </c>
      <c r="S374" s="3" t="s">
        <v>1385</v>
      </c>
      <c r="T374" s="23" t="s">
        <v>13</v>
      </c>
      <c r="U374" s="3" t="s">
        <v>1385</v>
      </c>
      <c r="AO374" s="15"/>
      <c r="AP374" s="15"/>
      <c r="AQ374" s="15"/>
      <c r="AR374" s="23"/>
      <c r="AS374" s="15"/>
      <c r="AT374" s="15"/>
      <c r="AU374" s="23"/>
      <c r="AV374" s="23"/>
    </row>
    <row r="375" spans="1:48" x14ac:dyDescent="0.25">
      <c r="A375" t="s">
        <v>186</v>
      </c>
      <c r="B375" t="s">
        <v>19</v>
      </c>
      <c r="C375" s="10">
        <v>-23</v>
      </c>
      <c r="D375" t="s">
        <v>670</v>
      </c>
      <c r="E375" s="2">
        <f t="shared" si="83"/>
        <v>46210</v>
      </c>
      <c r="F375" s="3">
        <f t="shared" si="82"/>
        <v>0.77500000000000002</v>
      </c>
      <c r="G375" t="s">
        <v>21</v>
      </c>
      <c r="H375" t="s">
        <v>22</v>
      </c>
      <c r="I375" t="s">
        <v>188</v>
      </c>
      <c r="J375" s="2">
        <v>46210</v>
      </c>
      <c r="K375" s="1">
        <v>0.77430555555555547</v>
      </c>
      <c r="L375" s="10">
        <f t="shared" si="78"/>
        <v>-1.0000000000001563</v>
      </c>
      <c r="M375" s="1" t="str">
        <f t="shared" si="84"/>
        <v>On Time</v>
      </c>
      <c r="N375" s="27" t="str">
        <f t="shared" si="79"/>
        <v>LOT</v>
      </c>
      <c r="O375" s="3" t="s">
        <v>1385</v>
      </c>
      <c r="P375" s="20">
        <f t="shared" si="80"/>
        <v>18</v>
      </c>
      <c r="Q375" s="3" t="s">
        <v>1385</v>
      </c>
      <c r="R375" s="23" t="str">
        <f t="shared" si="81"/>
        <v>Tuesday</v>
      </c>
      <c r="S375" s="3" t="s">
        <v>1385</v>
      </c>
      <c r="T375" s="23" t="s">
        <v>19</v>
      </c>
      <c r="U375" s="3" t="s">
        <v>1385</v>
      </c>
      <c r="AO375" s="15"/>
      <c r="AP375" s="15"/>
      <c r="AQ375" s="15"/>
      <c r="AR375" s="23"/>
      <c r="AS375" s="15"/>
      <c r="AT375" s="15"/>
      <c r="AU375" s="23"/>
      <c r="AV375" s="23"/>
    </row>
    <row r="376" spans="1:48" x14ac:dyDescent="0.25">
      <c r="A376" t="s">
        <v>189</v>
      </c>
      <c r="B376" t="s">
        <v>190</v>
      </c>
      <c r="C376" s="10">
        <v>-15</v>
      </c>
      <c r="D376" t="s">
        <v>193</v>
      </c>
      <c r="E376" s="2">
        <f t="shared" si="83"/>
        <v>46210</v>
      </c>
      <c r="F376" s="3">
        <f t="shared" si="82"/>
        <v>0.78263888888888899</v>
      </c>
      <c r="G376" t="s">
        <v>110</v>
      </c>
      <c r="H376" t="s">
        <v>111</v>
      </c>
      <c r="I376" t="s">
        <v>67</v>
      </c>
      <c r="J376" s="2">
        <v>46210</v>
      </c>
      <c r="K376" s="1">
        <v>0.78819444444444453</v>
      </c>
      <c r="L376" s="10">
        <f t="shared" si="78"/>
        <v>7.9999999999999716</v>
      </c>
      <c r="M376" s="1" t="str">
        <f t="shared" si="84"/>
        <v>On Time</v>
      </c>
      <c r="N376" s="27" t="str">
        <f t="shared" si="79"/>
        <v>Lufthansa</v>
      </c>
      <c r="O376" s="3" t="s">
        <v>1385</v>
      </c>
      <c r="P376" s="20">
        <f t="shared" si="80"/>
        <v>18</v>
      </c>
      <c r="Q376" s="3" t="s">
        <v>1385</v>
      </c>
      <c r="R376" s="23" t="str">
        <f t="shared" si="81"/>
        <v>Tuesday</v>
      </c>
      <c r="S376" s="3" t="s">
        <v>1385</v>
      </c>
      <c r="T376" s="23" t="s">
        <v>190</v>
      </c>
      <c r="U376" s="3" t="s">
        <v>1385</v>
      </c>
      <c r="AO376" s="15"/>
      <c r="AP376" s="15"/>
      <c r="AQ376" s="15"/>
      <c r="AR376" s="23"/>
      <c r="AS376" s="15"/>
      <c r="AT376" s="15"/>
      <c r="AU376" s="23"/>
      <c r="AV376" s="23"/>
    </row>
    <row r="377" spans="1:48" x14ac:dyDescent="0.25">
      <c r="A377" t="s">
        <v>351</v>
      </c>
      <c r="B377" t="s">
        <v>85</v>
      </c>
      <c r="C377" s="10">
        <v>-13</v>
      </c>
      <c r="D377" t="s">
        <v>671</v>
      </c>
      <c r="E377" s="2">
        <f t="shared" si="83"/>
        <v>46210</v>
      </c>
      <c r="F377" s="3">
        <f t="shared" si="82"/>
        <v>0.78888888888888886</v>
      </c>
      <c r="G377" t="s">
        <v>252</v>
      </c>
      <c r="H377" t="s">
        <v>352</v>
      </c>
      <c r="I377" t="s">
        <v>89</v>
      </c>
      <c r="J377" s="2">
        <v>46210</v>
      </c>
      <c r="K377" s="1">
        <v>0.79861111111111116</v>
      </c>
      <c r="L377" s="10">
        <f t="shared" si="78"/>
        <v>14.00000000000011</v>
      </c>
      <c r="M377" s="1" t="str">
        <f t="shared" si="84"/>
        <v>On Time</v>
      </c>
      <c r="N377" s="27" t="str">
        <f t="shared" si="79"/>
        <v>Ryanair</v>
      </c>
      <c r="O377" s="3" t="s">
        <v>1385</v>
      </c>
      <c r="P377" s="20">
        <f t="shared" si="80"/>
        <v>18</v>
      </c>
      <c r="Q377" s="3" t="s">
        <v>1385</v>
      </c>
      <c r="R377" s="23" t="str">
        <f t="shared" si="81"/>
        <v>Tuesday</v>
      </c>
      <c r="S377" s="3" t="s">
        <v>1385</v>
      </c>
      <c r="T377" s="23" t="s">
        <v>85</v>
      </c>
      <c r="U377" s="3" t="s">
        <v>1385</v>
      </c>
      <c r="AO377" s="15"/>
      <c r="AP377" s="15"/>
      <c r="AQ377" s="15"/>
      <c r="AR377" s="23"/>
      <c r="AS377" s="15"/>
      <c r="AT377" s="15"/>
      <c r="AU377" s="23"/>
      <c r="AV377" s="23"/>
    </row>
    <row r="378" spans="1:48" x14ac:dyDescent="0.25">
      <c r="A378" t="s">
        <v>211</v>
      </c>
      <c r="B378" t="s">
        <v>7</v>
      </c>
      <c r="C378" s="10">
        <v>-22</v>
      </c>
      <c r="D378" t="s">
        <v>672</v>
      </c>
      <c r="E378" s="2">
        <f t="shared" si="83"/>
        <v>46210</v>
      </c>
      <c r="F378" s="3">
        <f t="shared" si="82"/>
        <v>0.8222222222222223</v>
      </c>
      <c r="G378" t="s">
        <v>135</v>
      </c>
      <c r="H378" t="s">
        <v>136</v>
      </c>
      <c r="I378" t="s">
        <v>11</v>
      </c>
      <c r="J378" s="2">
        <v>46210</v>
      </c>
      <c r="K378" s="1">
        <v>0.82638888888888884</v>
      </c>
      <c r="L378" s="10">
        <f t="shared" si="78"/>
        <v>5.9999999999998188</v>
      </c>
      <c r="M378" s="1" t="str">
        <f t="shared" si="84"/>
        <v>On Time</v>
      </c>
      <c r="N378" s="27" t="str">
        <f t="shared" si="79"/>
        <v>airBaltic</v>
      </c>
      <c r="O378" s="3" t="s">
        <v>1385</v>
      </c>
      <c r="P378" s="20">
        <f t="shared" si="80"/>
        <v>19</v>
      </c>
      <c r="Q378" s="3" t="s">
        <v>1385</v>
      </c>
      <c r="R378" s="23" t="str">
        <f t="shared" si="81"/>
        <v>Tuesday</v>
      </c>
      <c r="S378" s="3" t="s">
        <v>1385</v>
      </c>
      <c r="T378" s="23" t="s">
        <v>7</v>
      </c>
      <c r="U378" s="3" t="s">
        <v>1385</v>
      </c>
      <c r="AO378" s="15"/>
      <c r="AP378" s="15"/>
      <c r="AQ378" s="15"/>
      <c r="AR378" s="23"/>
      <c r="AS378" s="15"/>
      <c r="AT378" s="15"/>
      <c r="AU378" s="23"/>
      <c r="AV378" s="23"/>
    </row>
    <row r="379" spans="1:48" x14ac:dyDescent="0.25">
      <c r="A379" t="s">
        <v>144</v>
      </c>
      <c r="B379" t="s">
        <v>13</v>
      </c>
      <c r="C379" s="10">
        <v>-4</v>
      </c>
      <c r="D379" t="s">
        <v>673</v>
      </c>
      <c r="E379" s="2">
        <f t="shared" si="83"/>
        <v>46210</v>
      </c>
      <c r="F379" s="3">
        <f t="shared" si="82"/>
        <v>0.82638888888888884</v>
      </c>
      <c r="G379" t="s">
        <v>146</v>
      </c>
      <c r="H379" t="s">
        <v>147</v>
      </c>
      <c r="I379" t="s">
        <v>17</v>
      </c>
      <c r="J379" s="2">
        <v>46210</v>
      </c>
      <c r="K379" s="1">
        <v>0.84027777777777779</v>
      </c>
      <c r="L379" s="10">
        <f t="shared" si="78"/>
        <v>20.000000000000089</v>
      </c>
      <c r="M379" s="1" t="str">
        <f t="shared" si="84"/>
        <v>On Time</v>
      </c>
      <c r="N379" s="27" t="str">
        <f t="shared" si="79"/>
        <v>Wizz Air</v>
      </c>
      <c r="O379" s="3" t="s">
        <v>1385</v>
      </c>
      <c r="P379" s="20">
        <f t="shared" si="80"/>
        <v>19</v>
      </c>
      <c r="Q379" s="3" t="s">
        <v>1385</v>
      </c>
      <c r="R379" s="23" t="str">
        <f t="shared" si="81"/>
        <v>Tuesday</v>
      </c>
      <c r="S379" s="3" t="s">
        <v>1385</v>
      </c>
      <c r="T379" s="23" t="s">
        <v>13</v>
      </c>
      <c r="U379" s="3" t="s">
        <v>1385</v>
      </c>
      <c r="AO379" s="15"/>
      <c r="AP379" s="15"/>
      <c r="AQ379" s="15"/>
      <c r="AR379" s="23"/>
      <c r="AS379" s="15"/>
      <c r="AT379" s="15"/>
      <c r="AU379" s="23"/>
      <c r="AV379" s="23"/>
    </row>
    <row r="380" spans="1:48" x14ac:dyDescent="0.25">
      <c r="A380" t="s">
        <v>674</v>
      </c>
      <c r="B380" t="s">
        <v>675</v>
      </c>
      <c r="D380" t="s">
        <v>676</v>
      </c>
      <c r="E380" s="2">
        <f t="shared" si="83"/>
        <v>46210</v>
      </c>
      <c r="F380" s="3">
        <f t="shared" si="82"/>
        <v>0.87777777777777777</v>
      </c>
      <c r="G380" t="s">
        <v>299</v>
      </c>
      <c r="H380" t="s">
        <v>300</v>
      </c>
      <c r="I380" t="s">
        <v>677</v>
      </c>
      <c r="J380" s="2">
        <v>46210</v>
      </c>
      <c r="K380" s="1">
        <v>0.86111111111111116</v>
      </c>
      <c r="L380" s="10">
        <f t="shared" si="78"/>
        <v>-23.999999999999915</v>
      </c>
      <c r="M380" s="1" t="str">
        <f t="shared" si="84"/>
        <v>Delayed</v>
      </c>
      <c r="N380" s="27" t="e">
        <f t="shared" si="79"/>
        <v>#N/A</v>
      </c>
      <c r="O380" s="3" t="s">
        <v>1318</v>
      </c>
      <c r="P380" s="20">
        <f t="shared" si="80"/>
        <v>21</v>
      </c>
      <c r="Q380" s="3" t="s">
        <v>1318</v>
      </c>
      <c r="R380" s="23" t="str">
        <f t="shared" si="81"/>
        <v>Tuesday</v>
      </c>
      <c r="S380" s="3" t="s">
        <v>1318</v>
      </c>
      <c r="T380" s="23" t="s">
        <v>675</v>
      </c>
      <c r="U380" s="3" t="s">
        <v>1318</v>
      </c>
      <c r="AO380" s="15"/>
      <c r="AP380" s="15"/>
      <c r="AQ380" s="15"/>
      <c r="AR380" s="23"/>
      <c r="AS380" s="15"/>
      <c r="AT380" s="15"/>
      <c r="AU380" s="23"/>
      <c r="AV380" s="23"/>
    </row>
    <row r="381" spans="1:48" x14ac:dyDescent="0.25">
      <c r="A381" t="s">
        <v>123</v>
      </c>
      <c r="B381" t="s">
        <v>124</v>
      </c>
      <c r="D381" t="s">
        <v>678</v>
      </c>
      <c r="E381" s="2">
        <f t="shared" si="83"/>
        <v>46210</v>
      </c>
      <c r="F381" s="3">
        <f t="shared" si="82"/>
        <v>0.8569444444444444</v>
      </c>
      <c r="G381" t="s">
        <v>222</v>
      </c>
      <c r="H381" t="s">
        <v>223</v>
      </c>
      <c r="I381" t="s">
        <v>249</v>
      </c>
      <c r="J381" s="2">
        <v>46210</v>
      </c>
      <c r="K381" s="1">
        <v>0.87222222222222223</v>
      </c>
      <c r="L381" s="10">
        <f t="shared" si="78"/>
        <v>22.000000000000082</v>
      </c>
      <c r="M381" s="1" t="str">
        <f t="shared" si="84"/>
        <v>On Time</v>
      </c>
      <c r="N381" s="27" t="str">
        <f t="shared" si="79"/>
        <v>GetJet Airlines</v>
      </c>
      <c r="O381" s="3" t="s">
        <v>1385</v>
      </c>
      <c r="P381" s="20">
        <f t="shared" si="80"/>
        <v>20</v>
      </c>
      <c r="Q381" s="3" t="s">
        <v>1385</v>
      </c>
      <c r="R381" s="23" t="str">
        <f t="shared" si="81"/>
        <v>Tuesday</v>
      </c>
      <c r="S381" s="3" t="s">
        <v>1385</v>
      </c>
      <c r="T381" s="23" t="s">
        <v>124</v>
      </c>
      <c r="U381" s="3" t="s">
        <v>1385</v>
      </c>
      <c r="AO381" s="15"/>
      <c r="AP381" s="15"/>
      <c r="AQ381" s="15"/>
      <c r="AR381" s="23"/>
      <c r="AS381" s="15"/>
      <c r="AT381" s="15"/>
      <c r="AU381" s="23"/>
      <c r="AV381" s="23"/>
    </row>
    <row r="382" spans="1:48" x14ac:dyDescent="0.25">
      <c r="A382" t="s">
        <v>228</v>
      </c>
      <c r="B382" t="s">
        <v>69</v>
      </c>
      <c r="C382" s="10">
        <v>-54</v>
      </c>
      <c r="D382" t="s">
        <v>461</v>
      </c>
      <c r="E382" s="2">
        <f t="shared" si="83"/>
        <v>46210</v>
      </c>
      <c r="F382" s="3">
        <f t="shared" si="82"/>
        <v>0.91388888888888886</v>
      </c>
      <c r="G382" t="s">
        <v>71</v>
      </c>
      <c r="H382" t="s">
        <v>72</v>
      </c>
      <c r="I382" t="s">
        <v>73</v>
      </c>
      <c r="J382" s="2">
        <v>46210</v>
      </c>
      <c r="K382" s="1">
        <v>0.88194444444444453</v>
      </c>
      <c r="L382" s="10">
        <f t="shared" si="78"/>
        <v>-45.999999999999837</v>
      </c>
      <c r="M382" s="1" t="str">
        <f t="shared" si="84"/>
        <v>Delayed</v>
      </c>
      <c r="N382" s="27" t="str">
        <f t="shared" si="79"/>
        <v>Finnair</v>
      </c>
      <c r="O382" s="3" t="s">
        <v>1318</v>
      </c>
      <c r="P382" s="20">
        <f t="shared" si="80"/>
        <v>21</v>
      </c>
      <c r="Q382" s="3" t="s">
        <v>1318</v>
      </c>
      <c r="R382" s="23" t="str">
        <f t="shared" si="81"/>
        <v>Tuesday</v>
      </c>
      <c r="S382" s="3" t="s">
        <v>1318</v>
      </c>
      <c r="T382" s="23" t="s">
        <v>69</v>
      </c>
      <c r="U382" s="3" t="s">
        <v>1318</v>
      </c>
      <c r="AO382" s="15"/>
      <c r="AP382" s="15"/>
      <c r="AQ382" s="15"/>
      <c r="AR382" s="23"/>
      <c r="AS382" s="15"/>
      <c r="AT382" s="15"/>
      <c r="AU382" s="23"/>
      <c r="AV382" s="23"/>
    </row>
    <row r="383" spans="1:48" x14ac:dyDescent="0.25">
      <c r="A383" t="s">
        <v>233</v>
      </c>
      <c r="B383" t="s">
        <v>7</v>
      </c>
      <c r="C383" s="10">
        <v>0</v>
      </c>
      <c r="D383" t="s">
        <v>679</v>
      </c>
      <c r="E383" s="2">
        <f t="shared" si="83"/>
        <v>46210</v>
      </c>
      <c r="F383" s="3">
        <f t="shared" si="82"/>
        <v>0.8930555555555556</v>
      </c>
      <c r="G383" t="s">
        <v>76</v>
      </c>
      <c r="H383" t="s">
        <v>77</v>
      </c>
      <c r="I383" t="s">
        <v>11</v>
      </c>
      <c r="J383" s="2">
        <v>46210</v>
      </c>
      <c r="K383" s="1">
        <v>0.90625</v>
      </c>
      <c r="L383" s="10">
        <f t="shared" si="78"/>
        <v>18.999999999999932</v>
      </c>
      <c r="M383" s="1" t="str">
        <f t="shared" si="84"/>
        <v>On Time</v>
      </c>
      <c r="N383" s="27" t="str">
        <f t="shared" si="79"/>
        <v>airBaltic</v>
      </c>
      <c r="O383" s="3" t="s">
        <v>1385</v>
      </c>
      <c r="P383" s="20">
        <f t="shared" si="80"/>
        <v>21</v>
      </c>
      <c r="Q383" s="3" t="s">
        <v>1385</v>
      </c>
      <c r="R383" s="23" t="str">
        <f t="shared" si="81"/>
        <v>Tuesday</v>
      </c>
      <c r="S383" s="3" t="s">
        <v>1385</v>
      </c>
      <c r="T383" s="23" t="s">
        <v>7</v>
      </c>
      <c r="U383" s="3" t="s">
        <v>1385</v>
      </c>
      <c r="AO383" s="15"/>
      <c r="AP383" s="15"/>
      <c r="AQ383" s="15"/>
      <c r="AR383" s="23"/>
      <c r="AS383" s="15"/>
      <c r="AT383" s="15"/>
      <c r="AU383" s="23"/>
      <c r="AV383" s="23"/>
    </row>
    <row r="384" spans="1:48" x14ac:dyDescent="0.25">
      <c r="A384" t="s">
        <v>506</v>
      </c>
      <c r="B384" t="s">
        <v>117</v>
      </c>
      <c r="C384" s="10">
        <v>2</v>
      </c>
      <c r="D384" t="s">
        <v>680</v>
      </c>
      <c r="E384" s="2">
        <f t="shared" si="83"/>
        <v>46210</v>
      </c>
      <c r="F384" s="3">
        <f t="shared" si="82"/>
        <v>0.90694444444444444</v>
      </c>
      <c r="G384" t="s">
        <v>119</v>
      </c>
      <c r="H384" t="s">
        <v>120</v>
      </c>
      <c r="I384" t="s">
        <v>67</v>
      </c>
      <c r="J384" s="2">
        <v>46210</v>
      </c>
      <c r="K384" s="1">
        <v>0.92152777777777783</v>
      </c>
      <c r="L384" s="10">
        <f t="shared" si="78"/>
        <v>21.000000000000085</v>
      </c>
      <c r="M384" s="1" t="str">
        <f t="shared" si="84"/>
        <v>On Time</v>
      </c>
      <c r="N384" s="27" t="str">
        <f t="shared" si="79"/>
        <v>Heston Airlines</v>
      </c>
      <c r="O384" s="3" t="s">
        <v>1385</v>
      </c>
      <c r="P384" s="20">
        <f t="shared" si="80"/>
        <v>21</v>
      </c>
      <c r="Q384" s="3" t="s">
        <v>1385</v>
      </c>
      <c r="R384" s="23" t="str">
        <f t="shared" si="81"/>
        <v>Tuesday</v>
      </c>
      <c r="S384" s="3" t="s">
        <v>1385</v>
      </c>
      <c r="T384" s="23" t="s">
        <v>117</v>
      </c>
      <c r="U384" s="3" t="s">
        <v>1385</v>
      </c>
      <c r="AO384" s="15"/>
      <c r="AP384" s="15"/>
      <c r="AQ384" s="15"/>
      <c r="AR384" s="23"/>
      <c r="AS384" s="15"/>
      <c r="AT384" s="15"/>
      <c r="AU384" s="23"/>
      <c r="AV384" s="23"/>
    </row>
    <row r="385" spans="1:48" x14ac:dyDescent="0.25">
      <c r="A385" t="s">
        <v>235</v>
      </c>
      <c r="B385" t="s">
        <v>19</v>
      </c>
      <c r="C385" s="10">
        <v>-36</v>
      </c>
      <c r="D385" t="s">
        <v>681</v>
      </c>
      <c r="E385" s="2">
        <f t="shared" si="83"/>
        <v>46210</v>
      </c>
      <c r="F385" s="3">
        <f t="shared" si="82"/>
        <v>0.94027777777777777</v>
      </c>
      <c r="G385" t="s">
        <v>21</v>
      </c>
      <c r="H385" t="s">
        <v>22</v>
      </c>
      <c r="I385" t="s">
        <v>594</v>
      </c>
      <c r="J385" s="2">
        <v>46210</v>
      </c>
      <c r="K385" s="1">
        <v>0.93055555555555547</v>
      </c>
      <c r="L385" s="10">
        <f t="shared" si="78"/>
        <v>-14.00000000000011</v>
      </c>
      <c r="M385" s="1" t="str">
        <f t="shared" si="84"/>
        <v>On Time</v>
      </c>
      <c r="N385" s="27" t="str">
        <f t="shared" si="79"/>
        <v>LOT</v>
      </c>
      <c r="O385" s="3" t="s">
        <v>1385</v>
      </c>
      <c r="P385" s="20">
        <f t="shared" si="80"/>
        <v>22</v>
      </c>
      <c r="Q385" s="3" t="s">
        <v>1385</v>
      </c>
      <c r="R385" s="23" t="str">
        <f t="shared" si="81"/>
        <v>Tuesday</v>
      </c>
      <c r="S385" s="3" t="s">
        <v>1385</v>
      </c>
      <c r="T385" s="23" t="s">
        <v>19</v>
      </c>
      <c r="U385" s="3" t="s">
        <v>1385</v>
      </c>
      <c r="AO385" s="15"/>
      <c r="AP385" s="15"/>
      <c r="AQ385" s="15"/>
      <c r="AR385" s="23"/>
      <c r="AS385" s="15"/>
      <c r="AT385" s="15"/>
      <c r="AU385" s="23"/>
      <c r="AV385" s="23"/>
    </row>
    <row r="386" spans="1:48" x14ac:dyDescent="0.25">
      <c r="A386" t="s">
        <v>150</v>
      </c>
      <c r="B386" t="s">
        <v>151</v>
      </c>
      <c r="C386" s="10">
        <v>-28</v>
      </c>
      <c r="D386" t="s">
        <v>682</v>
      </c>
      <c r="E386" s="2">
        <f t="shared" si="83"/>
        <v>46210</v>
      </c>
      <c r="F386" s="3">
        <f t="shared" si="82"/>
        <v>0.94236111111111109</v>
      </c>
      <c r="G386" t="s">
        <v>153</v>
      </c>
      <c r="H386" t="s">
        <v>154</v>
      </c>
      <c r="I386" t="s">
        <v>155</v>
      </c>
      <c r="J386" s="2">
        <v>46210</v>
      </c>
      <c r="K386" s="1">
        <v>0.93402777777777779</v>
      </c>
      <c r="L386" s="10">
        <f t="shared" ref="L386:L449" si="85">IF(J386&gt;E386,(K386+1-F386)*1440,IF(J386&lt;E386,-(F386+1-K386)*1440,(K386-F386)*1440))</f>
        <v>-11.999999999999957</v>
      </c>
      <c r="M386" s="1" t="str">
        <f t="shared" si="84"/>
        <v>On Time</v>
      </c>
      <c r="N386" s="27" t="e">
        <f t="shared" ref="N386:N449" si="86">IF(COUNTIFS($B$2:$B$1553,B386,$M$2:$M$1553,"&lt;&gt;#N/A")&gt;=30,B386,NA())</f>
        <v>#N/A</v>
      </c>
      <c r="O386" s="3" t="s">
        <v>1385</v>
      </c>
      <c r="P386" s="20">
        <f t="shared" ref="P386:P449" si="87">HOUR(F386)</f>
        <v>22</v>
      </c>
      <c r="Q386" s="3" t="s">
        <v>1385</v>
      </c>
      <c r="R386" s="23" t="str">
        <f t="shared" ref="R386:R449" si="88">TEXT(E386, "dddd")</f>
        <v>Tuesday</v>
      </c>
      <c r="S386" s="3" t="s">
        <v>1385</v>
      </c>
      <c r="T386" s="23" t="s">
        <v>151</v>
      </c>
      <c r="U386" s="3" t="s">
        <v>1385</v>
      </c>
      <c r="AO386" s="15"/>
      <c r="AP386" s="15"/>
      <c r="AQ386" s="15"/>
      <c r="AR386" s="23"/>
      <c r="AS386" s="15"/>
      <c r="AT386" s="15"/>
      <c r="AU386" s="23"/>
      <c r="AV386" s="23"/>
    </row>
    <row r="387" spans="1:48" x14ac:dyDescent="0.25">
      <c r="A387" t="s">
        <v>238</v>
      </c>
      <c r="B387" t="s">
        <v>592</v>
      </c>
      <c r="C387" s="10">
        <v>-2</v>
      </c>
      <c r="D387" t="s">
        <v>683</v>
      </c>
      <c r="E387" s="2">
        <f t="shared" si="83"/>
        <v>46210</v>
      </c>
      <c r="F387" s="3">
        <f t="shared" ref="F387:F450" si="89">IF(ISNUMBER(SEARCH("Landed", D387)), TIMEVALUE(_xlfn.TEXTAFTER(D387, " ")), NA())</f>
        <v>0.92083333333333339</v>
      </c>
      <c r="G387" t="s">
        <v>119</v>
      </c>
      <c r="H387" t="s">
        <v>120</v>
      </c>
      <c r="I387" t="s">
        <v>83</v>
      </c>
      <c r="J387" s="2">
        <v>46210</v>
      </c>
      <c r="K387" s="1">
        <v>0.94097222222222221</v>
      </c>
      <c r="L387" s="10">
        <f t="shared" si="85"/>
        <v>28.999999999999897</v>
      </c>
      <c r="M387" s="1" t="str">
        <f t="shared" si="84"/>
        <v>On Time</v>
      </c>
      <c r="N387" s="27" t="e">
        <f t="shared" si="86"/>
        <v>#N/A</v>
      </c>
      <c r="O387" s="3" t="s">
        <v>1385</v>
      </c>
      <c r="P387" s="20">
        <f t="shared" si="87"/>
        <v>22</v>
      </c>
      <c r="Q387" s="3" t="s">
        <v>1385</v>
      </c>
      <c r="R387" s="23" t="str">
        <f t="shared" si="88"/>
        <v>Tuesday</v>
      </c>
      <c r="S387" s="3" t="s">
        <v>1385</v>
      </c>
      <c r="T387" s="23" t="s">
        <v>592</v>
      </c>
      <c r="U387" s="3" t="s">
        <v>1385</v>
      </c>
      <c r="AO387" s="15"/>
      <c r="AP387" s="15"/>
      <c r="AQ387" s="15"/>
      <c r="AR387" s="23"/>
      <c r="AS387" s="15"/>
      <c r="AT387" s="15"/>
      <c r="AU387" s="23"/>
      <c r="AV387" s="23"/>
    </row>
    <row r="388" spans="1:48" x14ac:dyDescent="0.25">
      <c r="A388" t="s">
        <v>483</v>
      </c>
      <c r="B388" t="s">
        <v>7</v>
      </c>
      <c r="C388" s="10">
        <v>-28</v>
      </c>
      <c r="D388" t="s">
        <v>382</v>
      </c>
      <c r="E388" s="2">
        <f t="shared" si="83"/>
        <v>46210</v>
      </c>
      <c r="F388" s="3">
        <f t="shared" si="89"/>
        <v>0.94444444444444453</v>
      </c>
      <c r="G388" t="s">
        <v>485</v>
      </c>
      <c r="H388" t="s">
        <v>486</v>
      </c>
      <c r="I388" t="s">
        <v>11</v>
      </c>
      <c r="J388" s="2">
        <v>46210</v>
      </c>
      <c r="K388" s="1">
        <v>0.94791666666666663</v>
      </c>
      <c r="L388" s="10">
        <f t="shared" si="85"/>
        <v>4.9999999999998224</v>
      </c>
      <c r="M388" s="1" t="str">
        <f t="shared" si="84"/>
        <v>On Time</v>
      </c>
      <c r="N388" s="27" t="str">
        <f t="shared" si="86"/>
        <v>airBaltic</v>
      </c>
      <c r="O388" s="3" t="s">
        <v>1385</v>
      </c>
      <c r="P388" s="20">
        <f t="shared" si="87"/>
        <v>22</v>
      </c>
      <c r="Q388" s="3" t="s">
        <v>1385</v>
      </c>
      <c r="R388" s="23" t="str">
        <f t="shared" si="88"/>
        <v>Tuesday</v>
      </c>
      <c r="S388" s="3" t="s">
        <v>1385</v>
      </c>
      <c r="T388" s="23" t="s">
        <v>7</v>
      </c>
      <c r="U388" s="3" t="s">
        <v>1385</v>
      </c>
      <c r="AO388" s="15"/>
      <c r="AP388" s="15"/>
      <c r="AQ388" s="15"/>
      <c r="AR388" s="23"/>
      <c r="AS388" s="15"/>
      <c r="AT388" s="15"/>
      <c r="AU388" s="23"/>
      <c r="AV388" s="23"/>
    </row>
    <row r="389" spans="1:48" x14ac:dyDescent="0.25">
      <c r="A389" t="s">
        <v>250</v>
      </c>
      <c r="B389" t="s">
        <v>7</v>
      </c>
      <c r="C389" s="10">
        <v>-22</v>
      </c>
      <c r="D389" t="s">
        <v>684</v>
      </c>
      <c r="E389" s="2">
        <f t="shared" si="83"/>
        <v>46210</v>
      </c>
      <c r="F389" s="3">
        <f t="shared" si="89"/>
        <v>0.95972222222222225</v>
      </c>
      <c r="G389" t="s">
        <v>252</v>
      </c>
      <c r="H389" t="s">
        <v>253</v>
      </c>
      <c r="I389" t="s">
        <v>11</v>
      </c>
      <c r="J389" s="2">
        <v>46210</v>
      </c>
      <c r="K389" s="1">
        <v>0.96180555555555547</v>
      </c>
      <c r="L389" s="10">
        <f t="shared" si="85"/>
        <v>2.9999999999998295</v>
      </c>
      <c r="M389" s="1" t="str">
        <f t="shared" si="84"/>
        <v>On Time</v>
      </c>
      <c r="N389" s="27" t="str">
        <f t="shared" si="86"/>
        <v>airBaltic</v>
      </c>
      <c r="O389" s="3" t="s">
        <v>1385</v>
      </c>
      <c r="P389" s="20">
        <f t="shared" si="87"/>
        <v>23</v>
      </c>
      <c r="Q389" s="3" t="s">
        <v>1385</v>
      </c>
      <c r="R389" s="23" t="str">
        <f t="shared" si="88"/>
        <v>Tuesday</v>
      </c>
      <c r="S389" s="3" t="s">
        <v>1385</v>
      </c>
      <c r="T389" s="23" t="s">
        <v>7</v>
      </c>
      <c r="U389" s="3" t="s">
        <v>1385</v>
      </c>
      <c r="AO389" s="15"/>
      <c r="AP389" s="15"/>
      <c r="AQ389" s="15"/>
      <c r="AR389" s="23"/>
      <c r="AS389" s="15"/>
      <c r="AT389" s="15"/>
      <c r="AU389" s="23"/>
      <c r="AV389" s="23"/>
    </row>
    <row r="390" spans="1:48" x14ac:dyDescent="0.25">
      <c r="A390" t="s">
        <v>387</v>
      </c>
      <c r="B390" t="s">
        <v>388</v>
      </c>
      <c r="C390" s="10">
        <v>-28</v>
      </c>
      <c r="D390" t="s">
        <v>468</v>
      </c>
      <c r="E390" s="2">
        <f t="shared" ref="E390:E453" si="90">J390</f>
        <v>46210</v>
      </c>
      <c r="F390" s="3">
        <f t="shared" si="89"/>
        <v>0.97638888888888886</v>
      </c>
      <c r="G390" t="s">
        <v>119</v>
      </c>
      <c r="H390" t="s">
        <v>120</v>
      </c>
      <c r="I390" t="s">
        <v>390</v>
      </c>
      <c r="J390" s="2">
        <v>46210</v>
      </c>
      <c r="K390" s="1">
        <v>0.96666666666666667</v>
      </c>
      <c r="L390" s="10">
        <f t="shared" si="85"/>
        <v>-13.99999999999995</v>
      </c>
      <c r="M390" s="1" t="str">
        <f t="shared" si="84"/>
        <v>On Time</v>
      </c>
      <c r="N390" s="27" t="e">
        <f t="shared" si="86"/>
        <v>#N/A</v>
      </c>
      <c r="O390" s="3" t="s">
        <v>1385</v>
      </c>
      <c r="P390" s="20">
        <f t="shared" si="87"/>
        <v>23</v>
      </c>
      <c r="Q390" s="3" t="s">
        <v>1385</v>
      </c>
      <c r="R390" s="23" t="str">
        <f t="shared" si="88"/>
        <v>Tuesday</v>
      </c>
      <c r="S390" s="3" t="s">
        <v>1385</v>
      </c>
      <c r="T390" s="23" t="s">
        <v>388</v>
      </c>
      <c r="U390" s="3" t="s">
        <v>1385</v>
      </c>
      <c r="AO390" s="15"/>
      <c r="AP390" s="15"/>
      <c r="AQ390" s="15"/>
      <c r="AR390" s="23"/>
      <c r="AS390" s="15"/>
      <c r="AT390" s="15"/>
      <c r="AU390" s="23"/>
      <c r="AV390" s="23"/>
    </row>
    <row r="391" spans="1:48" x14ac:dyDescent="0.25">
      <c r="A391" t="s">
        <v>685</v>
      </c>
      <c r="B391" t="s">
        <v>231</v>
      </c>
      <c r="C391" s="10">
        <v>-105</v>
      </c>
      <c r="D391" t="s">
        <v>686</v>
      </c>
      <c r="E391" s="2">
        <f t="shared" si="90"/>
        <v>46210</v>
      </c>
      <c r="F391" s="3" t="e">
        <f t="shared" si="89"/>
        <v>#N/A</v>
      </c>
      <c r="G391" t="s">
        <v>81</v>
      </c>
      <c r="H391" t="s">
        <v>82</v>
      </c>
      <c r="I391" t="s">
        <v>83</v>
      </c>
      <c r="J391" s="2">
        <v>46210</v>
      </c>
      <c r="K391" s="1">
        <v>0.96875</v>
      </c>
      <c r="L391" s="10" t="e">
        <f t="shared" si="85"/>
        <v>#N/A</v>
      </c>
      <c r="M391" s="1" t="e">
        <f t="shared" si="84"/>
        <v>#N/A</v>
      </c>
      <c r="N391" s="27" t="e">
        <f t="shared" si="86"/>
        <v>#N/A</v>
      </c>
      <c r="O391" s="3" t="e">
        <v>#N/A</v>
      </c>
      <c r="P391" s="20" t="e">
        <f t="shared" si="87"/>
        <v>#N/A</v>
      </c>
      <c r="Q391" s="3" t="e">
        <v>#N/A</v>
      </c>
      <c r="R391" s="23" t="str">
        <f t="shared" si="88"/>
        <v>Tuesday</v>
      </c>
      <c r="S391" s="3" t="e">
        <v>#N/A</v>
      </c>
      <c r="T391" s="23" t="s">
        <v>231</v>
      </c>
      <c r="AO391" s="15"/>
      <c r="AP391" s="15"/>
      <c r="AQ391" s="15"/>
      <c r="AR391" s="23"/>
      <c r="AS391" s="15"/>
      <c r="AT391" s="15"/>
      <c r="AU391" s="23"/>
      <c r="AV391" s="23"/>
    </row>
    <row r="392" spans="1:48" x14ac:dyDescent="0.25">
      <c r="A392" t="s">
        <v>62</v>
      </c>
      <c r="B392" t="s">
        <v>85</v>
      </c>
      <c r="C392" s="10">
        <v>-7</v>
      </c>
      <c r="D392" t="s">
        <v>687</v>
      </c>
      <c r="E392" s="2">
        <f t="shared" si="90"/>
        <v>46210</v>
      </c>
      <c r="F392" s="3">
        <f t="shared" si="89"/>
        <v>0.97152777777777777</v>
      </c>
      <c r="G392" t="s">
        <v>65</v>
      </c>
      <c r="H392" t="s">
        <v>66</v>
      </c>
      <c r="I392" t="s">
        <v>89</v>
      </c>
      <c r="J392" s="2">
        <v>46210</v>
      </c>
      <c r="K392" s="1">
        <v>0.98611111111111116</v>
      </c>
      <c r="L392" s="10">
        <f t="shared" si="85"/>
        <v>21.000000000000085</v>
      </c>
      <c r="M392" s="1" t="str">
        <f t="shared" si="84"/>
        <v>On Time</v>
      </c>
      <c r="N392" s="27" t="str">
        <f t="shared" si="86"/>
        <v>Ryanair</v>
      </c>
      <c r="O392" s="3" t="s">
        <v>1385</v>
      </c>
      <c r="P392" s="20">
        <f t="shared" si="87"/>
        <v>23</v>
      </c>
      <c r="Q392" s="3" t="s">
        <v>1385</v>
      </c>
      <c r="R392" s="23" t="str">
        <f t="shared" si="88"/>
        <v>Tuesday</v>
      </c>
      <c r="S392" s="3" t="s">
        <v>1385</v>
      </c>
      <c r="T392" s="23" t="s">
        <v>85</v>
      </c>
      <c r="U392" s="3" t="s">
        <v>1385</v>
      </c>
      <c r="AO392" s="15"/>
      <c r="AP392" s="15"/>
      <c r="AQ392" s="15"/>
      <c r="AR392" s="23"/>
      <c r="AS392" s="15"/>
      <c r="AT392" s="15"/>
      <c r="AU392" s="23"/>
      <c r="AV392" s="23"/>
    </row>
    <row r="393" spans="1:48" x14ac:dyDescent="0.25">
      <c r="A393" t="s">
        <v>258</v>
      </c>
      <c r="B393" t="s">
        <v>190</v>
      </c>
      <c r="C393" s="10">
        <v>-20</v>
      </c>
      <c r="D393" t="s">
        <v>688</v>
      </c>
      <c r="E393" s="2">
        <f t="shared" si="90"/>
        <v>46210</v>
      </c>
      <c r="F393" s="3">
        <f t="shared" si="89"/>
        <v>0.98749999999999993</v>
      </c>
      <c r="G393" t="s">
        <v>110</v>
      </c>
      <c r="H393" t="s">
        <v>111</v>
      </c>
      <c r="I393" t="s">
        <v>67</v>
      </c>
      <c r="J393" s="2">
        <v>46210</v>
      </c>
      <c r="K393" s="1">
        <v>0.99305555555555547</v>
      </c>
      <c r="L393" s="10">
        <f t="shared" si="85"/>
        <v>7.9999999999999716</v>
      </c>
      <c r="M393" s="1" t="str">
        <f t="shared" si="84"/>
        <v>On Time</v>
      </c>
      <c r="N393" s="27" t="str">
        <f t="shared" si="86"/>
        <v>Lufthansa</v>
      </c>
      <c r="O393" s="3" t="s">
        <v>1385</v>
      </c>
      <c r="P393" s="20">
        <f t="shared" si="87"/>
        <v>23</v>
      </c>
      <c r="Q393" s="3" t="s">
        <v>1385</v>
      </c>
      <c r="R393" s="23" t="str">
        <f t="shared" si="88"/>
        <v>Tuesday</v>
      </c>
      <c r="S393" s="3" t="s">
        <v>1385</v>
      </c>
      <c r="T393" s="23" t="s">
        <v>190</v>
      </c>
      <c r="U393" s="3" t="s">
        <v>1385</v>
      </c>
      <c r="AO393" s="15"/>
      <c r="AP393" s="15"/>
      <c r="AQ393" s="15"/>
      <c r="AR393" s="23"/>
      <c r="AS393" s="15"/>
      <c r="AT393" s="15"/>
      <c r="AU393" s="23"/>
      <c r="AV393" s="23"/>
    </row>
    <row r="394" spans="1:48" x14ac:dyDescent="0.25">
      <c r="A394" t="s">
        <v>470</v>
      </c>
      <c r="B394" t="s">
        <v>13</v>
      </c>
      <c r="C394" s="10">
        <v>-28</v>
      </c>
      <c r="D394" t="s">
        <v>689</v>
      </c>
      <c r="E394" s="2">
        <f t="shared" si="90"/>
        <v>46210</v>
      </c>
      <c r="F394" s="3" t="e">
        <f t="shared" si="89"/>
        <v>#N/A</v>
      </c>
      <c r="G394" t="s">
        <v>280</v>
      </c>
      <c r="H394" t="s">
        <v>281</v>
      </c>
      <c r="I394" t="s">
        <v>17</v>
      </c>
      <c r="J394" s="2">
        <v>46210</v>
      </c>
      <c r="K394" s="1">
        <v>0.99652777777777779</v>
      </c>
      <c r="L394" s="10" t="e">
        <f t="shared" si="85"/>
        <v>#N/A</v>
      </c>
      <c r="M394" s="1" t="e">
        <f t="shared" si="84"/>
        <v>#N/A</v>
      </c>
      <c r="N394" s="27" t="str">
        <f t="shared" si="86"/>
        <v>Wizz Air</v>
      </c>
      <c r="O394" s="3" t="e">
        <v>#N/A</v>
      </c>
      <c r="P394" s="20" t="e">
        <f t="shared" si="87"/>
        <v>#N/A</v>
      </c>
      <c r="Q394" s="3" t="e">
        <v>#N/A</v>
      </c>
      <c r="R394" s="23" t="str">
        <f t="shared" si="88"/>
        <v>Tuesday</v>
      </c>
      <c r="S394" s="3" t="e">
        <v>#N/A</v>
      </c>
      <c r="T394" s="23" t="s">
        <v>13</v>
      </c>
      <c r="AO394" s="15"/>
      <c r="AP394" s="15"/>
      <c r="AQ394" s="15"/>
      <c r="AR394" s="23"/>
      <c r="AS394" s="15"/>
      <c r="AT394" s="15"/>
      <c r="AU394" s="23"/>
      <c r="AV394" s="23"/>
    </row>
    <row r="395" spans="1:48" x14ac:dyDescent="0.25">
      <c r="A395" t="s">
        <v>267</v>
      </c>
      <c r="B395" t="s">
        <v>13</v>
      </c>
      <c r="C395" s="10">
        <v>0</v>
      </c>
      <c r="D395" t="s">
        <v>690</v>
      </c>
      <c r="E395" s="2">
        <v>46210</v>
      </c>
      <c r="F395" s="3">
        <f t="shared" si="89"/>
        <v>0.99236111111111114</v>
      </c>
      <c r="G395" t="s">
        <v>269</v>
      </c>
      <c r="H395" t="s">
        <v>270</v>
      </c>
      <c r="I395" t="s">
        <v>17</v>
      </c>
      <c r="J395" s="2">
        <v>46211</v>
      </c>
      <c r="K395" s="1">
        <v>1.0416666666666666E-2</v>
      </c>
      <c r="L395" s="10">
        <f t="shared" si="85"/>
        <v>26.000000000000068</v>
      </c>
      <c r="M395" s="1" t="str">
        <f t="shared" si="84"/>
        <v>On Time</v>
      </c>
      <c r="N395" s="27" t="str">
        <f t="shared" si="86"/>
        <v>Wizz Air</v>
      </c>
      <c r="O395" s="3" t="s">
        <v>1385</v>
      </c>
      <c r="P395" s="20">
        <f t="shared" si="87"/>
        <v>23</v>
      </c>
      <c r="Q395" s="3" t="s">
        <v>1385</v>
      </c>
      <c r="R395" s="23" t="str">
        <f t="shared" si="88"/>
        <v>Tuesday</v>
      </c>
      <c r="S395" s="3" t="s">
        <v>1385</v>
      </c>
      <c r="T395" s="23" t="s">
        <v>13</v>
      </c>
      <c r="U395" s="3" t="s">
        <v>1385</v>
      </c>
      <c r="AO395" s="15"/>
      <c r="AP395" s="15"/>
      <c r="AQ395" s="15"/>
      <c r="AR395" s="23"/>
      <c r="AS395" s="15"/>
      <c r="AT395" s="15"/>
      <c r="AU395" s="23"/>
      <c r="AV395" s="23"/>
    </row>
    <row r="396" spans="1:48" x14ac:dyDescent="0.25">
      <c r="A396" t="s">
        <v>6</v>
      </c>
      <c r="B396" t="s">
        <v>7</v>
      </c>
      <c r="C396" s="10">
        <v>-51</v>
      </c>
      <c r="D396" t="s">
        <v>691</v>
      </c>
      <c r="E396" s="2">
        <f t="shared" si="90"/>
        <v>46211</v>
      </c>
      <c r="F396" s="3">
        <f t="shared" si="89"/>
        <v>4.6527777777777779E-2</v>
      </c>
      <c r="G396" t="s">
        <v>9</v>
      </c>
      <c r="H396" t="s">
        <v>10</v>
      </c>
      <c r="I396" t="s">
        <v>11</v>
      </c>
      <c r="J396" s="2">
        <v>46211</v>
      </c>
      <c r="K396" s="1">
        <v>2.0833333333333332E-2</v>
      </c>
      <c r="L396" s="10">
        <f t="shared" si="85"/>
        <v>-37</v>
      </c>
      <c r="M396" s="1" t="str">
        <f t="shared" si="84"/>
        <v>Delayed</v>
      </c>
      <c r="N396" s="27" t="str">
        <f t="shared" si="86"/>
        <v>airBaltic</v>
      </c>
      <c r="O396" s="3" t="s">
        <v>1318</v>
      </c>
      <c r="P396" s="20">
        <f t="shared" si="87"/>
        <v>1</v>
      </c>
      <c r="Q396" s="3" t="s">
        <v>1318</v>
      </c>
      <c r="R396" s="23" t="str">
        <f t="shared" si="88"/>
        <v>Wednesday</v>
      </c>
      <c r="S396" s="3" t="s">
        <v>1318</v>
      </c>
      <c r="T396" s="23" t="s">
        <v>7</v>
      </c>
      <c r="U396" s="3" t="s">
        <v>1318</v>
      </c>
      <c r="AO396" s="15"/>
      <c r="AP396" s="15"/>
      <c r="AQ396" s="15"/>
      <c r="AR396" s="23"/>
      <c r="AS396" s="15"/>
      <c r="AT396" s="15"/>
      <c r="AU396" s="23"/>
      <c r="AV396" s="23"/>
    </row>
    <row r="397" spans="1:48" x14ac:dyDescent="0.25">
      <c r="A397" t="s">
        <v>12</v>
      </c>
      <c r="B397" t="s">
        <v>13</v>
      </c>
      <c r="C397" s="10">
        <v>-28</v>
      </c>
      <c r="D397" t="s">
        <v>399</v>
      </c>
      <c r="E397" s="2">
        <f t="shared" si="90"/>
        <v>46211</v>
      </c>
      <c r="F397" s="3">
        <f t="shared" si="89"/>
        <v>1.8055555555555557E-2</v>
      </c>
      <c r="G397" t="s">
        <v>15</v>
      </c>
      <c r="H397" t="s">
        <v>16</v>
      </c>
      <c r="I397" t="s">
        <v>17</v>
      </c>
      <c r="J397" s="2">
        <v>46211</v>
      </c>
      <c r="K397" s="1">
        <v>2.0833333333333332E-2</v>
      </c>
      <c r="L397" s="10">
        <f t="shared" si="85"/>
        <v>3.9999999999999956</v>
      </c>
      <c r="M397" s="1" t="str">
        <f t="shared" si="84"/>
        <v>On Time</v>
      </c>
      <c r="N397" s="27" t="str">
        <f t="shared" si="86"/>
        <v>Wizz Air</v>
      </c>
      <c r="O397" s="3" t="s">
        <v>1385</v>
      </c>
      <c r="P397" s="20">
        <f t="shared" si="87"/>
        <v>0</v>
      </c>
      <c r="Q397" s="3" t="s">
        <v>1385</v>
      </c>
      <c r="R397" s="23" t="str">
        <f t="shared" si="88"/>
        <v>Wednesday</v>
      </c>
      <c r="S397" s="3" t="s">
        <v>1385</v>
      </c>
      <c r="T397" s="23" t="s">
        <v>13</v>
      </c>
      <c r="U397" s="3" t="s">
        <v>1385</v>
      </c>
      <c r="AO397" s="15"/>
      <c r="AP397" s="15"/>
      <c r="AQ397" s="15"/>
      <c r="AR397" s="23"/>
      <c r="AS397" s="15"/>
      <c r="AT397" s="15"/>
      <c r="AU397" s="23"/>
      <c r="AV397" s="23"/>
    </row>
    <row r="398" spans="1:48" x14ac:dyDescent="0.25">
      <c r="A398" t="s">
        <v>18</v>
      </c>
      <c r="B398" t="s">
        <v>19</v>
      </c>
      <c r="C398" s="10">
        <v>-30</v>
      </c>
      <c r="D398" t="s">
        <v>692</v>
      </c>
      <c r="E398" s="2">
        <f t="shared" si="90"/>
        <v>46211</v>
      </c>
      <c r="F398" s="3">
        <f t="shared" si="89"/>
        <v>3.2638888888888891E-2</v>
      </c>
      <c r="G398" t="s">
        <v>21</v>
      </c>
      <c r="H398" t="s">
        <v>22</v>
      </c>
      <c r="I398" t="s">
        <v>303</v>
      </c>
      <c r="J398" s="2">
        <v>46211</v>
      </c>
      <c r="K398" s="1">
        <v>2.7777777777777776E-2</v>
      </c>
      <c r="L398" s="10">
        <f t="shared" si="85"/>
        <v>-7.0000000000000053</v>
      </c>
      <c r="M398" s="1" t="str">
        <f t="shared" si="84"/>
        <v>On Time</v>
      </c>
      <c r="N398" s="27" t="str">
        <f t="shared" si="86"/>
        <v>LOT</v>
      </c>
      <c r="O398" s="3" t="s">
        <v>1385</v>
      </c>
      <c r="P398" s="20">
        <f t="shared" si="87"/>
        <v>0</v>
      </c>
      <c r="Q398" s="3" t="s">
        <v>1385</v>
      </c>
      <c r="R398" s="23" t="str">
        <f t="shared" si="88"/>
        <v>Wednesday</v>
      </c>
      <c r="S398" s="3" t="s">
        <v>1385</v>
      </c>
      <c r="T398" s="23" t="s">
        <v>19</v>
      </c>
      <c r="U398" s="3" t="s">
        <v>1385</v>
      </c>
      <c r="AO398" s="15"/>
      <c r="AP398" s="15"/>
      <c r="AQ398" s="15"/>
      <c r="AR398" s="23"/>
      <c r="AS398" s="15"/>
      <c r="AT398" s="15"/>
      <c r="AU398" s="23"/>
      <c r="AV398" s="23"/>
    </row>
    <row r="399" spans="1:48" x14ac:dyDescent="0.25">
      <c r="A399" t="s">
        <v>693</v>
      </c>
      <c r="B399" t="s">
        <v>85</v>
      </c>
      <c r="C399" s="10">
        <v>-17</v>
      </c>
      <c r="D399" t="s">
        <v>694</v>
      </c>
      <c r="E399" s="2">
        <f t="shared" si="90"/>
        <v>46211</v>
      </c>
      <c r="F399" s="3">
        <f t="shared" si="89"/>
        <v>4.3055555555555562E-2</v>
      </c>
      <c r="G399" t="s">
        <v>15</v>
      </c>
      <c r="H399" t="s">
        <v>16</v>
      </c>
      <c r="I399" t="s">
        <v>89</v>
      </c>
      <c r="J399" s="2">
        <v>46211</v>
      </c>
      <c r="K399" s="1">
        <v>5.2083333333333336E-2</v>
      </c>
      <c r="L399" s="10">
        <f t="shared" si="85"/>
        <v>12.999999999999993</v>
      </c>
      <c r="M399" s="1" t="str">
        <f t="shared" si="84"/>
        <v>On Time</v>
      </c>
      <c r="N399" s="27" t="str">
        <f t="shared" si="86"/>
        <v>Ryanair</v>
      </c>
      <c r="O399" s="3" t="s">
        <v>1385</v>
      </c>
      <c r="P399" s="20">
        <f t="shared" si="87"/>
        <v>1</v>
      </c>
      <c r="Q399" s="3" t="s">
        <v>1385</v>
      </c>
      <c r="R399" s="23" t="str">
        <f t="shared" si="88"/>
        <v>Wednesday</v>
      </c>
      <c r="S399" s="3" t="s">
        <v>1385</v>
      </c>
      <c r="T399" s="23" t="s">
        <v>85</v>
      </c>
      <c r="U399" s="3" t="s">
        <v>1385</v>
      </c>
      <c r="AO399" s="15"/>
      <c r="AP399" s="15"/>
      <c r="AQ399" s="15"/>
      <c r="AR399" s="23"/>
      <c r="AS399" s="15"/>
      <c r="AT399" s="15"/>
      <c r="AU399" s="23"/>
      <c r="AV399" s="23"/>
    </row>
    <row r="400" spans="1:48" x14ac:dyDescent="0.25">
      <c r="A400" t="s">
        <v>36</v>
      </c>
      <c r="B400" t="s">
        <v>7</v>
      </c>
      <c r="C400" s="10">
        <v>-12</v>
      </c>
      <c r="D400" t="s">
        <v>556</v>
      </c>
      <c r="E400" s="2">
        <f t="shared" si="90"/>
        <v>46211</v>
      </c>
      <c r="F400" s="3">
        <f t="shared" si="89"/>
        <v>4.9999999999999996E-2</v>
      </c>
      <c r="G400" t="s">
        <v>38</v>
      </c>
      <c r="H400" t="s">
        <v>39</v>
      </c>
      <c r="I400" t="s">
        <v>11</v>
      </c>
      <c r="J400" s="2">
        <v>46211</v>
      </c>
      <c r="K400" s="1">
        <v>5.9027777777777783E-2</v>
      </c>
      <c r="L400" s="10">
        <f t="shared" si="85"/>
        <v>13.000000000000014</v>
      </c>
      <c r="M400" s="1" t="str">
        <f t="shared" si="84"/>
        <v>On Time</v>
      </c>
      <c r="N400" s="27" t="str">
        <f t="shared" si="86"/>
        <v>airBaltic</v>
      </c>
      <c r="O400" s="3" t="s">
        <v>1385</v>
      </c>
      <c r="P400" s="20">
        <f t="shared" si="87"/>
        <v>1</v>
      </c>
      <c r="Q400" s="3" t="s">
        <v>1385</v>
      </c>
      <c r="R400" s="23" t="str">
        <f t="shared" si="88"/>
        <v>Wednesday</v>
      </c>
      <c r="S400" s="3" t="s">
        <v>1385</v>
      </c>
      <c r="T400" s="23" t="s">
        <v>7</v>
      </c>
      <c r="U400" s="3" t="s">
        <v>1385</v>
      </c>
      <c r="AO400" s="15"/>
      <c r="AP400" s="15"/>
      <c r="AQ400" s="15"/>
      <c r="AR400" s="23"/>
      <c r="AS400" s="15"/>
      <c r="AT400" s="15"/>
      <c r="AU400" s="23"/>
      <c r="AV400" s="23"/>
    </row>
    <row r="401" spans="1:48" x14ac:dyDescent="0.25">
      <c r="A401" t="s">
        <v>40</v>
      </c>
      <c r="B401" t="s">
        <v>41</v>
      </c>
      <c r="C401" s="10">
        <v>0</v>
      </c>
      <c r="D401" t="s">
        <v>279</v>
      </c>
      <c r="E401" s="2">
        <f t="shared" si="90"/>
        <v>46211</v>
      </c>
      <c r="F401" s="3">
        <f t="shared" si="89"/>
        <v>4.7916666666666663E-2</v>
      </c>
      <c r="G401" t="s">
        <v>43</v>
      </c>
      <c r="H401" t="s">
        <v>44</v>
      </c>
      <c r="I401" t="s">
        <v>158</v>
      </c>
      <c r="J401" s="2">
        <v>46211</v>
      </c>
      <c r="K401" s="1">
        <v>5.9027777777777783E-2</v>
      </c>
      <c r="L401" s="10">
        <f t="shared" si="85"/>
        <v>16.000000000000014</v>
      </c>
      <c r="M401" s="1" t="str">
        <f t="shared" si="84"/>
        <v>On Time</v>
      </c>
      <c r="N401" s="27" t="str">
        <f t="shared" si="86"/>
        <v>SAS</v>
      </c>
      <c r="O401" s="3" t="s">
        <v>1385</v>
      </c>
      <c r="P401" s="20">
        <f t="shared" si="87"/>
        <v>1</v>
      </c>
      <c r="Q401" s="3" t="s">
        <v>1385</v>
      </c>
      <c r="R401" s="23" t="str">
        <f t="shared" si="88"/>
        <v>Wednesday</v>
      </c>
      <c r="S401" s="3" t="s">
        <v>1385</v>
      </c>
      <c r="T401" s="23" t="s">
        <v>41</v>
      </c>
      <c r="U401" s="3" t="s">
        <v>1385</v>
      </c>
      <c r="AO401" s="15"/>
      <c r="AP401" s="15"/>
      <c r="AQ401" s="15"/>
      <c r="AR401" s="23"/>
      <c r="AS401" s="15"/>
      <c r="AT401" s="15"/>
      <c r="AU401" s="23"/>
      <c r="AV401" s="23"/>
    </row>
    <row r="402" spans="1:48" x14ac:dyDescent="0.25">
      <c r="A402" t="s">
        <v>476</v>
      </c>
      <c r="B402" t="s">
        <v>477</v>
      </c>
      <c r="C402" s="10">
        <v>-13</v>
      </c>
      <c r="D402" t="s">
        <v>638</v>
      </c>
      <c r="E402" s="2">
        <f t="shared" si="90"/>
        <v>46211</v>
      </c>
      <c r="F402" s="3">
        <f t="shared" si="89"/>
        <v>8.6805555555555566E-2</v>
      </c>
      <c r="G402" t="s">
        <v>106</v>
      </c>
      <c r="H402" t="s">
        <v>107</v>
      </c>
      <c r="I402" t="s">
        <v>83</v>
      </c>
      <c r="J402" s="2">
        <v>46211</v>
      </c>
      <c r="K402" s="1">
        <v>9.0277777777777776E-2</v>
      </c>
      <c r="L402" s="10">
        <f t="shared" si="85"/>
        <v>4.9999999999999822</v>
      </c>
      <c r="M402" s="1" t="str">
        <f t="shared" si="84"/>
        <v>On Time</v>
      </c>
      <c r="N402" s="27" t="e">
        <f t="shared" si="86"/>
        <v>#N/A</v>
      </c>
      <c r="O402" s="3" t="s">
        <v>1385</v>
      </c>
      <c r="P402" s="20">
        <f t="shared" si="87"/>
        <v>2</v>
      </c>
      <c r="Q402" s="3" t="s">
        <v>1385</v>
      </c>
      <c r="R402" s="23" t="str">
        <f t="shared" si="88"/>
        <v>Wednesday</v>
      </c>
      <c r="S402" s="3" t="s">
        <v>1385</v>
      </c>
      <c r="T402" s="23" t="s">
        <v>477</v>
      </c>
      <c r="U402" s="3" t="s">
        <v>1385</v>
      </c>
      <c r="AO402" s="15"/>
      <c r="AP402" s="15"/>
      <c r="AQ402" s="15"/>
      <c r="AR402" s="23"/>
      <c r="AS402" s="15"/>
      <c r="AT402" s="15"/>
      <c r="AU402" s="23"/>
      <c r="AV402" s="23"/>
    </row>
    <row r="403" spans="1:48" x14ac:dyDescent="0.25">
      <c r="A403" t="s">
        <v>54</v>
      </c>
      <c r="B403" t="s">
        <v>55</v>
      </c>
      <c r="C403" s="10">
        <v>-14</v>
      </c>
      <c r="D403" t="s">
        <v>695</v>
      </c>
      <c r="E403" s="2">
        <f t="shared" si="90"/>
        <v>46211</v>
      </c>
      <c r="F403" s="3">
        <f t="shared" si="89"/>
        <v>0.31875000000000003</v>
      </c>
      <c r="G403" t="s">
        <v>57</v>
      </c>
      <c r="H403" t="s">
        <v>58</v>
      </c>
      <c r="I403" t="s">
        <v>59</v>
      </c>
      <c r="J403" s="2">
        <v>46211</v>
      </c>
      <c r="K403" s="1">
        <v>0.31666666666666665</v>
      </c>
      <c r="L403" s="10">
        <f t="shared" si="85"/>
        <v>-3.0000000000000693</v>
      </c>
      <c r="M403" s="1" t="str">
        <f t="shared" ref="M403:M466" si="91">IF(L403&gt;=-15, "On Time", "Delayed")</f>
        <v>On Time</v>
      </c>
      <c r="N403" s="27" t="e">
        <f t="shared" si="86"/>
        <v>#N/A</v>
      </c>
      <c r="O403" s="3" t="s">
        <v>1385</v>
      </c>
      <c r="P403" s="20">
        <f t="shared" si="87"/>
        <v>7</v>
      </c>
      <c r="Q403" s="3" t="s">
        <v>1385</v>
      </c>
      <c r="R403" s="23" t="str">
        <f t="shared" si="88"/>
        <v>Wednesday</v>
      </c>
      <c r="S403" s="3" t="s">
        <v>1385</v>
      </c>
      <c r="T403" s="23" t="s">
        <v>55</v>
      </c>
      <c r="U403" s="3" t="s">
        <v>1385</v>
      </c>
      <c r="AO403" s="15"/>
      <c r="AP403" s="15"/>
      <c r="AQ403" s="15"/>
      <c r="AR403" s="23"/>
      <c r="AS403" s="15"/>
      <c r="AT403" s="15"/>
      <c r="AU403" s="23"/>
      <c r="AV403" s="23"/>
    </row>
    <row r="404" spans="1:48" x14ac:dyDescent="0.25">
      <c r="A404" t="s">
        <v>60</v>
      </c>
      <c r="B404" t="s">
        <v>7</v>
      </c>
      <c r="C404" s="10">
        <v>-985</v>
      </c>
      <c r="D404" t="s">
        <v>696</v>
      </c>
      <c r="E404" s="2">
        <f t="shared" si="90"/>
        <v>46211</v>
      </c>
      <c r="F404" s="3">
        <f t="shared" si="89"/>
        <v>0.46180555555555558</v>
      </c>
      <c r="G404" t="s">
        <v>9</v>
      </c>
      <c r="H404" t="s">
        <v>10</v>
      </c>
      <c r="I404" t="s">
        <v>11</v>
      </c>
      <c r="J404" s="2">
        <v>46211</v>
      </c>
      <c r="K404" s="1">
        <v>0.3611111111111111</v>
      </c>
      <c r="L404" s="10">
        <f t="shared" si="85"/>
        <v>-145.00000000000006</v>
      </c>
      <c r="M404" s="1" t="str">
        <f t="shared" si="91"/>
        <v>Delayed</v>
      </c>
      <c r="N404" s="27" t="str">
        <f t="shared" si="86"/>
        <v>airBaltic</v>
      </c>
      <c r="O404" s="3" t="s">
        <v>1318</v>
      </c>
      <c r="P404" s="20">
        <f t="shared" si="87"/>
        <v>11</v>
      </c>
      <c r="Q404" s="3" t="s">
        <v>1318</v>
      </c>
      <c r="R404" s="23" t="str">
        <f t="shared" si="88"/>
        <v>Wednesday</v>
      </c>
      <c r="S404" s="3" t="s">
        <v>1318</v>
      </c>
      <c r="T404" s="23" t="s">
        <v>7</v>
      </c>
      <c r="U404" s="3" t="s">
        <v>1318</v>
      </c>
      <c r="AO404" s="15"/>
      <c r="AP404" s="15"/>
      <c r="AQ404" s="15"/>
      <c r="AR404" s="23"/>
      <c r="AS404" s="15"/>
      <c r="AT404" s="15"/>
      <c r="AU404" s="23"/>
      <c r="AV404" s="23"/>
    </row>
    <row r="405" spans="1:48" x14ac:dyDescent="0.25">
      <c r="A405" t="s">
        <v>291</v>
      </c>
      <c r="B405" t="s">
        <v>13</v>
      </c>
      <c r="C405" s="10">
        <v>-121</v>
      </c>
      <c r="D405" t="s">
        <v>91</v>
      </c>
      <c r="E405" s="2">
        <f t="shared" si="90"/>
        <v>46211</v>
      </c>
      <c r="F405" s="3">
        <f t="shared" si="89"/>
        <v>0.44444444444444442</v>
      </c>
      <c r="G405" t="s">
        <v>293</v>
      </c>
      <c r="H405" t="s">
        <v>294</v>
      </c>
      <c r="I405" t="s">
        <v>17</v>
      </c>
      <c r="J405" s="2">
        <v>46211</v>
      </c>
      <c r="K405" s="1">
        <v>0.36805555555555558</v>
      </c>
      <c r="L405" s="10">
        <f t="shared" si="85"/>
        <v>-109.99999999999993</v>
      </c>
      <c r="M405" s="1" t="str">
        <f t="shared" si="91"/>
        <v>Delayed</v>
      </c>
      <c r="N405" s="27" t="str">
        <f t="shared" si="86"/>
        <v>Wizz Air</v>
      </c>
      <c r="O405" s="3" t="s">
        <v>1318</v>
      </c>
      <c r="P405" s="20">
        <f t="shared" si="87"/>
        <v>10</v>
      </c>
      <c r="Q405" s="3" t="s">
        <v>1318</v>
      </c>
      <c r="R405" s="23" t="str">
        <f t="shared" si="88"/>
        <v>Wednesday</v>
      </c>
      <c r="S405" s="3" t="s">
        <v>1318</v>
      </c>
      <c r="T405" s="23" t="s">
        <v>13</v>
      </c>
      <c r="U405" s="3" t="s">
        <v>1318</v>
      </c>
      <c r="AO405" s="15"/>
      <c r="AP405" s="15"/>
      <c r="AQ405" s="15"/>
      <c r="AR405" s="23"/>
      <c r="AS405" s="15"/>
      <c r="AT405" s="15"/>
      <c r="AU405" s="23"/>
      <c r="AV405" s="23"/>
    </row>
    <row r="406" spans="1:48" x14ac:dyDescent="0.25">
      <c r="A406" t="s">
        <v>68</v>
      </c>
      <c r="B406" t="s">
        <v>69</v>
      </c>
      <c r="C406" s="10">
        <v>0</v>
      </c>
      <c r="D406" t="s">
        <v>697</v>
      </c>
      <c r="E406" s="2">
        <f t="shared" si="90"/>
        <v>46211</v>
      </c>
      <c r="F406" s="3">
        <f t="shared" si="89"/>
        <v>0.37777777777777777</v>
      </c>
      <c r="G406" t="s">
        <v>71</v>
      </c>
      <c r="H406" t="s">
        <v>72</v>
      </c>
      <c r="I406" t="s">
        <v>73</v>
      </c>
      <c r="J406" s="2">
        <v>46211</v>
      </c>
      <c r="K406" s="1">
        <v>0.38541666666666669</v>
      </c>
      <c r="L406" s="10">
        <f t="shared" si="85"/>
        <v>11.000000000000041</v>
      </c>
      <c r="M406" s="1" t="str">
        <f t="shared" si="91"/>
        <v>On Time</v>
      </c>
      <c r="N406" s="27" t="str">
        <f t="shared" si="86"/>
        <v>Finnair</v>
      </c>
      <c r="O406" s="3" t="s">
        <v>1385</v>
      </c>
      <c r="P406" s="20">
        <f t="shared" si="87"/>
        <v>9</v>
      </c>
      <c r="Q406" s="3" t="s">
        <v>1385</v>
      </c>
      <c r="R406" s="23" t="str">
        <f t="shared" si="88"/>
        <v>Wednesday</v>
      </c>
      <c r="S406" s="3" t="s">
        <v>1385</v>
      </c>
      <c r="T406" s="23" t="s">
        <v>69</v>
      </c>
      <c r="U406" s="3" t="s">
        <v>1385</v>
      </c>
      <c r="AO406" s="15"/>
      <c r="AP406" s="15"/>
      <c r="AQ406" s="15"/>
      <c r="AR406" s="23"/>
      <c r="AS406" s="15"/>
      <c r="AT406" s="15"/>
      <c r="AU406" s="23"/>
      <c r="AV406" s="23"/>
    </row>
    <row r="407" spans="1:48" x14ac:dyDescent="0.25">
      <c r="A407" t="s">
        <v>74</v>
      </c>
      <c r="B407" t="s">
        <v>13</v>
      </c>
      <c r="C407" s="10">
        <v>0</v>
      </c>
      <c r="D407" t="s">
        <v>698</v>
      </c>
      <c r="E407" s="2">
        <f t="shared" si="90"/>
        <v>46211</v>
      </c>
      <c r="F407" s="3">
        <f t="shared" si="89"/>
        <v>0.37222222222222223</v>
      </c>
      <c r="G407" t="s">
        <v>76</v>
      </c>
      <c r="H407" t="s">
        <v>77</v>
      </c>
      <c r="I407" t="s">
        <v>17</v>
      </c>
      <c r="J407" s="2">
        <v>46211</v>
      </c>
      <c r="K407" s="1">
        <v>0.3888888888888889</v>
      </c>
      <c r="L407" s="10">
        <f t="shared" si="85"/>
        <v>23.999999999999993</v>
      </c>
      <c r="M407" s="1" t="str">
        <f t="shared" si="91"/>
        <v>On Time</v>
      </c>
      <c r="N407" s="27" t="str">
        <f t="shared" si="86"/>
        <v>Wizz Air</v>
      </c>
      <c r="O407" s="3" t="s">
        <v>1385</v>
      </c>
      <c r="P407" s="20">
        <f t="shared" si="87"/>
        <v>8</v>
      </c>
      <c r="Q407" s="3" t="s">
        <v>1385</v>
      </c>
      <c r="R407" s="23" t="str">
        <f t="shared" si="88"/>
        <v>Wednesday</v>
      </c>
      <c r="S407" s="3" t="s">
        <v>1385</v>
      </c>
      <c r="T407" s="23" t="s">
        <v>13</v>
      </c>
      <c r="U407" s="3" t="s">
        <v>1385</v>
      </c>
      <c r="AO407" s="15"/>
      <c r="AP407" s="15"/>
      <c r="AQ407" s="15"/>
      <c r="AR407" s="23"/>
      <c r="AS407" s="15"/>
      <c r="AT407" s="15"/>
      <c r="AU407" s="23"/>
      <c r="AV407" s="23"/>
    </row>
    <row r="408" spans="1:48" x14ac:dyDescent="0.25">
      <c r="A408" t="s">
        <v>93</v>
      </c>
      <c r="B408" t="s">
        <v>7</v>
      </c>
      <c r="C408" s="10">
        <v>-6</v>
      </c>
      <c r="D408" t="s">
        <v>699</v>
      </c>
      <c r="E408" s="2">
        <f t="shared" si="90"/>
        <v>46211</v>
      </c>
      <c r="F408" s="3">
        <f t="shared" si="89"/>
        <v>0.41041666666666665</v>
      </c>
      <c r="G408" t="s">
        <v>76</v>
      </c>
      <c r="H408" t="s">
        <v>77</v>
      </c>
      <c r="I408" t="s">
        <v>11</v>
      </c>
      <c r="J408" s="2">
        <v>46211</v>
      </c>
      <c r="K408" s="1">
        <v>0.41666666666666669</v>
      </c>
      <c r="L408" s="10">
        <f t="shared" si="85"/>
        <v>9.000000000000048</v>
      </c>
      <c r="M408" s="1" t="str">
        <f t="shared" si="91"/>
        <v>On Time</v>
      </c>
      <c r="N408" s="27" t="str">
        <f t="shared" si="86"/>
        <v>airBaltic</v>
      </c>
      <c r="O408" s="3" t="s">
        <v>1385</v>
      </c>
      <c r="P408" s="20">
        <f t="shared" si="87"/>
        <v>9</v>
      </c>
      <c r="Q408" s="3" t="s">
        <v>1385</v>
      </c>
      <c r="R408" s="23" t="str">
        <f t="shared" si="88"/>
        <v>Wednesday</v>
      </c>
      <c r="S408" s="3" t="s">
        <v>1385</v>
      </c>
      <c r="T408" s="23" t="s">
        <v>7</v>
      </c>
      <c r="U408" s="3" t="s">
        <v>1385</v>
      </c>
      <c r="AO408" s="15"/>
      <c r="AP408" s="15"/>
      <c r="AQ408" s="15"/>
      <c r="AR408" s="23"/>
      <c r="AS408" s="15"/>
      <c r="AT408" s="15"/>
      <c r="AU408" s="23"/>
      <c r="AV408" s="23"/>
    </row>
    <row r="409" spans="1:48" x14ac:dyDescent="0.25">
      <c r="A409" t="s">
        <v>90</v>
      </c>
      <c r="B409" t="s">
        <v>19</v>
      </c>
      <c r="C409" s="10">
        <v>-3</v>
      </c>
      <c r="D409" t="s">
        <v>410</v>
      </c>
      <c r="E409" s="2">
        <f t="shared" si="90"/>
        <v>46211</v>
      </c>
      <c r="F409" s="3">
        <f t="shared" si="89"/>
        <v>0.40763888888888888</v>
      </c>
      <c r="G409" t="s">
        <v>21</v>
      </c>
      <c r="H409" t="s">
        <v>22</v>
      </c>
      <c r="I409" t="s">
        <v>143</v>
      </c>
      <c r="J409" s="2">
        <v>46211</v>
      </c>
      <c r="K409" s="1">
        <v>0.4201388888888889</v>
      </c>
      <c r="L409" s="10">
        <f t="shared" si="85"/>
        <v>18.000000000000014</v>
      </c>
      <c r="M409" s="1" t="str">
        <f t="shared" si="91"/>
        <v>On Time</v>
      </c>
      <c r="N409" s="27" t="str">
        <f t="shared" si="86"/>
        <v>LOT</v>
      </c>
      <c r="O409" s="3" t="s">
        <v>1385</v>
      </c>
      <c r="P409" s="20">
        <f t="shared" si="87"/>
        <v>9</v>
      </c>
      <c r="Q409" s="3" t="s">
        <v>1385</v>
      </c>
      <c r="R409" s="23" t="str">
        <f t="shared" si="88"/>
        <v>Wednesday</v>
      </c>
      <c r="S409" s="3" t="s">
        <v>1385</v>
      </c>
      <c r="T409" s="23" t="s">
        <v>19</v>
      </c>
      <c r="U409" s="3" t="s">
        <v>1385</v>
      </c>
      <c r="AO409" s="15"/>
      <c r="AP409" s="15"/>
      <c r="AQ409" s="15"/>
      <c r="AR409" s="23"/>
      <c r="AS409" s="15"/>
      <c r="AT409" s="15"/>
      <c r="AU409" s="23"/>
      <c r="AV409" s="23"/>
    </row>
    <row r="410" spans="1:48" x14ac:dyDescent="0.25">
      <c r="A410" t="s">
        <v>123</v>
      </c>
      <c r="B410" t="s">
        <v>123</v>
      </c>
      <c r="D410" t="s">
        <v>700</v>
      </c>
      <c r="E410" s="2">
        <f t="shared" si="90"/>
        <v>46211</v>
      </c>
      <c r="F410" s="3">
        <f t="shared" si="89"/>
        <v>0.43124999999999997</v>
      </c>
      <c r="G410" t="s">
        <v>98</v>
      </c>
      <c r="H410" t="s">
        <v>99</v>
      </c>
      <c r="I410" t="s">
        <v>701</v>
      </c>
      <c r="J410" s="2">
        <v>46211</v>
      </c>
      <c r="K410" s="1">
        <v>0.43958333333333338</v>
      </c>
      <c r="L410" s="10">
        <f t="shared" si="85"/>
        <v>12.000000000000117</v>
      </c>
      <c r="M410" s="1" t="str">
        <f t="shared" si="91"/>
        <v>On Time</v>
      </c>
      <c r="N410" s="27" t="e">
        <f t="shared" si="86"/>
        <v>#N/A</v>
      </c>
      <c r="O410" s="3" t="s">
        <v>1385</v>
      </c>
      <c r="P410" s="20">
        <f t="shared" si="87"/>
        <v>10</v>
      </c>
      <c r="Q410" s="3" t="s">
        <v>1385</v>
      </c>
      <c r="R410" s="23" t="str">
        <f t="shared" si="88"/>
        <v>Wednesday</v>
      </c>
      <c r="S410" s="3" t="s">
        <v>1385</v>
      </c>
      <c r="T410" s="23" t="s">
        <v>123</v>
      </c>
      <c r="U410" s="3" t="s">
        <v>1385</v>
      </c>
      <c r="AO410" s="15"/>
      <c r="AP410" s="15"/>
      <c r="AQ410" s="15"/>
      <c r="AR410" s="23"/>
      <c r="AS410" s="15"/>
      <c r="AT410" s="15"/>
      <c r="AU410" s="23"/>
      <c r="AV410" s="23"/>
    </row>
    <row r="411" spans="1:48" x14ac:dyDescent="0.25">
      <c r="A411" t="s">
        <v>95</v>
      </c>
      <c r="B411" t="s">
        <v>96</v>
      </c>
      <c r="C411" s="10">
        <v>-31</v>
      </c>
      <c r="D411" t="s">
        <v>702</v>
      </c>
      <c r="E411" s="2">
        <f t="shared" si="90"/>
        <v>46211</v>
      </c>
      <c r="F411" s="3">
        <f t="shared" si="89"/>
        <v>0.44930555555555557</v>
      </c>
      <c r="G411" t="s">
        <v>98</v>
      </c>
      <c r="H411" t="s">
        <v>99</v>
      </c>
      <c r="I411" t="s">
        <v>188</v>
      </c>
      <c r="J411" s="2">
        <v>46211</v>
      </c>
      <c r="K411" s="1">
        <v>0.44791666666666669</v>
      </c>
      <c r="L411" s="10">
        <f t="shared" si="85"/>
        <v>-1.9999999999999929</v>
      </c>
      <c r="M411" s="1" t="str">
        <f t="shared" si="91"/>
        <v>On Time</v>
      </c>
      <c r="N411" s="27" t="str">
        <f t="shared" si="86"/>
        <v>Turkish Airlines</v>
      </c>
      <c r="O411" s="3" t="s">
        <v>1385</v>
      </c>
      <c r="P411" s="20">
        <f t="shared" si="87"/>
        <v>10</v>
      </c>
      <c r="Q411" s="3" t="s">
        <v>1385</v>
      </c>
      <c r="R411" s="23" t="str">
        <f t="shared" si="88"/>
        <v>Wednesday</v>
      </c>
      <c r="S411" s="3" t="s">
        <v>1385</v>
      </c>
      <c r="T411" s="23" t="s">
        <v>96</v>
      </c>
      <c r="U411" s="3" t="s">
        <v>1385</v>
      </c>
      <c r="AO411" s="15"/>
      <c r="AP411" s="15"/>
      <c r="AQ411" s="15"/>
      <c r="AR411" s="23"/>
      <c r="AS411" s="15"/>
      <c r="AT411" s="15"/>
      <c r="AU411" s="23"/>
      <c r="AV411" s="23"/>
    </row>
    <row r="412" spans="1:48" x14ac:dyDescent="0.25">
      <c r="A412" t="s">
        <v>306</v>
      </c>
      <c r="B412" t="s">
        <v>239</v>
      </c>
      <c r="D412" t="s">
        <v>495</v>
      </c>
      <c r="E412" s="2">
        <f t="shared" si="90"/>
        <v>46211</v>
      </c>
      <c r="F412" s="3">
        <f t="shared" si="89"/>
        <v>0.4513888888888889</v>
      </c>
      <c r="G412" t="s">
        <v>308</v>
      </c>
      <c r="H412" t="s">
        <v>309</v>
      </c>
      <c r="I412" t="s">
        <v>83</v>
      </c>
      <c r="J412" s="2">
        <v>46211</v>
      </c>
      <c r="K412" s="1">
        <v>0.45833333333333331</v>
      </c>
      <c r="L412" s="10">
        <f t="shared" si="85"/>
        <v>9.9999999999999645</v>
      </c>
      <c r="M412" s="1" t="str">
        <f t="shared" si="91"/>
        <v>On Time</v>
      </c>
      <c r="N412" s="27" t="str">
        <f t="shared" si="86"/>
        <v>Eurowings</v>
      </c>
      <c r="O412" s="3" t="s">
        <v>1385</v>
      </c>
      <c r="P412" s="20">
        <f t="shared" si="87"/>
        <v>10</v>
      </c>
      <c r="Q412" s="3" t="s">
        <v>1385</v>
      </c>
      <c r="R412" s="23" t="str">
        <f t="shared" si="88"/>
        <v>Wednesday</v>
      </c>
      <c r="S412" s="3" t="s">
        <v>1385</v>
      </c>
      <c r="T412" s="23" t="s">
        <v>239</v>
      </c>
      <c r="U412" s="3" t="s">
        <v>1385</v>
      </c>
      <c r="AO412" s="15"/>
      <c r="AP412" s="15"/>
      <c r="AQ412" s="15"/>
      <c r="AR412" s="23"/>
      <c r="AS412" s="15"/>
      <c r="AT412" s="15"/>
      <c r="AU412" s="23"/>
      <c r="AV412" s="23"/>
    </row>
    <row r="413" spans="1:48" x14ac:dyDescent="0.25">
      <c r="A413" t="s">
        <v>100</v>
      </c>
      <c r="B413" t="s">
        <v>85</v>
      </c>
      <c r="C413" s="10">
        <v>-13</v>
      </c>
      <c r="D413" t="s">
        <v>703</v>
      </c>
      <c r="E413" s="2">
        <f t="shared" si="90"/>
        <v>46211</v>
      </c>
      <c r="F413" s="3">
        <f t="shared" si="89"/>
        <v>0.45694444444444443</v>
      </c>
      <c r="G413" t="s">
        <v>102</v>
      </c>
      <c r="H413" t="s">
        <v>103</v>
      </c>
      <c r="I413" t="s">
        <v>162</v>
      </c>
      <c r="J413" s="2">
        <v>46211</v>
      </c>
      <c r="K413" s="1">
        <v>0.46527777777777773</v>
      </c>
      <c r="L413" s="10">
        <f t="shared" si="85"/>
        <v>11.999999999999957</v>
      </c>
      <c r="M413" s="1" t="str">
        <f t="shared" si="91"/>
        <v>On Time</v>
      </c>
      <c r="N413" s="27" t="str">
        <f t="shared" si="86"/>
        <v>Ryanair</v>
      </c>
      <c r="O413" s="3" t="s">
        <v>1385</v>
      </c>
      <c r="P413" s="20">
        <f t="shared" si="87"/>
        <v>10</v>
      </c>
      <c r="Q413" s="3" t="s">
        <v>1385</v>
      </c>
      <c r="R413" s="23" t="str">
        <f t="shared" si="88"/>
        <v>Wednesday</v>
      </c>
      <c r="S413" s="3" t="s">
        <v>1385</v>
      </c>
      <c r="T413" s="23" t="s">
        <v>85</v>
      </c>
      <c r="U413" s="3" t="s">
        <v>1385</v>
      </c>
      <c r="AO413" s="15"/>
      <c r="AP413" s="15"/>
      <c r="AQ413" s="15"/>
      <c r="AR413" s="23"/>
      <c r="AS413" s="15"/>
      <c r="AT413" s="15"/>
      <c r="AU413" s="23"/>
      <c r="AV413" s="23"/>
    </row>
    <row r="414" spans="1:48" x14ac:dyDescent="0.25">
      <c r="A414" t="s">
        <v>418</v>
      </c>
      <c r="B414" t="s">
        <v>85</v>
      </c>
      <c r="C414" s="10">
        <v>4</v>
      </c>
      <c r="D414" t="s">
        <v>497</v>
      </c>
      <c r="E414" s="2">
        <f t="shared" si="90"/>
        <v>46211</v>
      </c>
      <c r="F414" s="3">
        <f t="shared" si="89"/>
        <v>0.46527777777777773</v>
      </c>
      <c r="G414" t="s">
        <v>419</v>
      </c>
      <c r="H414" t="s">
        <v>420</v>
      </c>
      <c r="I414" t="s">
        <v>89</v>
      </c>
      <c r="J414" s="2">
        <v>46211</v>
      </c>
      <c r="K414" s="1">
        <v>0.4826388888888889</v>
      </c>
      <c r="L414" s="10">
        <f t="shared" si="85"/>
        <v>25.000000000000071</v>
      </c>
      <c r="M414" s="1" t="str">
        <f t="shared" si="91"/>
        <v>On Time</v>
      </c>
      <c r="N414" s="27" t="str">
        <f t="shared" si="86"/>
        <v>Ryanair</v>
      </c>
      <c r="O414" s="3" t="s">
        <v>1385</v>
      </c>
      <c r="P414" s="20">
        <f t="shared" si="87"/>
        <v>11</v>
      </c>
      <c r="Q414" s="3" t="s">
        <v>1385</v>
      </c>
      <c r="R414" s="23" t="str">
        <f t="shared" si="88"/>
        <v>Wednesday</v>
      </c>
      <c r="S414" s="3" t="s">
        <v>1385</v>
      </c>
      <c r="T414" s="23" t="s">
        <v>85</v>
      </c>
      <c r="U414" s="3" t="s">
        <v>1385</v>
      </c>
      <c r="AO414" s="15"/>
      <c r="AP414" s="15"/>
      <c r="AQ414" s="15"/>
      <c r="AR414" s="23"/>
      <c r="AS414" s="15"/>
      <c r="AT414" s="15"/>
      <c r="AU414" s="23"/>
      <c r="AV414" s="23"/>
    </row>
    <row r="415" spans="1:48" x14ac:dyDescent="0.25">
      <c r="A415" t="s">
        <v>213</v>
      </c>
      <c r="B415" t="s">
        <v>85</v>
      </c>
      <c r="C415" s="10">
        <v>-18</v>
      </c>
      <c r="D415" t="s">
        <v>704</v>
      </c>
      <c r="E415" s="2">
        <f t="shared" si="90"/>
        <v>46211</v>
      </c>
      <c r="F415" s="3">
        <f t="shared" si="89"/>
        <v>0.4916666666666667</v>
      </c>
      <c r="G415" t="s">
        <v>102</v>
      </c>
      <c r="H415" t="s">
        <v>115</v>
      </c>
      <c r="I415" t="s">
        <v>162</v>
      </c>
      <c r="J415" s="2">
        <v>46211</v>
      </c>
      <c r="K415" s="1">
        <v>0.49652777777777773</v>
      </c>
      <c r="L415" s="10">
        <f t="shared" si="85"/>
        <v>6.9999999999998952</v>
      </c>
      <c r="M415" s="1" t="str">
        <f t="shared" si="91"/>
        <v>On Time</v>
      </c>
      <c r="N415" s="27" t="str">
        <f t="shared" si="86"/>
        <v>Ryanair</v>
      </c>
      <c r="O415" s="3" t="s">
        <v>1385</v>
      </c>
      <c r="P415" s="20">
        <f t="shared" si="87"/>
        <v>11</v>
      </c>
      <c r="Q415" s="3" t="s">
        <v>1385</v>
      </c>
      <c r="R415" s="23" t="str">
        <f t="shared" si="88"/>
        <v>Wednesday</v>
      </c>
      <c r="S415" s="3" t="s">
        <v>1385</v>
      </c>
      <c r="T415" s="23" t="s">
        <v>85</v>
      </c>
      <c r="U415" s="3" t="s">
        <v>1385</v>
      </c>
      <c r="AO415" s="15"/>
      <c r="AP415" s="15"/>
      <c r="AQ415" s="15"/>
      <c r="AR415" s="23"/>
      <c r="AS415" s="15"/>
      <c r="AT415" s="15"/>
      <c r="AU415" s="23"/>
      <c r="AV415" s="23"/>
    </row>
    <row r="416" spans="1:48" x14ac:dyDescent="0.25">
      <c r="A416" t="s">
        <v>319</v>
      </c>
      <c r="B416" t="s">
        <v>85</v>
      </c>
      <c r="C416" s="10">
        <v>-23</v>
      </c>
      <c r="D416" t="s">
        <v>705</v>
      </c>
      <c r="E416" s="2">
        <f t="shared" si="90"/>
        <v>46211</v>
      </c>
      <c r="F416" s="3">
        <f t="shared" si="89"/>
        <v>0.49861111111111112</v>
      </c>
      <c r="G416" t="s">
        <v>15</v>
      </c>
      <c r="H416" t="s">
        <v>16</v>
      </c>
      <c r="I416" t="s">
        <v>89</v>
      </c>
      <c r="J416" s="2">
        <v>46211</v>
      </c>
      <c r="K416" s="1">
        <v>0.5</v>
      </c>
      <c r="L416" s="10">
        <f t="shared" si="85"/>
        <v>1.9999999999999929</v>
      </c>
      <c r="M416" s="1" t="str">
        <f t="shared" si="91"/>
        <v>On Time</v>
      </c>
      <c r="N416" s="27" t="str">
        <f t="shared" si="86"/>
        <v>Ryanair</v>
      </c>
      <c r="O416" s="3" t="s">
        <v>1385</v>
      </c>
      <c r="P416" s="20">
        <f t="shared" si="87"/>
        <v>11</v>
      </c>
      <c r="Q416" s="3" t="s">
        <v>1385</v>
      </c>
      <c r="R416" s="23" t="str">
        <f t="shared" si="88"/>
        <v>Wednesday</v>
      </c>
      <c r="S416" s="3" t="s">
        <v>1385</v>
      </c>
      <c r="T416" s="23" t="s">
        <v>85</v>
      </c>
      <c r="U416" s="3" t="s">
        <v>1385</v>
      </c>
      <c r="AO416" s="15"/>
      <c r="AP416" s="15"/>
      <c r="AQ416" s="15"/>
      <c r="AR416" s="23"/>
      <c r="AS416" s="15"/>
      <c r="AT416" s="15"/>
      <c r="AU416" s="23"/>
      <c r="AV416" s="23"/>
    </row>
    <row r="417" spans="1:48" x14ac:dyDescent="0.25">
      <c r="A417" t="s">
        <v>108</v>
      </c>
      <c r="B417" t="s">
        <v>190</v>
      </c>
      <c r="C417" s="10">
        <v>-16</v>
      </c>
      <c r="D417" t="s">
        <v>315</v>
      </c>
      <c r="E417" s="2">
        <f t="shared" si="90"/>
        <v>46211</v>
      </c>
      <c r="F417" s="3">
        <f t="shared" si="89"/>
        <v>0.52222222222222225</v>
      </c>
      <c r="G417" t="s">
        <v>110</v>
      </c>
      <c r="H417" t="s">
        <v>111</v>
      </c>
      <c r="I417" t="s">
        <v>112</v>
      </c>
      <c r="J417" s="2">
        <v>46211</v>
      </c>
      <c r="K417" s="1">
        <v>0.52777777777777779</v>
      </c>
      <c r="L417" s="10">
        <f t="shared" si="85"/>
        <v>7.9999999999999716</v>
      </c>
      <c r="M417" s="1" t="str">
        <f t="shared" si="91"/>
        <v>On Time</v>
      </c>
      <c r="N417" s="27" t="str">
        <f t="shared" si="86"/>
        <v>Lufthansa</v>
      </c>
      <c r="O417" s="3" t="s">
        <v>1385</v>
      </c>
      <c r="P417" s="20">
        <f t="shared" si="87"/>
        <v>12</v>
      </c>
      <c r="Q417" s="3" t="s">
        <v>1385</v>
      </c>
      <c r="R417" s="23" t="str">
        <f t="shared" si="88"/>
        <v>Wednesday</v>
      </c>
      <c r="S417" s="3" t="s">
        <v>1385</v>
      </c>
      <c r="T417" s="23" t="s">
        <v>190</v>
      </c>
      <c r="U417" s="3" t="s">
        <v>1385</v>
      </c>
      <c r="AO417" s="15"/>
      <c r="AP417" s="15"/>
      <c r="AQ417" s="15"/>
      <c r="AR417" s="23"/>
      <c r="AS417" s="15"/>
      <c r="AT417" s="15"/>
      <c r="AU417" s="23"/>
      <c r="AV417" s="23"/>
    </row>
    <row r="418" spans="1:48" x14ac:dyDescent="0.25">
      <c r="A418" t="s">
        <v>706</v>
      </c>
      <c r="B418" t="s">
        <v>363</v>
      </c>
      <c r="D418" t="s">
        <v>128</v>
      </c>
      <c r="E418" s="2">
        <f t="shared" si="90"/>
        <v>46211</v>
      </c>
      <c r="F418" s="3">
        <f t="shared" si="89"/>
        <v>0.54583333333333328</v>
      </c>
      <c r="G418" t="s">
        <v>165</v>
      </c>
      <c r="H418" t="s">
        <v>166</v>
      </c>
      <c r="I418" t="s">
        <v>707</v>
      </c>
      <c r="J418" s="2">
        <v>46211</v>
      </c>
      <c r="K418" s="1">
        <v>0.53055555555555556</v>
      </c>
      <c r="L418" s="10">
        <f t="shared" si="85"/>
        <v>-21.999999999999922</v>
      </c>
      <c r="M418" s="1" t="str">
        <f t="shared" si="91"/>
        <v>Delayed</v>
      </c>
      <c r="N418" s="27" t="e">
        <f t="shared" si="86"/>
        <v>#N/A</v>
      </c>
      <c r="O418" s="3" t="s">
        <v>1318</v>
      </c>
      <c r="P418" s="20">
        <f t="shared" si="87"/>
        <v>13</v>
      </c>
      <c r="Q418" s="3" t="s">
        <v>1318</v>
      </c>
      <c r="R418" s="23" t="str">
        <f t="shared" si="88"/>
        <v>Wednesday</v>
      </c>
      <c r="S418" s="3" t="s">
        <v>1318</v>
      </c>
      <c r="T418" s="23" t="s">
        <v>363</v>
      </c>
      <c r="U418" s="3" t="s">
        <v>1318</v>
      </c>
      <c r="AO418" s="15"/>
      <c r="AP418" s="15"/>
      <c r="AQ418" s="15"/>
      <c r="AR418" s="23"/>
      <c r="AS418" s="15"/>
      <c r="AT418" s="15"/>
      <c r="AU418" s="23"/>
      <c r="AV418" s="23"/>
    </row>
    <row r="419" spans="1:48" x14ac:dyDescent="0.25">
      <c r="A419" t="s">
        <v>113</v>
      </c>
      <c r="B419" t="s">
        <v>13</v>
      </c>
      <c r="C419" s="10">
        <v>-14</v>
      </c>
      <c r="D419" t="s">
        <v>582</v>
      </c>
      <c r="E419" s="2">
        <f t="shared" si="90"/>
        <v>46211</v>
      </c>
      <c r="F419" s="3">
        <f t="shared" si="89"/>
        <v>0.52638888888888891</v>
      </c>
      <c r="G419" t="s">
        <v>102</v>
      </c>
      <c r="H419" t="s">
        <v>115</v>
      </c>
      <c r="I419" t="s">
        <v>17</v>
      </c>
      <c r="J419" s="2">
        <v>46211</v>
      </c>
      <c r="K419" s="1">
        <v>0.53472222222222221</v>
      </c>
      <c r="L419" s="10">
        <f t="shared" si="85"/>
        <v>11.999999999999957</v>
      </c>
      <c r="M419" s="1" t="str">
        <f t="shared" si="91"/>
        <v>On Time</v>
      </c>
      <c r="N419" s="27" t="str">
        <f t="shared" si="86"/>
        <v>Wizz Air</v>
      </c>
      <c r="O419" s="3" t="s">
        <v>1385</v>
      </c>
      <c r="P419" s="20">
        <f t="shared" si="87"/>
        <v>12</v>
      </c>
      <c r="Q419" s="3" t="s">
        <v>1385</v>
      </c>
      <c r="R419" s="23" t="str">
        <f t="shared" si="88"/>
        <v>Wednesday</v>
      </c>
      <c r="S419" s="3" t="s">
        <v>1385</v>
      </c>
      <c r="T419" s="23" t="s">
        <v>13</v>
      </c>
      <c r="U419" s="3" t="s">
        <v>1385</v>
      </c>
      <c r="AO419" s="15"/>
      <c r="AP419" s="15"/>
      <c r="AQ419" s="15"/>
      <c r="AR419" s="23"/>
      <c r="AS419" s="15"/>
      <c r="AT419" s="15"/>
      <c r="AU419" s="23"/>
      <c r="AV419" s="23"/>
    </row>
    <row r="420" spans="1:48" x14ac:dyDescent="0.25">
      <c r="A420" t="s">
        <v>121</v>
      </c>
      <c r="B420" t="s">
        <v>69</v>
      </c>
      <c r="C420" s="10">
        <v>-17</v>
      </c>
      <c r="D420" t="s">
        <v>708</v>
      </c>
      <c r="E420" s="2">
        <f t="shared" si="90"/>
        <v>46211</v>
      </c>
      <c r="F420" s="3">
        <f t="shared" si="89"/>
        <v>0.55486111111111114</v>
      </c>
      <c r="G420" t="s">
        <v>71</v>
      </c>
      <c r="H420" t="s">
        <v>72</v>
      </c>
      <c r="I420" t="s">
        <v>73</v>
      </c>
      <c r="J420" s="2">
        <v>46211</v>
      </c>
      <c r="K420" s="1">
        <v>0.54166666666666663</v>
      </c>
      <c r="L420" s="10">
        <f t="shared" si="85"/>
        <v>-19.000000000000092</v>
      </c>
      <c r="M420" s="1" t="str">
        <f t="shared" si="91"/>
        <v>Delayed</v>
      </c>
      <c r="N420" s="27" t="str">
        <f t="shared" si="86"/>
        <v>Finnair</v>
      </c>
      <c r="O420" s="3" t="s">
        <v>1318</v>
      </c>
      <c r="P420" s="20">
        <f t="shared" si="87"/>
        <v>13</v>
      </c>
      <c r="Q420" s="3" t="s">
        <v>1318</v>
      </c>
      <c r="R420" s="23" t="str">
        <f t="shared" si="88"/>
        <v>Wednesday</v>
      </c>
      <c r="S420" s="3" t="s">
        <v>1318</v>
      </c>
      <c r="T420" s="23" t="s">
        <v>69</v>
      </c>
      <c r="U420" s="3" t="s">
        <v>1318</v>
      </c>
      <c r="AO420" s="15"/>
      <c r="AP420" s="15"/>
      <c r="AQ420" s="15"/>
      <c r="AR420" s="23"/>
      <c r="AS420" s="15"/>
      <c r="AT420" s="15"/>
      <c r="AU420" s="23"/>
      <c r="AV420" s="23"/>
    </row>
    <row r="421" spans="1:48" x14ac:dyDescent="0.25">
      <c r="A421" t="s">
        <v>372</v>
      </c>
      <c r="B421" t="s">
        <v>85</v>
      </c>
      <c r="C421" s="10">
        <v>-12</v>
      </c>
      <c r="D421" t="s">
        <v>128</v>
      </c>
      <c r="E421" s="2">
        <f t="shared" si="90"/>
        <v>46211</v>
      </c>
      <c r="F421" s="3">
        <f t="shared" si="89"/>
        <v>0.54583333333333328</v>
      </c>
      <c r="G421" t="s">
        <v>368</v>
      </c>
      <c r="H421" t="s">
        <v>369</v>
      </c>
      <c r="I421" t="s">
        <v>89</v>
      </c>
      <c r="J421" s="2">
        <v>46211</v>
      </c>
      <c r="K421" s="1">
        <v>0.54861111111111105</v>
      </c>
      <c r="L421" s="10">
        <f t="shared" si="85"/>
        <v>3.9999999999999858</v>
      </c>
      <c r="M421" s="1" t="str">
        <f t="shared" si="91"/>
        <v>On Time</v>
      </c>
      <c r="N421" s="27" t="str">
        <f t="shared" si="86"/>
        <v>Ryanair</v>
      </c>
      <c r="O421" s="3" t="s">
        <v>1385</v>
      </c>
      <c r="P421" s="20">
        <f t="shared" si="87"/>
        <v>13</v>
      </c>
      <c r="Q421" s="3" t="s">
        <v>1385</v>
      </c>
      <c r="R421" s="23" t="str">
        <f t="shared" si="88"/>
        <v>Wednesday</v>
      </c>
      <c r="S421" s="3" t="s">
        <v>1385</v>
      </c>
      <c r="T421" s="23" t="s">
        <v>85</v>
      </c>
      <c r="U421" s="3" t="s">
        <v>1385</v>
      </c>
      <c r="AO421" s="15"/>
      <c r="AP421" s="15"/>
      <c r="AQ421" s="15"/>
      <c r="AR421" s="23"/>
      <c r="AS421" s="15"/>
      <c r="AT421" s="15"/>
      <c r="AU421" s="23"/>
      <c r="AV421" s="23"/>
    </row>
    <row r="422" spans="1:48" x14ac:dyDescent="0.25">
      <c r="A422" t="s">
        <v>427</v>
      </c>
      <c r="B422" t="s">
        <v>117</v>
      </c>
      <c r="C422" s="10">
        <v>-22</v>
      </c>
      <c r="D422" t="s">
        <v>709</v>
      </c>
      <c r="E422" s="2">
        <f t="shared" si="90"/>
        <v>46211</v>
      </c>
      <c r="F422" s="3">
        <f t="shared" si="89"/>
        <v>0.55069444444444449</v>
      </c>
      <c r="G422" t="s">
        <v>119</v>
      </c>
      <c r="H422" t="s">
        <v>120</v>
      </c>
      <c r="I422" t="s">
        <v>83</v>
      </c>
      <c r="J422" s="2">
        <v>46211</v>
      </c>
      <c r="K422" s="1">
        <v>0.54999999999999993</v>
      </c>
      <c r="L422" s="10">
        <f t="shared" si="85"/>
        <v>-1.0000000000001563</v>
      </c>
      <c r="M422" s="1" t="str">
        <f t="shared" si="91"/>
        <v>On Time</v>
      </c>
      <c r="N422" s="27" t="str">
        <f t="shared" si="86"/>
        <v>Heston Airlines</v>
      </c>
      <c r="O422" s="3" t="s">
        <v>1385</v>
      </c>
      <c r="P422" s="20">
        <f t="shared" si="87"/>
        <v>13</v>
      </c>
      <c r="Q422" s="3" t="s">
        <v>1385</v>
      </c>
      <c r="R422" s="23" t="str">
        <f t="shared" si="88"/>
        <v>Wednesday</v>
      </c>
      <c r="S422" s="3" t="s">
        <v>1385</v>
      </c>
      <c r="T422" s="23" t="s">
        <v>117</v>
      </c>
      <c r="U422" s="3" t="s">
        <v>1385</v>
      </c>
      <c r="AO422" s="15"/>
      <c r="AP422" s="15"/>
      <c r="AQ422" s="15"/>
      <c r="AR422" s="23"/>
      <c r="AS422" s="15"/>
      <c r="AT422" s="15"/>
      <c r="AU422" s="23"/>
      <c r="AV422" s="23"/>
    </row>
    <row r="423" spans="1:48" x14ac:dyDescent="0.25">
      <c r="A423" t="s">
        <v>133</v>
      </c>
      <c r="B423" t="s">
        <v>7</v>
      </c>
      <c r="C423" s="10">
        <v>-15</v>
      </c>
      <c r="D423" t="s">
        <v>710</v>
      </c>
      <c r="E423" s="2">
        <f t="shared" si="90"/>
        <v>46211</v>
      </c>
      <c r="F423" s="3">
        <f t="shared" si="89"/>
        <v>0.55833333333333335</v>
      </c>
      <c r="G423" t="s">
        <v>135</v>
      </c>
      <c r="H423" t="s">
        <v>136</v>
      </c>
      <c r="I423" t="s">
        <v>11</v>
      </c>
      <c r="J423" s="2">
        <v>46211</v>
      </c>
      <c r="K423" s="1">
        <v>0.55902777777777779</v>
      </c>
      <c r="L423" s="10">
        <f t="shared" si="85"/>
        <v>0.99999999999999645</v>
      </c>
      <c r="M423" s="1" t="str">
        <f t="shared" si="91"/>
        <v>On Time</v>
      </c>
      <c r="N423" s="27" t="str">
        <f t="shared" si="86"/>
        <v>airBaltic</v>
      </c>
      <c r="O423" s="3" t="s">
        <v>1385</v>
      </c>
      <c r="P423" s="20">
        <f t="shared" si="87"/>
        <v>13</v>
      </c>
      <c r="Q423" s="3" t="s">
        <v>1385</v>
      </c>
      <c r="R423" s="23" t="str">
        <f t="shared" si="88"/>
        <v>Wednesday</v>
      </c>
      <c r="S423" s="3" t="s">
        <v>1385</v>
      </c>
      <c r="T423" s="23" t="s">
        <v>7</v>
      </c>
      <c r="U423" s="3" t="s">
        <v>1385</v>
      </c>
      <c r="AO423" s="15"/>
      <c r="AP423" s="15"/>
      <c r="AQ423" s="15"/>
      <c r="AR423" s="23"/>
      <c r="AS423" s="15"/>
      <c r="AT423" s="15"/>
      <c r="AU423" s="23"/>
      <c r="AV423" s="23"/>
    </row>
    <row r="424" spans="1:48" x14ac:dyDescent="0.25">
      <c r="A424" t="s">
        <v>123</v>
      </c>
      <c r="B424" t="s">
        <v>124</v>
      </c>
      <c r="D424" t="s">
        <v>711</v>
      </c>
      <c r="E424" s="2">
        <f t="shared" si="90"/>
        <v>46211</v>
      </c>
      <c r="F424" s="3">
        <f t="shared" si="89"/>
        <v>0.54791666666666672</v>
      </c>
      <c r="G424" t="s">
        <v>119</v>
      </c>
      <c r="H424" t="s">
        <v>120</v>
      </c>
      <c r="I424" t="s">
        <v>126</v>
      </c>
      <c r="J424" s="2">
        <v>46211</v>
      </c>
      <c r="K424" s="1">
        <v>0.56180555555555556</v>
      </c>
      <c r="L424" s="10">
        <f t="shared" si="85"/>
        <v>19.999999999999929</v>
      </c>
      <c r="M424" s="1" t="str">
        <f t="shared" si="91"/>
        <v>On Time</v>
      </c>
      <c r="N424" s="27" t="str">
        <f t="shared" si="86"/>
        <v>GetJet Airlines</v>
      </c>
      <c r="O424" s="3" t="s">
        <v>1385</v>
      </c>
      <c r="P424" s="20">
        <f t="shared" si="87"/>
        <v>13</v>
      </c>
      <c r="Q424" s="3" t="s">
        <v>1385</v>
      </c>
      <c r="R424" s="23" t="str">
        <f t="shared" si="88"/>
        <v>Wednesday</v>
      </c>
      <c r="S424" s="3" t="s">
        <v>1385</v>
      </c>
      <c r="T424" s="23" t="s">
        <v>124</v>
      </c>
      <c r="U424" s="3" t="s">
        <v>1385</v>
      </c>
      <c r="AO424" s="15"/>
      <c r="AP424" s="15"/>
      <c r="AQ424" s="15"/>
      <c r="AR424" s="23"/>
      <c r="AS424" s="15"/>
      <c r="AT424" s="15"/>
      <c r="AU424" s="23"/>
      <c r="AV424" s="23"/>
    </row>
    <row r="425" spans="1:48" x14ac:dyDescent="0.25">
      <c r="A425" t="s">
        <v>245</v>
      </c>
      <c r="B425" t="s">
        <v>124</v>
      </c>
      <c r="D425" t="s">
        <v>122</v>
      </c>
      <c r="E425" s="2">
        <f t="shared" si="90"/>
        <v>46211</v>
      </c>
      <c r="F425" s="3">
        <f t="shared" si="89"/>
        <v>0.55625000000000002</v>
      </c>
      <c r="G425" t="s">
        <v>247</v>
      </c>
      <c r="H425" t="s">
        <v>248</v>
      </c>
      <c r="I425" t="s">
        <v>249</v>
      </c>
      <c r="J425" s="2">
        <v>46211</v>
      </c>
      <c r="K425" s="1">
        <v>0.56736111111111109</v>
      </c>
      <c r="L425" s="10">
        <f t="shared" si="85"/>
        <v>15.999999999999943</v>
      </c>
      <c r="M425" s="1" t="str">
        <f t="shared" si="91"/>
        <v>On Time</v>
      </c>
      <c r="N425" s="27" t="str">
        <f t="shared" si="86"/>
        <v>GetJet Airlines</v>
      </c>
      <c r="O425" s="3" t="s">
        <v>1385</v>
      </c>
      <c r="P425" s="20">
        <f t="shared" si="87"/>
        <v>13</v>
      </c>
      <c r="Q425" s="3" t="s">
        <v>1385</v>
      </c>
      <c r="R425" s="23" t="str">
        <f t="shared" si="88"/>
        <v>Wednesday</v>
      </c>
      <c r="S425" s="3" t="s">
        <v>1385</v>
      </c>
      <c r="T425" s="23" t="s">
        <v>124</v>
      </c>
      <c r="U425" s="3" t="s">
        <v>1385</v>
      </c>
      <c r="AO425" s="15"/>
      <c r="AP425" s="15"/>
      <c r="AQ425" s="15"/>
      <c r="AR425" s="23"/>
      <c r="AS425" s="15"/>
      <c r="AT425" s="15"/>
      <c r="AU425" s="23"/>
      <c r="AV425" s="23"/>
    </row>
    <row r="426" spans="1:48" x14ac:dyDescent="0.25">
      <c r="A426" t="s">
        <v>254</v>
      </c>
      <c r="B426" t="s">
        <v>85</v>
      </c>
      <c r="D426" t="s">
        <v>712</v>
      </c>
      <c r="E426" s="2">
        <f t="shared" si="90"/>
        <v>46211</v>
      </c>
      <c r="F426" s="3">
        <f t="shared" si="89"/>
        <v>0.59166666666666667</v>
      </c>
      <c r="G426" t="s">
        <v>256</v>
      </c>
      <c r="H426" t="s">
        <v>257</v>
      </c>
      <c r="I426" t="s">
        <v>89</v>
      </c>
      <c r="J426" s="2">
        <v>46211</v>
      </c>
      <c r="K426" s="1">
        <v>0.57638888888888895</v>
      </c>
      <c r="L426" s="10">
        <f t="shared" si="85"/>
        <v>-21.999999999999922</v>
      </c>
      <c r="M426" s="1" t="str">
        <f t="shared" si="91"/>
        <v>Delayed</v>
      </c>
      <c r="N426" s="27" t="str">
        <f t="shared" si="86"/>
        <v>Ryanair</v>
      </c>
      <c r="O426" s="3" t="s">
        <v>1318</v>
      </c>
      <c r="P426" s="20">
        <f t="shared" si="87"/>
        <v>14</v>
      </c>
      <c r="Q426" s="3" t="s">
        <v>1318</v>
      </c>
      <c r="R426" s="23" t="str">
        <f t="shared" si="88"/>
        <v>Wednesday</v>
      </c>
      <c r="S426" s="3" t="s">
        <v>1318</v>
      </c>
      <c r="T426" s="23" t="s">
        <v>85</v>
      </c>
      <c r="U426" s="3" t="s">
        <v>1318</v>
      </c>
      <c r="AO426" s="15"/>
      <c r="AP426" s="15"/>
      <c r="AQ426" s="15"/>
      <c r="AR426" s="23"/>
      <c r="AS426" s="15"/>
      <c r="AT426" s="15"/>
      <c r="AU426" s="23"/>
      <c r="AV426" s="23"/>
    </row>
    <row r="427" spans="1:48" x14ac:dyDescent="0.25">
      <c r="A427" t="s">
        <v>141</v>
      </c>
      <c r="B427" t="s">
        <v>19</v>
      </c>
      <c r="C427" s="10">
        <v>135</v>
      </c>
      <c r="D427" t="s">
        <v>713</v>
      </c>
      <c r="E427" s="2">
        <f t="shared" si="90"/>
        <v>46211</v>
      </c>
      <c r="F427" s="3">
        <f t="shared" si="89"/>
        <v>0.58680555555555558</v>
      </c>
      <c r="G427" t="s">
        <v>21</v>
      </c>
      <c r="H427" t="s">
        <v>22</v>
      </c>
      <c r="I427" t="s">
        <v>23</v>
      </c>
      <c r="J427" s="2">
        <v>46211</v>
      </c>
      <c r="K427" s="1">
        <v>0.57638888888888895</v>
      </c>
      <c r="L427" s="10">
        <f t="shared" si="85"/>
        <v>-14.999999999999947</v>
      </c>
      <c r="M427" s="1" t="str">
        <f t="shared" si="91"/>
        <v>On Time</v>
      </c>
      <c r="N427" s="27" t="str">
        <f t="shared" si="86"/>
        <v>LOT</v>
      </c>
      <c r="O427" s="3" t="s">
        <v>1385</v>
      </c>
      <c r="P427" s="20">
        <f t="shared" si="87"/>
        <v>14</v>
      </c>
      <c r="Q427" s="3" t="s">
        <v>1385</v>
      </c>
      <c r="R427" s="23" t="str">
        <f t="shared" si="88"/>
        <v>Wednesday</v>
      </c>
      <c r="S427" s="3" t="s">
        <v>1385</v>
      </c>
      <c r="T427" s="23" t="s">
        <v>19</v>
      </c>
      <c r="U427" s="3" t="s">
        <v>1385</v>
      </c>
      <c r="AO427" s="15"/>
      <c r="AP427" s="15"/>
      <c r="AQ427" s="15"/>
      <c r="AR427" s="23"/>
      <c r="AS427" s="15"/>
      <c r="AT427" s="15"/>
      <c r="AU427" s="23"/>
      <c r="AV427" s="23"/>
    </row>
    <row r="428" spans="1:48" x14ac:dyDescent="0.25">
      <c r="A428" t="s">
        <v>178</v>
      </c>
      <c r="B428" t="s">
        <v>85</v>
      </c>
      <c r="C428" s="10">
        <v>-13</v>
      </c>
      <c r="D428" t="s">
        <v>439</v>
      </c>
      <c r="E428" s="2">
        <f t="shared" si="90"/>
        <v>46211</v>
      </c>
      <c r="F428" s="3">
        <f t="shared" si="89"/>
        <v>0.58124999999999993</v>
      </c>
      <c r="G428" t="s">
        <v>180</v>
      </c>
      <c r="H428" t="s">
        <v>181</v>
      </c>
      <c r="I428" t="s">
        <v>89</v>
      </c>
      <c r="J428" s="2">
        <v>46211</v>
      </c>
      <c r="K428" s="1">
        <v>0.58680555555555558</v>
      </c>
      <c r="L428" s="10">
        <f t="shared" si="85"/>
        <v>8.0000000000001315</v>
      </c>
      <c r="M428" s="1" t="str">
        <f t="shared" si="91"/>
        <v>On Time</v>
      </c>
      <c r="N428" s="27" t="str">
        <f t="shared" si="86"/>
        <v>Ryanair</v>
      </c>
      <c r="O428" s="3" t="s">
        <v>1385</v>
      </c>
      <c r="P428" s="20">
        <f t="shared" si="87"/>
        <v>13</v>
      </c>
      <c r="Q428" s="3" t="s">
        <v>1385</v>
      </c>
      <c r="R428" s="23" t="str">
        <f t="shared" si="88"/>
        <v>Wednesday</v>
      </c>
      <c r="S428" s="3" t="s">
        <v>1385</v>
      </c>
      <c r="T428" s="23" t="s">
        <v>85</v>
      </c>
      <c r="U428" s="3" t="s">
        <v>1385</v>
      </c>
      <c r="AO428" s="15"/>
      <c r="AP428" s="15"/>
      <c r="AQ428" s="15"/>
      <c r="AR428" s="23"/>
      <c r="AS428" s="15"/>
      <c r="AT428" s="15"/>
      <c r="AU428" s="23"/>
      <c r="AV428" s="23"/>
    </row>
    <row r="429" spans="1:48" x14ac:dyDescent="0.25">
      <c r="A429" t="s">
        <v>327</v>
      </c>
      <c r="B429" t="s">
        <v>13</v>
      </c>
      <c r="C429" s="10">
        <v>-27</v>
      </c>
      <c r="D429" t="s">
        <v>714</v>
      </c>
      <c r="E429" s="2">
        <f t="shared" si="90"/>
        <v>46211</v>
      </c>
      <c r="F429" s="3">
        <f t="shared" si="89"/>
        <v>0.59375</v>
      </c>
      <c r="G429" t="s">
        <v>329</v>
      </c>
      <c r="H429" t="s">
        <v>330</v>
      </c>
      <c r="I429" t="s">
        <v>17</v>
      </c>
      <c r="J429" s="2">
        <v>46211</v>
      </c>
      <c r="K429" s="1">
        <v>0.59027777777777779</v>
      </c>
      <c r="L429" s="10">
        <f t="shared" si="85"/>
        <v>-4.9999999999999822</v>
      </c>
      <c r="M429" s="1" t="str">
        <f t="shared" si="91"/>
        <v>On Time</v>
      </c>
      <c r="N429" s="27" t="str">
        <f t="shared" si="86"/>
        <v>Wizz Air</v>
      </c>
      <c r="O429" s="3" t="s">
        <v>1385</v>
      </c>
      <c r="P429" s="20">
        <f t="shared" si="87"/>
        <v>14</v>
      </c>
      <c r="Q429" s="3" t="s">
        <v>1385</v>
      </c>
      <c r="R429" s="23" t="str">
        <f t="shared" si="88"/>
        <v>Wednesday</v>
      </c>
      <c r="S429" s="3" t="s">
        <v>1385</v>
      </c>
      <c r="T429" s="23" t="s">
        <v>13</v>
      </c>
      <c r="U429" s="3" t="s">
        <v>1385</v>
      </c>
      <c r="AO429" s="15"/>
      <c r="AP429" s="15"/>
      <c r="AQ429" s="15"/>
      <c r="AR429" s="23"/>
      <c r="AS429" s="15"/>
      <c r="AT429" s="15"/>
      <c r="AU429" s="23"/>
      <c r="AV429" s="23"/>
    </row>
    <row r="430" spans="1:48" x14ac:dyDescent="0.25">
      <c r="A430" t="s">
        <v>148</v>
      </c>
      <c r="B430" t="s">
        <v>7</v>
      </c>
      <c r="C430" s="10">
        <v>-54</v>
      </c>
      <c r="D430" t="s">
        <v>345</v>
      </c>
      <c r="E430" s="2">
        <f t="shared" si="90"/>
        <v>46211</v>
      </c>
      <c r="F430" s="3">
        <f t="shared" si="89"/>
        <v>0.63263888888888886</v>
      </c>
      <c r="G430" t="s">
        <v>9</v>
      </c>
      <c r="H430" t="s">
        <v>10</v>
      </c>
      <c r="I430" t="s">
        <v>11</v>
      </c>
      <c r="J430" s="2">
        <v>46211</v>
      </c>
      <c r="K430" s="1">
        <v>0.60763888888888895</v>
      </c>
      <c r="L430" s="10">
        <f t="shared" si="85"/>
        <v>-35.999999999999872</v>
      </c>
      <c r="M430" s="1" t="str">
        <f t="shared" si="91"/>
        <v>Delayed</v>
      </c>
      <c r="N430" s="27" t="str">
        <f t="shared" si="86"/>
        <v>airBaltic</v>
      </c>
      <c r="O430" s="3" t="s">
        <v>1318</v>
      </c>
      <c r="P430" s="20">
        <f t="shared" si="87"/>
        <v>15</v>
      </c>
      <c r="Q430" s="3" t="s">
        <v>1318</v>
      </c>
      <c r="R430" s="23" t="str">
        <f t="shared" si="88"/>
        <v>Wednesday</v>
      </c>
      <c r="S430" s="3" t="s">
        <v>1318</v>
      </c>
      <c r="T430" s="23" t="s">
        <v>7</v>
      </c>
      <c r="U430" s="3" t="s">
        <v>1318</v>
      </c>
      <c r="AO430" s="15"/>
      <c r="AP430" s="15"/>
      <c r="AQ430" s="15"/>
      <c r="AR430" s="23"/>
      <c r="AS430" s="15"/>
      <c r="AT430" s="15"/>
      <c r="AU430" s="23"/>
      <c r="AV430" s="23"/>
    </row>
    <row r="431" spans="1:48" x14ac:dyDescent="0.25">
      <c r="A431" t="s">
        <v>512</v>
      </c>
      <c r="B431" t="s">
        <v>7</v>
      </c>
      <c r="C431" s="10">
        <v>-48</v>
      </c>
      <c r="D431" t="s">
        <v>715</v>
      </c>
      <c r="E431" s="2">
        <f t="shared" si="90"/>
        <v>46211</v>
      </c>
      <c r="F431" s="3">
        <f t="shared" si="89"/>
        <v>0.65763888888888888</v>
      </c>
      <c r="G431" t="s">
        <v>65</v>
      </c>
      <c r="H431" t="s">
        <v>66</v>
      </c>
      <c r="I431" t="s">
        <v>11</v>
      </c>
      <c r="J431" s="2">
        <v>46211</v>
      </c>
      <c r="K431" s="1">
        <v>0.63194444444444442</v>
      </c>
      <c r="L431" s="10">
        <f t="shared" si="85"/>
        <v>-37.000000000000028</v>
      </c>
      <c r="M431" s="1" t="str">
        <f t="shared" si="91"/>
        <v>Delayed</v>
      </c>
      <c r="N431" s="27" t="str">
        <f t="shared" si="86"/>
        <v>airBaltic</v>
      </c>
      <c r="O431" s="3" t="s">
        <v>1318</v>
      </c>
      <c r="P431" s="20">
        <f t="shared" si="87"/>
        <v>15</v>
      </c>
      <c r="Q431" s="3" t="s">
        <v>1318</v>
      </c>
      <c r="R431" s="23" t="str">
        <f t="shared" si="88"/>
        <v>Wednesday</v>
      </c>
      <c r="S431" s="3" t="s">
        <v>1318</v>
      </c>
      <c r="T431" s="23" t="s">
        <v>7</v>
      </c>
      <c r="U431" s="3" t="s">
        <v>1318</v>
      </c>
      <c r="AO431" s="15"/>
      <c r="AP431" s="15"/>
      <c r="AQ431" s="15"/>
      <c r="AR431" s="23"/>
      <c r="AS431" s="15"/>
      <c r="AT431" s="15"/>
      <c r="AU431" s="23"/>
      <c r="AV431" s="23"/>
    </row>
    <row r="432" spans="1:48" x14ac:dyDescent="0.25">
      <c r="A432" t="s">
        <v>156</v>
      </c>
      <c r="B432" t="s">
        <v>555</v>
      </c>
      <c r="C432" s="10">
        <v>-18</v>
      </c>
      <c r="D432" t="s">
        <v>442</v>
      </c>
      <c r="E432" s="2">
        <f t="shared" si="90"/>
        <v>46211</v>
      </c>
      <c r="F432" s="3">
        <f t="shared" si="89"/>
        <v>0.63680555555555551</v>
      </c>
      <c r="G432" t="s">
        <v>43</v>
      </c>
      <c r="H432" t="s">
        <v>44</v>
      </c>
      <c r="I432" t="s">
        <v>158</v>
      </c>
      <c r="J432" s="2">
        <v>46211</v>
      </c>
      <c r="K432" s="1">
        <v>0.63541666666666663</v>
      </c>
      <c r="L432" s="10">
        <f t="shared" si="85"/>
        <v>-1.9999999999999929</v>
      </c>
      <c r="M432" s="1" t="str">
        <f t="shared" si="91"/>
        <v>On Time</v>
      </c>
      <c r="N432" s="27" t="e">
        <f t="shared" si="86"/>
        <v>#N/A</v>
      </c>
      <c r="O432" s="3" t="s">
        <v>1385</v>
      </c>
      <c r="P432" s="20">
        <f t="shared" si="87"/>
        <v>15</v>
      </c>
      <c r="Q432" s="3" t="s">
        <v>1385</v>
      </c>
      <c r="R432" s="23" t="str">
        <f t="shared" si="88"/>
        <v>Wednesday</v>
      </c>
      <c r="S432" s="3" t="s">
        <v>1385</v>
      </c>
      <c r="T432" s="23" t="s">
        <v>555</v>
      </c>
      <c r="U432" s="3" t="s">
        <v>1385</v>
      </c>
      <c r="AO432" s="15"/>
      <c r="AP432" s="15"/>
      <c r="AQ432" s="15"/>
      <c r="AR432" s="23"/>
      <c r="AS432" s="15"/>
      <c r="AT432" s="15"/>
      <c r="AU432" s="23"/>
      <c r="AV432" s="23"/>
    </row>
    <row r="433" spans="1:48" x14ac:dyDescent="0.25">
      <c r="A433" t="s">
        <v>348</v>
      </c>
      <c r="B433" t="s">
        <v>13</v>
      </c>
      <c r="C433" s="10">
        <v>-12</v>
      </c>
      <c r="D433" t="s">
        <v>716</v>
      </c>
      <c r="E433" s="2">
        <f t="shared" si="90"/>
        <v>46211</v>
      </c>
      <c r="F433" s="3">
        <f t="shared" si="89"/>
        <v>0.6479166666666667</v>
      </c>
      <c r="G433" t="s">
        <v>349</v>
      </c>
      <c r="H433" t="s">
        <v>350</v>
      </c>
      <c r="I433" t="s">
        <v>17</v>
      </c>
      <c r="J433" s="2">
        <v>46211</v>
      </c>
      <c r="K433" s="1">
        <v>0.64930555555555558</v>
      </c>
      <c r="L433" s="10">
        <f t="shared" si="85"/>
        <v>1.9999999999999929</v>
      </c>
      <c r="M433" s="1" t="str">
        <f t="shared" si="91"/>
        <v>On Time</v>
      </c>
      <c r="N433" s="27" t="str">
        <f t="shared" si="86"/>
        <v>Wizz Air</v>
      </c>
      <c r="O433" s="3" t="s">
        <v>1385</v>
      </c>
      <c r="P433" s="20">
        <f t="shared" si="87"/>
        <v>15</v>
      </c>
      <c r="Q433" s="3" t="s">
        <v>1385</v>
      </c>
      <c r="R433" s="23" t="str">
        <f t="shared" si="88"/>
        <v>Wednesday</v>
      </c>
      <c r="S433" s="3" t="s">
        <v>1385</v>
      </c>
      <c r="T433" s="23" t="s">
        <v>13</v>
      </c>
      <c r="U433" s="3" t="s">
        <v>1385</v>
      </c>
      <c r="AO433" s="15"/>
      <c r="AP433" s="15"/>
      <c r="AQ433" s="15"/>
      <c r="AR433" s="23"/>
      <c r="AS433" s="15"/>
      <c r="AT433" s="15"/>
      <c r="AU433" s="23"/>
      <c r="AV433" s="23"/>
    </row>
    <row r="434" spans="1:48" x14ac:dyDescent="0.25">
      <c r="A434" t="s">
        <v>175</v>
      </c>
      <c r="B434" t="s">
        <v>19</v>
      </c>
      <c r="C434" s="10">
        <v>-14</v>
      </c>
      <c r="D434" t="s">
        <v>717</v>
      </c>
      <c r="E434" s="2">
        <f t="shared" si="90"/>
        <v>46211</v>
      </c>
      <c r="F434" s="3">
        <f t="shared" si="89"/>
        <v>0.67638888888888893</v>
      </c>
      <c r="G434" t="s">
        <v>21</v>
      </c>
      <c r="H434" t="s">
        <v>22</v>
      </c>
      <c r="I434" t="s">
        <v>177</v>
      </c>
      <c r="J434" s="2">
        <v>46211</v>
      </c>
      <c r="K434" s="1">
        <v>0.68055555555555547</v>
      </c>
      <c r="L434" s="10">
        <f t="shared" si="85"/>
        <v>5.9999999999998188</v>
      </c>
      <c r="M434" s="1" t="str">
        <f t="shared" si="91"/>
        <v>On Time</v>
      </c>
      <c r="N434" s="27" t="str">
        <f t="shared" si="86"/>
        <v>LOT</v>
      </c>
      <c r="O434" s="3" t="s">
        <v>1385</v>
      </c>
      <c r="P434" s="20">
        <f t="shared" si="87"/>
        <v>16</v>
      </c>
      <c r="Q434" s="3" t="s">
        <v>1385</v>
      </c>
      <c r="R434" s="23" t="str">
        <f t="shared" si="88"/>
        <v>Wednesday</v>
      </c>
      <c r="S434" s="3" t="s">
        <v>1385</v>
      </c>
      <c r="T434" s="23" t="s">
        <v>19</v>
      </c>
      <c r="U434" s="3" t="s">
        <v>1385</v>
      </c>
      <c r="AO434" s="15"/>
      <c r="AP434" s="15"/>
      <c r="AQ434" s="15"/>
      <c r="AR434" s="23"/>
      <c r="AS434" s="15"/>
      <c r="AT434" s="15"/>
      <c r="AU434" s="23"/>
      <c r="AV434" s="23"/>
    </row>
    <row r="435" spans="1:48" x14ac:dyDescent="0.25">
      <c r="A435" t="s">
        <v>452</v>
      </c>
      <c r="B435" t="s">
        <v>7</v>
      </c>
      <c r="C435" s="10">
        <v>-4</v>
      </c>
      <c r="D435" t="s">
        <v>718</v>
      </c>
      <c r="E435" s="2">
        <f t="shared" si="90"/>
        <v>46211</v>
      </c>
      <c r="F435" s="3">
        <f t="shared" si="89"/>
        <v>0.7090277777777777</v>
      </c>
      <c r="G435" t="s">
        <v>349</v>
      </c>
      <c r="H435" t="s">
        <v>350</v>
      </c>
      <c r="I435" t="s">
        <v>11</v>
      </c>
      <c r="J435" s="2">
        <v>46211</v>
      </c>
      <c r="K435" s="1">
        <v>0.70486111111111116</v>
      </c>
      <c r="L435" s="10">
        <f t="shared" si="85"/>
        <v>-5.9999999999998188</v>
      </c>
      <c r="M435" s="1" t="str">
        <f t="shared" si="91"/>
        <v>On Time</v>
      </c>
      <c r="N435" s="27" t="str">
        <f t="shared" si="86"/>
        <v>airBaltic</v>
      </c>
      <c r="O435" s="3" t="s">
        <v>1385</v>
      </c>
      <c r="P435" s="20">
        <f t="shared" si="87"/>
        <v>17</v>
      </c>
      <c r="Q435" s="3" t="s">
        <v>1385</v>
      </c>
      <c r="R435" s="23" t="str">
        <f t="shared" si="88"/>
        <v>Wednesday</v>
      </c>
      <c r="S435" s="3" t="s">
        <v>1385</v>
      </c>
      <c r="T435" s="23" t="s">
        <v>7</v>
      </c>
      <c r="U435" s="3" t="s">
        <v>1385</v>
      </c>
      <c r="AO435" s="15"/>
      <c r="AP435" s="15"/>
      <c r="AQ435" s="15"/>
      <c r="AR435" s="23"/>
      <c r="AS435" s="15"/>
      <c r="AT435" s="15"/>
      <c r="AU435" s="23"/>
      <c r="AV435" s="23"/>
    </row>
    <row r="436" spans="1:48" x14ac:dyDescent="0.25">
      <c r="A436" t="s">
        <v>182</v>
      </c>
      <c r="B436" t="s">
        <v>69</v>
      </c>
      <c r="C436" s="10">
        <v>-26</v>
      </c>
      <c r="D436" t="s">
        <v>719</v>
      </c>
      <c r="E436" s="2">
        <f t="shared" si="90"/>
        <v>46211</v>
      </c>
      <c r="F436" s="3">
        <f t="shared" si="89"/>
        <v>0.72430555555555554</v>
      </c>
      <c r="G436" t="s">
        <v>71</v>
      </c>
      <c r="H436" t="s">
        <v>72</v>
      </c>
      <c r="I436" t="s">
        <v>295</v>
      </c>
      <c r="J436" s="2">
        <v>46211</v>
      </c>
      <c r="K436" s="1">
        <v>0.71527777777777779</v>
      </c>
      <c r="L436" s="10">
        <f t="shared" si="85"/>
        <v>-12.999999999999954</v>
      </c>
      <c r="M436" s="1" t="str">
        <f t="shared" si="91"/>
        <v>On Time</v>
      </c>
      <c r="N436" s="27" t="str">
        <f t="shared" si="86"/>
        <v>Finnair</v>
      </c>
      <c r="O436" s="3" t="s">
        <v>1385</v>
      </c>
      <c r="P436" s="20">
        <f t="shared" si="87"/>
        <v>17</v>
      </c>
      <c r="Q436" s="3" t="s">
        <v>1385</v>
      </c>
      <c r="R436" s="23" t="str">
        <f t="shared" si="88"/>
        <v>Wednesday</v>
      </c>
      <c r="S436" s="3" t="s">
        <v>1385</v>
      </c>
      <c r="T436" s="23" t="s">
        <v>69</v>
      </c>
      <c r="U436" s="3" t="s">
        <v>1385</v>
      </c>
      <c r="AO436" s="15"/>
      <c r="AP436" s="15"/>
      <c r="AQ436" s="15"/>
      <c r="AR436" s="23"/>
      <c r="AS436" s="15"/>
      <c r="AT436" s="15"/>
      <c r="AU436" s="23"/>
      <c r="AV436" s="23"/>
    </row>
    <row r="437" spans="1:48" x14ac:dyDescent="0.25">
      <c r="A437" t="s">
        <v>184</v>
      </c>
      <c r="B437" t="s">
        <v>85</v>
      </c>
      <c r="C437" s="10">
        <v>-26</v>
      </c>
      <c r="D437" t="s">
        <v>720</v>
      </c>
      <c r="E437" s="2">
        <f t="shared" si="90"/>
        <v>46211</v>
      </c>
      <c r="F437" s="3">
        <f t="shared" si="89"/>
        <v>0.7402777777777777</v>
      </c>
      <c r="G437" t="s">
        <v>153</v>
      </c>
      <c r="H437" t="s">
        <v>154</v>
      </c>
      <c r="I437" t="s">
        <v>89</v>
      </c>
      <c r="J437" s="2">
        <v>46211</v>
      </c>
      <c r="K437" s="1">
        <v>0.73958333333333337</v>
      </c>
      <c r="L437" s="10">
        <f t="shared" si="85"/>
        <v>-0.99999999999983658</v>
      </c>
      <c r="M437" s="1" t="str">
        <f t="shared" si="91"/>
        <v>On Time</v>
      </c>
      <c r="N437" s="27" t="str">
        <f t="shared" si="86"/>
        <v>Ryanair</v>
      </c>
      <c r="O437" s="3" t="s">
        <v>1385</v>
      </c>
      <c r="P437" s="20">
        <f t="shared" si="87"/>
        <v>17</v>
      </c>
      <c r="Q437" s="3" t="s">
        <v>1385</v>
      </c>
      <c r="R437" s="23" t="str">
        <f t="shared" si="88"/>
        <v>Wednesday</v>
      </c>
      <c r="S437" s="3" t="s">
        <v>1385</v>
      </c>
      <c r="T437" s="23" t="s">
        <v>85</v>
      </c>
      <c r="U437" s="3" t="s">
        <v>1385</v>
      </c>
      <c r="AO437" s="15"/>
      <c r="AP437" s="15"/>
      <c r="AQ437" s="15"/>
      <c r="AR437" s="23"/>
      <c r="AS437" s="15"/>
      <c r="AT437" s="15"/>
      <c r="AU437" s="23"/>
      <c r="AV437" s="23"/>
    </row>
    <row r="438" spans="1:48" x14ac:dyDescent="0.25">
      <c r="A438" t="s">
        <v>721</v>
      </c>
      <c r="B438" t="s">
        <v>592</v>
      </c>
      <c r="D438" t="s">
        <v>242</v>
      </c>
      <c r="E438" s="2">
        <f t="shared" si="90"/>
        <v>46211</v>
      </c>
      <c r="F438" s="3" t="e">
        <f t="shared" si="89"/>
        <v>#N/A</v>
      </c>
      <c r="G438" t="s">
        <v>722</v>
      </c>
      <c r="H438" t="s">
        <v>723</v>
      </c>
      <c r="I438" t="s">
        <v>123</v>
      </c>
      <c r="J438" s="2">
        <v>46211</v>
      </c>
      <c r="K438" s="1">
        <v>0.75694444444444453</v>
      </c>
      <c r="L438" s="10" t="e">
        <f t="shared" si="85"/>
        <v>#N/A</v>
      </c>
      <c r="M438" s="1" t="e">
        <f t="shared" si="91"/>
        <v>#N/A</v>
      </c>
      <c r="N438" s="27" t="e">
        <f t="shared" si="86"/>
        <v>#N/A</v>
      </c>
      <c r="O438" s="3" t="e">
        <v>#N/A</v>
      </c>
      <c r="P438" s="20" t="e">
        <f t="shared" si="87"/>
        <v>#N/A</v>
      </c>
      <c r="Q438" s="3" t="e">
        <v>#N/A</v>
      </c>
      <c r="R438" s="23" t="str">
        <f t="shared" si="88"/>
        <v>Wednesday</v>
      </c>
      <c r="S438" s="3" t="e">
        <v>#N/A</v>
      </c>
      <c r="T438" s="23" t="s">
        <v>592</v>
      </c>
      <c r="AO438" s="15"/>
      <c r="AP438" s="15"/>
      <c r="AQ438" s="15"/>
      <c r="AR438" s="23"/>
      <c r="AS438" s="15"/>
      <c r="AT438" s="15"/>
      <c r="AU438" s="23"/>
      <c r="AV438" s="23"/>
    </row>
    <row r="439" spans="1:48" x14ac:dyDescent="0.25">
      <c r="A439" t="s">
        <v>186</v>
      </c>
      <c r="B439" t="s">
        <v>19</v>
      </c>
      <c r="C439" s="10">
        <v>-27</v>
      </c>
      <c r="D439" t="s">
        <v>365</v>
      </c>
      <c r="E439" s="2">
        <f t="shared" si="90"/>
        <v>46211</v>
      </c>
      <c r="F439" s="3">
        <f t="shared" si="89"/>
        <v>0.77777777777777779</v>
      </c>
      <c r="G439" t="s">
        <v>21</v>
      </c>
      <c r="H439" t="s">
        <v>22</v>
      </c>
      <c r="I439" t="s">
        <v>276</v>
      </c>
      <c r="J439" s="2">
        <v>46211</v>
      </c>
      <c r="K439" s="1">
        <v>0.77430555555555547</v>
      </c>
      <c r="L439" s="10">
        <f t="shared" si="85"/>
        <v>-5.0000000000001421</v>
      </c>
      <c r="M439" s="1" t="str">
        <f t="shared" si="91"/>
        <v>On Time</v>
      </c>
      <c r="N439" s="27" t="str">
        <f t="shared" si="86"/>
        <v>LOT</v>
      </c>
      <c r="O439" s="3" t="s">
        <v>1385</v>
      </c>
      <c r="P439" s="20">
        <f t="shared" si="87"/>
        <v>18</v>
      </c>
      <c r="Q439" s="3" t="s">
        <v>1385</v>
      </c>
      <c r="R439" s="23" t="str">
        <f t="shared" si="88"/>
        <v>Wednesday</v>
      </c>
      <c r="S439" s="3" t="s">
        <v>1385</v>
      </c>
      <c r="T439" s="23" t="s">
        <v>19</v>
      </c>
      <c r="U439" s="3" t="s">
        <v>1385</v>
      </c>
      <c r="AO439" s="15"/>
      <c r="AP439" s="15"/>
      <c r="AQ439" s="15"/>
      <c r="AR439" s="23"/>
      <c r="AS439" s="15"/>
      <c r="AT439" s="15"/>
      <c r="AU439" s="23"/>
      <c r="AV439" s="23"/>
    </row>
    <row r="440" spans="1:48" x14ac:dyDescent="0.25">
      <c r="A440" t="s">
        <v>215</v>
      </c>
      <c r="B440" t="s">
        <v>13</v>
      </c>
      <c r="C440" s="10">
        <v>-3</v>
      </c>
      <c r="D440" t="s">
        <v>724</v>
      </c>
      <c r="E440" s="2">
        <f t="shared" si="90"/>
        <v>46211</v>
      </c>
      <c r="F440" s="3">
        <f t="shared" si="89"/>
        <v>0.76180555555555562</v>
      </c>
      <c r="G440" t="s">
        <v>217</v>
      </c>
      <c r="H440" t="s">
        <v>218</v>
      </c>
      <c r="I440" t="s">
        <v>17</v>
      </c>
      <c r="J440" s="2">
        <v>46211</v>
      </c>
      <c r="K440" s="1">
        <v>0.77430555555555547</v>
      </c>
      <c r="L440" s="10">
        <f t="shared" si="85"/>
        <v>17.999999999999776</v>
      </c>
      <c r="M440" s="1" t="str">
        <f t="shared" si="91"/>
        <v>On Time</v>
      </c>
      <c r="N440" s="27" t="str">
        <f t="shared" si="86"/>
        <v>Wizz Air</v>
      </c>
      <c r="O440" s="3" t="s">
        <v>1385</v>
      </c>
      <c r="P440" s="20">
        <f t="shared" si="87"/>
        <v>18</v>
      </c>
      <c r="Q440" s="3" t="s">
        <v>1385</v>
      </c>
      <c r="R440" s="23" t="str">
        <f t="shared" si="88"/>
        <v>Wednesday</v>
      </c>
      <c r="S440" s="3" t="s">
        <v>1385</v>
      </c>
      <c r="T440" s="23" t="s">
        <v>13</v>
      </c>
      <c r="U440" s="3" t="s">
        <v>1385</v>
      </c>
      <c r="AO440" s="15"/>
      <c r="AP440" s="15"/>
      <c r="AQ440" s="15"/>
      <c r="AR440" s="23"/>
      <c r="AS440" s="15"/>
      <c r="AT440" s="15"/>
      <c r="AU440" s="23"/>
      <c r="AV440" s="23"/>
    </row>
    <row r="441" spans="1:48" x14ac:dyDescent="0.25">
      <c r="A441" t="s">
        <v>189</v>
      </c>
      <c r="B441" t="s">
        <v>190</v>
      </c>
      <c r="C441" s="10">
        <v>-18</v>
      </c>
      <c r="D441" t="s">
        <v>191</v>
      </c>
      <c r="E441" s="2">
        <f t="shared" si="90"/>
        <v>46211</v>
      </c>
      <c r="F441" s="3">
        <f t="shared" si="89"/>
        <v>0.78402777777777777</v>
      </c>
      <c r="G441" t="s">
        <v>110</v>
      </c>
      <c r="H441" t="s">
        <v>111</v>
      </c>
      <c r="I441" t="s">
        <v>725</v>
      </c>
      <c r="J441" s="2">
        <v>46211</v>
      </c>
      <c r="K441" s="1">
        <v>0.78472222222222221</v>
      </c>
      <c r="L441" s="10">
        <f t="shared" si="85"/>
        <v>0.99999999999999645</v>
      </c>
      <c r="M441" s="1" t="str">
        <f t="shared" si="91"/>
        <v>On Time</v>
      </c>
      <c r="N441" s="27" t="str">
        <f t="shared" si="86"/>
        <v>Lufthansa</v>
      </c>
      <c r="O441" s="3" t="s">
        <v>1385</v>
      </c>
      <c r="P441" s="20">
        <f t="shared" si="87"/>
        <v>18</v>
      </c>
      <c r="Q441" s="3" t="s">
        <v>1385</v>
      </c>
      <c r="R441" s="23" t="str">
        <f t="shared" si="88"/>
        <v>Wednesday</v>
      </c>
      <c r="S441" s="3" t="s">
        <v>1385</v>
      </c>
      <c r="T441" s="23" t="s">
        <v>190</v>
      </c>
      <c r="U441" s="3" t="s">
        <v>1385</v>
      </c>
      <c r="AO441" s="15"/>
      <c r="AP441" s="15"/>
      <c r="AQ441" s="15"/>
      <c r="AR441" s="23"/>
      <c r="AS441" s="15"/>
      <c r="AT441" s="15"/>
      <c r="AU441" s="23"/>
      <c r="AV441" s="23"/>
    </row>
    <row r="442" spans="1:48" x14ac:dyDescent="0.25">
      <c r="A442" t="s">
        <v>123</v>
      </c>
      <c r="B442" t="s">
        <v>123</v>
      </c>
      <c r="D442" t="s">
        <v>726</v>
      </c>
      <c r="E442" s="2">
        <f t="shared" si="90"/>
        <v>46211</v>
      </c>
      <c r="F442" s="3">
        <f t="shared" si="89"/>
        <v>0.7909722222222223</v>
      </c>
      <c r="G442" t="s">
        <v>625</v>
      </c>
      <c r="H442" t="s">
        <v>626</v>
      </c>
      <c r="I442" t="s">
        <v>614</v>
      </c>
      <c r="J442" s="2">
        <v>46211</v>
      </c>
      <c r="K442" s="1">
        <v>0.79861111111111116</v>
      </c>
      <c r="L442" s="10">
        <f t="shared" si="85"/>
        <v>10.999999999999961</v>
      </c>
      <c r="M442" s="1" t="str">
        <f t="shared" si="91"/>
        <v>On Time</v>
      </c>
      <c r="N442" s="27" t="e">
        <f t="shared" si="86"/>
        <v>#N/A</v>
      </c>
      <c r="O442" s="3" t="s">
        <v>1385</v>
      </c>
      <c r="P442" s="20">
        <f t="shared" si="87"/>
        <v>18</v>
      </c>
      <c r="Q442" s="3" t="s">
        <v>1385</v>
      </c>
      <c r="R442" s="23" t="str">
        <f t="shared" si="88"/>
        <v>Wednesday</v>
      </c>
      <c r="S442" s="3" t="s">
        <v>1385</v>
      </c>
      <c r="T442" s="23" t="s">
        <v>123</v>
      </c>
      <c r="U442" s="3" t="s">
        <v>1385</v>
      </c>
      <c r="AO442" s="15"/>
      <c r="AP442" s="15"/>
      <c r="AQ442" s="15"/>
      <c r="AR442" s="23"/>
      <c r="AS442" s="15"/>
      <c r="AT442" s="15"/>
      <c r="AU442" s="23"/>
      <c r="AV442" s="23"/>
    </row>
    <row r="443" spans="1:48" x14ac:dyDescent="0.25">
      <c r="A443" t="s">
        <v>487</v>
      </c>
      <c r="B443" t="s">
        <v>7</v>
      </c>
      <c r="C443" s="10">
        <v>-14</v>
      </c>
      <c r="D443" t="s">
        <v>727</v>
      </c>
      <c r="E443" s="2">
        <f t="shared" si="90"/>
        <v>46211</v>
      </c>
      <c r="F443" s="3">
        <f t="shared" si="89"/>
        <v>0.79791666666666661</v>
      </c>
      <c r="G443" t="s">
        <v>489</v>
      </c>
      <c r="H443" t="s">
        <v>490</v>
      </c>
      <c r="I443" t="s">
        <v>11</v>
      </c>
      <c r="J443" s="2">
        <v>46211</v>
      </c>
      <c r="K443" s="1">
        <v>0.80208333333333337</v>
      </c>
      <c r="L443" s="10">
        <f t="shared" si="85"/>
        <v>6.0000000000001386</v>
      </c>
      <c r="M443" s="1" t="str">
        <f t="shared" si="91"/>
        <v>On Time</v>
      </c>
      <c r="N443" s="27" t="str">
        <f t="shared" si="86"/>
        <v>airBaltic</v>
      </c>
      <c r="O443" s="3" t="s">
        <v>1385</v>
      </c>
      <c r="P443" s="20">
        <f t="shared" si="87"/>
        <v>19</v>
      </c>
      <c r="Q443" s="3" t="s">
        <v>1385</v>
      </c>
      <c r="R443" s="23" t="str">
        <f t="shared" si="88"/>
        <v>Wednesday</v>
      </c>
      <c r="S443" s="3" t="s">
        <v>1385</v>
      </c>
      <c r="T443" s="23" t="s">
        <v>7</v>
      </c>
      <c r="U443" s="3" t="s">
        <v>1385</v>
      </c>
      <c r="AO443" s="15"/>
      <c r="AP443" s="15"/>
      <c r="AQ443" s="15"/>
      <c r="AR443" s="23"/>
      <c r="AS443" s="15"/>
      <c r="AT443" s="15"/>
      <c r="AU443" s="23"/>
      <c r="AV443" s="23"/>
    </row>
    <row r="444" spans="1:48" x14ac:dyDescent="0.25">
      <c r="A444" t="s">
        <v>728</v>
      </c>
      <c r="B444" t="s">
        <v>729</v>
      </c>
      <c r="D444" t="s">
        <v>730</v>
      </c>
      <c r="E444" s="2">
        <f t="shared" si="90"/>
        <v>46211</v>
      </c>
      <c r="F444" s="3">
        <f t="shared" si="89"/>
        <v>0.84930555555555554</v>
      </c>
      <c r="G444" t="s">
        <v>731</v>
      </c>
      <c r="H444" t="s">
        <v>732</v>
      </c>
      <c r="I444" t="s">
        <v>733</v>
      </c>
      <c r="J444" s="2">
        <v>46211</v>
      </c>
      <c r="K444" s="1">
        <v>0.80763888888888891</v>
      </c>
      <c r="L444" s="10">
        <f t="shared" si="85"/>
        <v>-59.999999999999943</v>
      </c>
      <c r="M444" s="1" t="str">
        <f t="shared" si="91"/>
        <v>Delayed</v>
      </c>
      <c r="N444" s="27" t="e">
        <f t="shared" si="86"/>
        <v>#N/A</v>
      </c>
      <c r="O444" s="3" t="s">
        <v>1318</v>
      </c>
      <c r="P444" s="20">
        <f t="shared" si="87"/>
        <v>20</v>
      </c>
      <c r="Q444" s="3" t="s">
        <v>1318</v>
      </c>
      <c r="R444" s="23" t="str">
        <f t="shared" si="88"/>
        <v>Wednesday</v>
      </c>
      <c r="S444" s="3" t="s">
        <v>1318</v>
      </c>
      <c r="T444" s="23" t="s">
        <v>729</v>
      </c>
      <c r="U444" s="3" t="s">
        <v>1318</v>
      </c>
      <c r="AO444" s="15"/>
      <c r="AP444" s="15"/>
      <c r="AQ444" s="15"/>
      <c r="AR444" s="23"/>
      <c r="AS444" s="15"/>
      <c r="AT444" s="15"/>
      <c r="AU444" s="23"/>
      <c r="AV444" s="23"/>
    </row>
    <row r="445" spans="1:48" x14ac:dyDescent="0.25">
      <c r="A445" t="s">
        <v>208</v>
      </c>
      <c r="B445" t="s">
        <v>96</v>
      </c>
      <c r="C445" s="10">
        <v>-56</v>
      </c>
      <c r="D445" t="s">
        <v>734</v>
      </c>
      <c r="E445" s="2">
        <f t="shared" si="90"/>
        <v>46211</v>
      </c>
      <c r="F445" s="3">
        <f t="shared" si="89"/>
        <v>0.83124999999999993</v>
      </c>
      <c r="G445" t="s">
        <v>98</v>
      </c>
      <c r="H445" t="s">
        <v>99</v>
      </c>
      <c r="I445" t="s">
        <v>305</v>
      </c>
      <c r="J445" s="2">
        <v>46211</v>
      </c>
      <c r="K445" s="1">
        <v>0.8125</v>
      </c>
      <c r="L445" s="10">
        <f t="shared" si="85"/>
        <v>-26.999999999999904</v>
      </c>
      <c r="M445" s="1" t="str">
        <f t="shared" si="91"/>
        <v>Delayed</v>
      </c>
      <c r="N445" s="27" t="str">
        <f t="shared" si="86"/>
        <v>Turkish Airlines</v>
      </c>
      <c r="O445" s="3" t="s">
        <v>1318</v>
      </c>
      <c r="P445" s="20">
        <f t="shared" si="87"/>
        <v>19</v>
      </c>
      <c r="Q445" s="3" t="s">
        <v>1318</v>
      </c>
      <c r="R445" s="23" t="str">
        <f t="shared" si="88"/>
        <v>Wednesday</v>
      </c>
      <c r="S445" s="3" t="s">
        <v>1318</v>
      </c>
      <c r="T445" s="23" t="s">
        <v>96</v>
      </c>
      <c r="U445" s="3" t="s">
        <v>1318</v>
      </c>
      <c r="AO445" s="15"/>
      <c r="AP445" s="15"/>
      <c r="AQ445" s="15"/>
      <c r="AR445" s="23"/>
      <c r="AS445" s="15"/>
      <c r="AT445" s="15"/>
      <c r="AU445" s="23"/>
      <c r="AV445" s="23"/>
    </row>
    <row r="446" spans="1:48" x14ac:dyDescent="0.25">
      <c r="A446" t="s">
        <v>211</v>
      </c>
      <c r="B446" t="s">
        <v>7</v>
      </c>
      <c r="C446" s="10">
        <v>-14</v>
      </c>
      <c r="D446" t="s">
        <v>532</v>
      </c>
      <c r="E446" s="2">
        <f t="shared" si="90"/>
        <v>46211</v>
      </c>
      <c r="F446" s="3">
        <f t="shared" si="89"/>
        <v>0.82361111111111107</v>
      </c>
      <c r="G446" t="s">
        <v>135</v>
      </c>
      <c r="H446" t="s">
        <v>136</v>
      </c>
      <c r="I446" t="s">
        <v>11</v>
      </c>
      <c r="J446" s="2">
        <v>46211</v>
      </c>
      <c r="K446" s="1">
        <v>0.82638888888888884</v>
      </c>
      <c r="L446" s="10">
        <f t="shared" si="85"/>
        <v>3.9999999999999858</v>
      </c>
      <c r="M446" s="1" t="str">
        <f t="shared" si="91"/>
        <v>On Time</v>
      </c>
      <c r="N446" s="27" t="str">
        <f t="shared" si="86"/>
        <v>airBaltic</v>
      </c>
      <c r="O446" s="3" t="s">
        <v>1385</v>
      </c>
      <c r="P446" s="20">
        <f t="shared" si="87"/>
        <v>19</v>
      </c>
      <c r="Q446" s="3" t="s">
        <v>1385</v>
      </c>
      <c r="R446" s="23" t="str">
        <f t="shared" si="88"/>
        <v>Wednesday</v>
      </c>
      <c r="S446" s="3" t="s">
        <v>1385</v>
      </c>
      <c r="T446" s="23" t="s">
        <v>7</v>
      </c>
      <c r="U446" s="3" t="s">
        <v>1385</v>
      </c>
      <c r="AO446" s="15"/>
      <c r="AP446" s="15"/>
      <c r="AQ446" s="15"/>
      <c r="AR446" s="23"/>
      <c r="AS446" s="15"/>
      <c r="AT446" s="15"/>
      <c r="AU446" s="23"/>
      <c r="AV446" s="23"/>
    </row>
    <row r="447" spans="1:48" x14ac:dyDescent="0.25">
      <c r="A447" t="s">
        <v>533</v>
      </c>
      <c r="B447" t="s">
        <v>117</v>
      </c>
      <c r="D447" t="s">
        <v>735</v>
      </c>
      <c r="E447" s="2">
        <f t="shared" si="90"/>
        <v>46211</v>
      </c>
      <c r="F447" s="3">
        <f t="shared" si="89"/>
        <v>0.83333333333333337</v>
      </c>
      <c r="G447" t="s">
        <v>308</v>
      </c>
      <c r="H447" t="s">
        <v>309</v>
      </c>
      <c r="I447" t="s">
        <v>83</v>
      </c>
      <c r="J447" s="2">
        <v>46211</v>
      </c>
      <c r="K447" s="1">
        <v>0.83194444444444438</v>
      </c>
      <c r="L447" s="10">
        <f t="shared" si="85"/>
        <v>-2.0000000000001528</v>
      </c>
      <c r="M447" s="1" t="str">
        <f t="shared" si="91"/>
        <v>On Time</v>
      </c>
      <c r="N447" s="27" t="str">
        <f t="shared" si="86"/>
        <v>Heston Airlines</v>
      </c>
      <c r="O447" s="3" t="s">
        <v>1385</v>
      </c>
      <c r="P447" s="20">
        <f t="shared" si="87"/>
        <v>20</v>
      </c>
      <c r="Q447" s="3" t="s">
        <v>1385</v>
      </c>
      <c r="R447" s="23" t="str">
        <f t="shared" si="88"/>
        <v>Wednesday</v>
      </c>
      <c r="S447" s="3" t="s">
        <v>1385</v>
      </c>
      <c r="T447" s="23" t="s">
        <v>117</v>
      </c>
      <c r="U447" s="3" t="s">
        <v>1385</v>
      </c>
      <c r="AO447" s="15"/>
      <c r="AP447" s="15"/>
      <c r="AQ447" s="15"/>
      <c r="AR447" s="23"/>
      <c r="AS447" s="15"/>
      <c r="AT447" s="15"/>
      <c r="AU447" s="23"/>
      <c r="AV447" s="23"/>
    </row>
    <row r="448" spans="1:48" x14ac:dyDescent="0.25">
      <c r="A448" t="s">
        <v>536</v>
      </c>
      <c r="B448" t="s">
        <v>239</v>
      </c>
      <c r="D448" t="s">
        <v>537</v>
      </c>
      <c r="E448" s="2">
        <f t="shared" si="90"/>
        <v>46211</v>
      </c>
      <c r="F448" s="3">
        <f t="shared" si="89"/>
        <v>0.84722222222222221</v>
      </c>
      <c r="G448" t="s">
        <v>222</v>
      </c>
      <c r="H448" t="s">
        <v>223</v>
      </c>
      <c r="I448" t="s">
        <v>83</v>
      </c>
      <c r="J448" s="2">
        <v>46211</v>
      </c>
      <c r="K448" s="1">
        <v>0.85763888888888884</v>
      </c>
      <c r="L448" s="10">
        <f t="shared" si="85"/>
        <v>14.999999999999947</v>
      </c>
      <c r="M448" s="1" t="str">
        <f t="shared" si="91"/>
        <v>On Time</v>
      </c>
      <c r="N448" s="27" t="str">
        <f t="shared" si="86"/>
        <v>Eurowings</v>
      </c>
      <c r="O448" s="3" t="s">
        <v>1385</v>
      </c>
      <c r="P448" s="20">
        <f t="shared" si="87"/>
        <v>20</v>
      </c>
      <c r="Q448" s="3" t="s">
        <v>1385</v>
      </c>
      <c r="R448" s="23" t="str">
        <f t="shared" si="88"/>
        <v>Wednesday</v>
      </c>
      <c r="S448" s="3" t="s">
        <v>1385</v>
      </c>
      <c r="T448" s="23" t="s">
        <v>239</v>
      </c>
      <c r="U448" s="3" t="s">
        <v>1385</v>
      </c>
      <c r="AO448" s="15"/>
      <c r="AP448" s="15"/>
      <c r="AQ448" s="15"/>
      <c r="AR448" s="23"/>
      <c r="AS448" s="15"/>
      <c r="AT448" s="15"/>
      <c r="AU448" s="23"/>
      <c r="AV448" s="23"/>
    </row>
    <row r="449" spans="1:48" x14ac:dyDescent="0.25">
      <c r="A449" t="s">
        <v>123</v>
      </c>
      <c r="B449" t="s">
        <v>124</v>
      </c>
      <c r="D449" t="s">
        <v>736</v>
      </c>
      <c r="E449" s="2">
        <f t="shared" si="90"/>
        <v>46211</v>
      </c>
      <c r="F449" s="3">
        <f t="shared" si="89"/>
        <v>0.86597222222222225</v>
      </c>
      <c r="G449" t="s">
        <v>737</v>
      </c>
      <c r="H449" t="s">
        <v>738</v>
      </c>
      <c r="I449" t="s">
        <v>249</v>
      </c>
      <c r="J449" s="2">
        <v>46211</v>
      </c>
      <c r="K449" s="1">
        <v>0.87986111111111109</v>
      </c>
      <c r="L449" s="10">
        <f t="shared" si="85"/>
        <v>19.999999999999929</v>
      </c>
      <c r="M449" s="1" t="str">
        <f t="shared" si="91"/>
        <v>On Time</v>
      </c>
      <c r="N449" s="27" t="str">
        <f t="shared" si="86"/>
        <v>GetJet Airlines</v>
      </c>
      <c r="O449" s="3" t="s">
        <v>1385</v>
      </c>
      <c r="P449" s="20">
        <f t="shared" si="87"/>
        <v>20</v>
      </c>
      <c r="Q449" s="3" t="s">
        <v>1385</v>
      </c>
      <c r="R449" s="23" t="str">
        <f t="shared" si="88"/>
        <v>Wednesday</v>
      </c>
      <c r="S449" s="3" t="s">
        <v>1385</v>
      </c>
      <c r="T449" s="23" t="s">
        <v>124</v>
      </c>
      <c r="U449" s="3" t="s">
        <v>1385</v>
      </c>
      <c r="AO449" s="15"/>
      <c r="AP449" s="15"/>
      <c r="AQ449" s="15"/>
      <c r="AR449" s="23"/>
      <c r="AS449" s="15"/>
      <c r="AT449" s="15"/>
      <c r="AU449" s="23"/>
      <c r="AV449" s="23"/>
    </row>
    <row r="450" spans="1:48" x14ac:dyDescent="0.25">
      <c r="A450" t="s">
        <v>228</v>
      </c>
      <c r="B450" t="s">
        <v>69</v>
      </c>
      <c r="C450" s="10">
        <v>-2</v>
      </c>
      <c r="D450" t="s">
        <v>739</v>
      </c>
      <c r="E450" s="2">
        <f t="shared" si="90"/>
        <v>46211</v>
      </c>
      <c r="F450" s="3">
        <f t="shared" si="89"/>
        <v>0.875</v>
      </c>
      <c r="G450" t="s">
        <v>71</v>
      </c>
      <c r="H450" t="s">
        <v>72</v>
      </c>
      <c r="I450" t="s">
        <v>73</v>
      </c>
      <c r="J450" s="2">
        <v>46211</v>
      </c>
      <c r="K450" s="1">
        <v>0.88194444444444453</v>
      </c>
      <c r="L450" s="10">
        <f t="shared" ref="L450:L513" si="92">IF(J450&gt;E450,(K450+1-F450)*1440,IF(J450&lt;E450,-(F450+1-K450)*1440,(K450-F450)*1440))</f>
        <v>10.000000000000124</v>
      </c>
      <c r="M450" s="1" t="str">
        <f t="shared" si="91"/>
        <v>On Time</v>
      </c>
      <c r="N450" s="27" t="str">
        <f t="shared" ref="N450:N513" si="93">IF(COUNTIFS($B$2:$B$1553,B450,$M$2:$M$1553,"&lt;&gt;#N/A")&gt;=30,B450,NA())</f>
        <v>Finnair</v>
      </c>
      <c r="O450" s="3" t="s">
        <v>1385</v>
      </c>
      <c r="P450" s="20">
        <f t="shared" ref="P450:P513" si="94">HOUR(F450)</f>
        <v>21</v>
      </c>
      <c r="Q450" s="3" t="s">
        <v>1385</v>
      </c>
      <c r="R450" s="23" t="str">
        <f t="shared" ref="R450:R513" si="95">TEXT(E450, "dddd")</f>
        <v>Wednesday</v>
      </c>
      <c r="S450" s="3" t="s">
        <v>1385</v>
      </c>
      <c r="T450" s="23" t="s">
        <v>69</v>
      </c>
      <c r="U450" s="3" t="s">
        <v>1385</v>
      </c>
      <c r="AO450" s="15"/>
      <c r="AP450" s="15"/>
      <c r="AQ450" s="15"/>
      <c r="AR450" s="23"/>
      <c r="AS450" s="15"/>
      <c r="AT450" s="15"/>
      <c r="AU450" s="23"/>
      <c r="AV450" s="23"/>
    </row>
    <row r="451" spans="1:48" x14ac:dyDescent="0.25">
      <c r="A451" t="s">
        <v>104</v>
      </c>
      <c r="B451" t="s">
        <v>85</v>
      </c>
      <c r="C451" s="10">
        <v>-46</v>
      </c>
      <c r="D451" t="s">
        <v>740</v>
      </c>
      <c r="E451" s="2">
        <f t="shared" si="90"/>
        <v>46211</v>
      </c>
      <c r="F451" s="3">
        <f t="shared" ref="F451:F514" si="96">IF(ISNUMBER(SEARCH("Landed", D451)), TIMEVALUE(_xlfn.TEXTAFTER(D451, " ")), NA())</f>
        <v>0.89930555555555547</v>
      </c>
      <c r="G451" t="s">
        <v>106</v>
      </c>
      <c r="H451" t="s">
        <v>107</v>
      </c>
      <c r="I451" t="s">
        <v>89</v>
      </c>
      <c r="J451" s="2">
        <v>46211</v>
      </c>
      <c r="K451" s="1">
        <v>0.88541666666666663</v>
      </c>
      <c r="L451" s="10">
        <f t="shared" si="92"/>
        <v>-19.999999999999929</v>
      </c>
      <c r="M451" s="1" t="str">
        <f t="shared" si="91"/>
        <v>Delayed</v>
      </c>
      <c r="N451" s="27" t="str">
        <f t="shared" si="93"/>
        <v>Ryanair</v>
      </c>
      <c r="O451" s="3" t="s">
        <v>1318</v>
      </c>
      <c r="P451" s="20">
        <f t="shared" si="94"/>
        <v>21</v>
      </c>
      <c r="Q451" s="3" t="s">
        <v>1318</v>
      </c>
      <c r="R451" s="23" t="str">
        <f t="shared" si="95"/>
        <v>Wednesday</v>
      </c>
      <c r="S451" s="3" t="s">
        <v>1318</v>
      </c>
      <c r="T451" s="23" t="s">
        <v>85</v>
      </c>
      <c r="U451" s="3" t="s">
        <v>1318</v>
      </c>
      <c r="AO451" s="15"/>
      <c r="AP451" s="15"/>
      <c r="AQ451" s="15"/>
      <c r="AR451" s="23"/>
      <c r="AS451" s="15"/>
      <c r="AT451" s="15"/>
      <c r="AU451" s="23"/>
      <c r="AV451" s="23"/>
    </row>
    <row r="452" spans="1:48" x14ac:dyDescent="0.25">
      <c r="A452" t="s">
        <v>540</v>
      </c>
      <c r="B452" t="s">
        <v>13</v>
      </c>
      <c r="C452" s="10">
        <v>-19</v>
      </c>
      <c r="D452" t="s">
        <v>460</v>
      </c>
      <c r="E452" s="2">
        <f t="shared" si="90"/>
        <v>46211</v>
      </c>
      <c r="F452" s="3">
        <f t="shared" si="96"/>
        <v>0.89583333333333337</v>
      </c>
      <c r="G452" t="s">
        <v>481</v>
      </c>
      <c r="H452" t="s">
        <v>482</v>
      </c>
      <c r="I452" t="s">
        <v>17</v>
      </c>
      <c r="J452" s="2">
        <v>46211</v>
      </c>
      <c r="K452" s="1">
        <v>0.89583333333333337</v>
      </c>
      <c r="L452" s="10">
        <f t="shared" si="92"/>
        <v>0</v>
      </c>
      <c r="M452" s="1" t="str">
        <f t="shared" si="91"/>
        <v>On Time</v>
      </c>
      <c r="N452" s="27" t="str">
        <f t="shared" si="93"/>
        <v>Wizz Air</v>
      </c>
      <c r="O452" s="3" t="s">
        <v>1385</v>
      </c>
      <c r="P452" s="20">
        <f t="shared" si="94"/>
        <v>21</v>
      </c>
      <c r="Q452" s="3" t="s">
        <v>1385</v>
      </c>
      <c r="R452" s="23" t="str">
        <f t="shared" si="95"/>
        <v>Wednesday</v>
      </c>
      <c r="S452" s="3" t="s">
        <v>1385</v>
      </c>
      <c r="T452" s="23" t="s">
        <v>13</v>
      </c>
      <c r="U452" s="3" t="s">
        <v>1385</v>
      </c>
      <c r="AO452" s="15"/>
      <c r="AP452" s="15"/>
      <c r="AQ452" s="15"/>
      <c r="AR452" s="23"/>
      <c r="AS452" s="15"/>
      <c r="AT452" s="15"/>
      <c r="AU452" s="23"/>
      <c r="AV452" s="23"/>
    </row>
    <row r="453" spans="1:48" x14ac:dyDescent="0.25">
      <c r="A453" t="s">
        <v>233</v>
      </c>
      <c r="B453" t="s">
        <v>7</v>
      </c>
      <c r="C453" s="10">
        <v>-15</v>
      </c>
      <c r="D453" t="s">
        <v>616</v>
      </c>
      <c r="E453" s="2">
        <f t="shared" si="90"/>
        <v>46211</v>
      </c>
      <c r="F453" s="3">
        <f t="shared" si="96"/>
        <v>0.90277777777777779</v>
      </c>
      <c r="G453" t="s">
        <v>76</v>
      </c>
      <c r="H453" t="s">
        <v>77</v>
      </c>
      <c r="I453" t="s">
        <v>11</v>
      </c>
      <c r="J453" s="2">
        <v>46211</v>
      </c>
      <c r="K453" s="1">
        <v>0.90625</v>
      </c>
      <c r="L453" s="10">
        <f t="shared" si="92"/>
        <v>4.9999999999999822</v>
      </c>
      <c r="M453" s="1" t="str">
        <f t="shared" si="91"/>
        <v>On Time</v>
      </c>
      <c r="N453" s="27" t="str">
        <f t="shared" si="93"/>
        <v>airBaltic</v>
      </c>
      <c r="O453" s="3" t="s">
        <v>1385</v>
      </c>
      <c r="P453" s="20">
        <f t="shared" si="94"/>
        <v>21</v>
      </c>
      <c r="Q453" s="3" t="s">
        <v>1385</v>
      </c>
      <c r="R453" s="23" t="str">
        <f t="shared" si="95"/>
        <v>Wednesday</v>
      </c>
      <c r="S453" s="3" t="s">
        <v>1385</v>
      </c>
      <c r="T453" s="23" t="s">
        <v>7</v>
      </c>
      <c r="U453" s="3" t="s">
        <v>1385</v>
      </c>
      <c r="AO453" s="15"/>
      <c r="AP453" s="15"/>
      <c r="AQ453" s="15"/>
      <c r="AR453" s="23"/>
      <c r="AS453" s="15"/>
      <c r="AT453" s="15"/>
      <c r="AU453" s="23"/>
      <c r="AV453" s="23"/>
    </row>
    <row r="454" spans="1:48" x14ac:dyDescent="0.25">
      <c r="A454" t="s">
        <v>519</v>
      </c>
      <c r="B454" t="s">
        <v>85</v>
      </c>
      <c r="C454" s="10">
        <v>-20</v>
      </c>
      <c r="D454" t="s">
        <v>741</v>
      </c>
      <c r="E454" s="2">
        <f t="shared" ref="E454:E458" si="97">J454</f>
        <v>46211</v>
      </c>
      <c r="F454" s="3">
        <f t="shared" si="96"/>
        <v>0.92291666666666661</v>
      </c>
      <c r="G454" t="s">
        <v>110</v>
      </c>
      <c r="H454" t="s">
        <v>521</v>
      </c>
      <c r="I454" t="s">
        <v>89</v>
      </c>
      <c r="J454" s="2">
        <v>46211</v>
      </c>
      <c r="K454" s="1">
        <v>0.92361111111111116</v>
      </c>
      <c r="L454" s="10">
        <f t="shared" si="92"/>
        <v>1.0000000000001563</v>
      </c>
      <c r="M454" s="1" t="str">
        <f t="shared" si="91"/>
        <v>On Time</v>
      </c>
      <c r="N454" s="27" t="str">
        <f t="shared" si="93"/>
        <v>Ryanair</v>
      </c>
      <c r="O454" s="3" t="s">
        <v>1385</v>
      </c>
      <c r="P454" s="20">
        <f t="shared" si="94"/>
        <v>22</v>
      </c>
      <c r="Q454" s="3" t="s">
        <v>1385</v>
      </c>
      <c r="R454" s="23" t="str">
        <f t="shared" si="95"/>
        <v>Wednesday</v>
      </c>
      <c r="S454" s="3" t="s">
        <v>1385</v>
      </c>
      <c r="T454" s="23" t="s">
        <v>85</v>
      </c>
      <c r="U454" s="3" t="s">
        <v>1385</v>
      </c>
      <c r="AO454" s="15"/>
      <c r="AP454" s="15"/>
      <c r="AQ454" s="15"/>
      <c r="AR454" s="23"/>
      <c r="AS454" s="15"/>
      <c r="AT454" s="15"/>
      <c r="AU454" s="23"/>
      <c r="AV454" s="23"/>
    </row>
    <row r="455" spans="1:48" x14ac:dyDescent="0.25">
      <c r="A455" t="s">
        <v>524</v>
      </c>
      <c r="B455" t="s">
        <v>96</v>
      </c>
      <c r="C455" s="10" t="e">
        <f>NA()</f>
        <v>#N/A</v>
      </c>
      <c r="D455" t="s">
        <v>242</v>
      </c>
      <c r="E455" s="2">
        <f t="shared" si="97"/>
        <v>46211</v>
      </c>
      <c r="F455" s="3" t="e">
        <f t="shared" si="96"/>
        <v>#N/A</v>
      </c>
      <c r="G455" t="s">
        <v>98</v>
      </c>
      <c r="H455" t="s">
        <v>99</v>
      </c>
      <c r="I455" t="s">
        <v>123</v>
      </c>
      <c r="J455" s="2">
        <v>46211</v>
      </c>
      <c r="K455" s="1">
        <v>0.93402777777777779</v>
      </c>
      <c r="L455" s="10" t="e">
        <f t="shared" si="92"/>
        <v>#N/A</v>
      </c>
      <c r="M455" s="1" t="e">
        <f t="shared" si="91"/>
        <v>#N/A</v>
      </c>
      <c r="N455" s="27" t="str">
        <f t="shared" si="93"/>
        <v>Turkish Airlines</v>
      </c>
      <c r="O455" s="3" t="e">
        <v>#N/A</v>
      </c>
      <c r="P455" s="20" t="e">
        <f t="shared" si="94"/>
        <v>#N/A</v>
      </c>
      <c r="Q455" s="3" t="e">
        <v>#N/A</v>
      </c>
      <c r="R455" s="23" t="str">
        <f t="shared" si="95"/>
        <v>Wednesday</v>
      </c>
      <c r="S455" s="3" t="e">
        <v>#N/A</v>
      </c>
      <c r="T455" s="23" t="s">
        <v>96</v>
      </c>
      <c r="AO455" s="15"/>
      <c r="AP455" s="15"/>
      <c r="AQ455" s="15"/>
      <c r="AR455" s="23"/>
      <c r="AS455" s="15"/>
      <c r="AT455" s="15"/>
      <c r="AU455" s="23"/>
      <c r="AV455" s="23"/>
    </row>
    <row r="456" spans="1:48" x14ac:dyDescent="0.25">
      <c r="A456" t="s">
        <v>742</v>
      </c>
      <c r="B456" t="s">
        <v>124</v>
      </c>
      <c r="D456" t="s">
        <v>743</v>
      </c>
      <c r="E456" s="2">
        <f t="shared" si="97"/>
        <v>46211</v>
      </c>
      <c r="F456" s="3">
        <f t="shared" si="96"/>
        <v>0.94652777777777775</v>
      </c>
      <c r="G456" t="s">
        <v>466</v>
      </c>
      <c r="H456" t="s">
        <v>467</v>
      </c>
      <c r="I456" t="s">
        <v>126</v>
      </c>
      <c r="J456" s="2">
        <v>46211</v>
      </c>
      <c r="K456" s="1">
        <v>0.95486111111111116</v>
      </c>
      <c r="L456" s="10">
        <f t="shared" si="92"/>
        <v>12.000000000000117</v>
      </c>
      <c r="M456" s="1" t="str">
        <f t="shared" si="91"/>
        <v>On Time</v>
      </c>
      <c r="N456" s="27" t="str">
        <f t="shared" si="93"/>
        <v>GetJet Airlines</v>
      </c>
      <c r="O456" s="3" t="s">
        <v>1385</v>
      </c>
      <c r="P456" s="20">
        <f t="shared" si="94"/>
        <v>22</v>
      </c>
      <c r="Q456" s="3" t="s">
        <v>1385</v>
      </c>
      <c r="R456" s="23" t="str">
        <f t="shared" si="95"/>
        <v>Wednesday</v>
      </c>
      <c r="S456" s="3" t="s">
        <v>1385</v>
      </c>
      <c r="T456" s="23" t="s">
        <v>124</v>
      </c>
      <c r="U456" s="3" t="s">
        <v>1385</v>
      </c>
      <c r="AO456" s="15"/>
      <c r="AP456" s="15"/>
      <c r="AQ456" s="15"/>
      <c r="AR456" s="23"/>
      <c r="AS456" s="15"/>
      <c r="AT456" s="15"/>
      <c r="AU456" s="23"/>
      <c r="AV456" s="23"/>
    </row>
    <row r="457" spans="1:48" x14ac:dyDescent="0.25">
      <c r="A457" t="s">
        <v>258</v>
      </c>
      <c r="B457" t="s">
        <v>190</v>
      </c>
      <c r="C457" s="10">
        <v>-16</v>
      </c>
      <c r="D457" t="s">
        <v>744</v>
      </c>
      <c r="E457" s="2">
        <f t="shared" si="97"/>
        <v>46211</v>
      </c>
      <c r="F457" s="3">
        <f t="shared" si="96"/>
        <v>0.98263888888888884</v>
      </c>
      <c r="G457" t="s">
        <v>110</v>
      </c>
      <c r="H457" t="s">
        <v>111</v>
      </c>
      <c r="I457" t="s">
        <v>67</v>
      </c>
      <c r="J457" s="2">
        <v>46211</v>
      </c>
      <c r="K457" s="1">
        <v>0.98263888888888884</v>
      </c>
      <c r="L457" s="10">
        <f t="shared" si="92"/>
        <v>0</v>
      </c>
      <c r="M457" s="1" t="str">
        <f t="shared" si="91"/>
        <v>On Time</v>
      </c>
      <c r="N457" s="27" t="str">
        <f t="shared" si="93"/>
        <v>Lufthansa</v>
      </c>
      <c r="O457" s="3" t="s">
        <v>1385</v>
      </c>
      <c r="P457" s="20">
        <f t="shared" si="94"/>
        <v>23</v>
      </c>
      <c r="Q457" s="3" t="s">
        <v>1385</v>
      </c>
      <c r="R457" s="23" t="str">
        <f t="shared" si="95"/>
        <v>Wednesday</v>
      </c>
      <c r="S457" s="3" t="s">
        <v>1385</v>
      </c>
      <c r="T457" s="23" t="s">
        <v>190</v>
      </c>
      <c r="U457" s="3" t="s">
        <v>1385</v>
      </c>
      <c r="AO457" s="15"/>
      <c r="AP457" s="15"/>
      <c r="AQ457" s="15"/>
      <c r="AR457" s="23"/>
      <c r="AS457" s="15"/>
      <c r="AT457" s="15"/>
      <c r="AU457" s="23"/>
      <c r="AV457" s="23"/>
    </row>
    <row r="458" spans="1:48" x14ac:dyDescent="0.25">
      <c r="A458" t="s">
        <v>250</v>
      </c>
      <c r="B458" t="s">
        <v>7</v>
      </c>
      <c r="C458" s="10">
        <v>-58</v>
      </c>
      <c r="D458" t="s">
        <v>745</v>
      </c>
      <c r="E458" s="2">
        <f t="shared" si="97"/>
        <v>46211</v>
      </c>
      <c r="F458" s="3" t="e">
        <f t="shared" si="96"/>
        <v>#N/A</v>
      </c>
      <c r="G458" t="s">
        <v>252</v>
      </c>
      <c r="H458" t="s">
        <v>253</v>
      </c>
      <c r="I458" t="s">
        <v>11</v>
      </c>
      <c r="J458" s="2">
        <v>46211</v>
      </c>
      <c r="K458" s="1">
        <v>0.99930555555555556</v>
      </c>
      <c r="L458" s="10" t="e">
        <f t="shared" si="92"/>
        <v>#N/A</v>
      </c>
      <c r="M458" s="1" t="e">
        <f t="shared" si="91"/>
        <v>#N/A</v>
      </c>
      <c r="N458" s="27" t="str">
        <f t="shared" si="93"/>
        <v>airBaltic</v>
      </c>
      <c r="O458" s="3" t="e">
        <v>#N/A</v>
      </c>
      <c r="P458" s="20" t="e">
        <f t="shared" si="94"/>
        <v>#N/A</v>
      </c>
      <c r="Q458" s="3" t="e">
        <v>#N/A</v>
      </c>
      <c r="R458" s="23" t="str">
        <f t="shared" si="95"/>
        <v>Wednesday</v>
      </c>
      <c r="S458" s="3" t="e">
        <v>#N/A</v>
      </c>
      <c r="T458" s="23" t="s">
        <v>7</v>
      </c>
      <c r="AO458" s="15"/>
      <c r="AP458" s="15"/>
      <c r="AQ458" s="15"/>
      <c r="AR458" s="23"/>
      <c r="AS458" s="15"/>
      <c r="AT458" s="15"/>
      <c r="AU458" s="23"/>
      <c r="AV458" s="23"/>
    </row>
    <row r="459" spans="1:48" x14ac:dyDescent="0.25">
      <c r="A459" t="s">
        <v>395</v>
      </c>
      <c r="B459" t="s">
        <v>85</v>
      </c>
      <c r="C459" s="10">
        <v>-25</v>
      </c>
      <c r="D459" t="s">
        <v>746</v>
      </c>
      <c r="E459" s="2">
        <v>46212</v>
      </c>
      <c r="F459" s="3">
        <f t="shared" si="96"/>
        <v>3.472222222222222E-3</v>
      </c>
      <c r="G459" t="s">
        <v>34</v>
      </c>
      <c r="H459" t="s">
        <v>161</v>
      </c>
      <c r="I459" t="s">
        <v>89</v>
      </c>
      <c r="J459" s="2">
        <v>46211</v>
      </c>
      <c r="K459" s="1">
        <v>0.99930555555555556</v>
      </c>
      <c r="L459" s="10">
        <f t="shared" si="92"/>
        <v>-6.0000000000001386</v>
      </c>
      <c r="M459" s="1" t="str">
        <f t="shared" si="91"/>
        <v>On Time</v>
      </c>
      <c r="N459" s="27" t="str">
        <f t="shared" si="93"/>
        <v>Ryanair</v>
      </c>
      <c r="O459" s="3" t="s">
        <v>1385</v>
      </c>
      <c r="P459" s="20">
        <f t="shared" si="94"/>
        <v>0</v>
      </c>
      <c r="Q459" s="3" t="s">
        <v>1385</v>
      </c>
      <c r="R459" s="23" t="str">
        <f t="shared" si="95"/>
        <v>Thursday</v>
      </c>
      <c r="S459" s="3" t="s">
        <v>1385</v>
      </c>
      <c r="T459" s="23" t="s">
        <v>85</v>
      </c>
      <c r="U459" s="3" t="s">
        <v>1385</v>
      </c>
      <c r="AO459" s="15"/>
      <c r="AP459" s="15"/>
      <c r="AQ459" s="15"/>
      <c r="AR459" s="23"/>
      <c r="AS459" s="15"/>
      <c r="AT459" s="15"/>
      <c r="AU459" s="23"/>
      <c r="AV459" s="23"/>
    </row>
    <row r="460" spans="1:48" x14ac:dyDescent="0.25">
      <c r="A460" t="s">
        <v>6</v>
      </c>
      <c r="B460" t="s">
        <v>7</v>
      </c>
      <c r="C460" s="10">
        <v>-32</v>
      </c>
      <c r="D460" t="s">
        <v>747</v>
      </c>
      <c r="E460" s="2">
        <v>46212</v>
      </c>
      <c r="F460" s="3">
        <f t="shared" si="96"/>
        <v>3.4722222222222224E-2</v>
      </c>
      <c r="G460" t="s">
        <v>9</v>
      </c>
      <c r="H460" t="s">
        <v>10</v>
      </c>
      <c r="I460" t="s">
        <v>11</v>
      </c>
      <c r="J460" s="2">
        <v>46212</v>
      </c>
      <c r="K460" s="1">
        <v>2.0833333333333332E-2</v>
      </c>
      <c r="L460" s="10">
        <f t="shared" si="92"/>
        <v>-20.000000000000004</v>
      </c>
      <c r="M460" s="1" t="str">
        <f t="shared" si="91"/>
        <v>Delayed</v>
      </c>
      <c r="N460" s="27" t="str">
        <f t="shared" si="93"/>
        <v>airBaltic</v>
      </c>
      <c r="O460" s="3" t="s">
        <v>1318</v>
      </c>
      <c r="P460" s="20">
        <f t="shared" si="94"/>
        <v>0</v>
      </c>
      <c r="Q460" s="3" t="s">
        <v>1318</v>
      </c>
      <c r="R460" s="23" t="str">
        <f t="shared" si="95"/>
        <v>Thursday</v>
      </c>
      <c r="S460" s="3" t="s">
        <v>1318</v>
      </c>
      <c r="T460" s="23" t="s">
        <v>7</v>
      </c>
      <c r="U460" s="3" t="s">
        <v>1318</v>
      </c>
      <c r="AO460" s="15"/>
      <c r="AP460" s="15"/>
      <c r="AQ460" s="15"/>
      <c r="AR460" s="23"/>
      <c r="AS460" s="15"/>
      <c r="AT460" s="15"/>
      <c r="AU460" s="23"/>
      <c r="AV460" s="23"/>
    </row>
    <row r="461" spans="1:48" x14ac:dyDescent="0.25">
      <c r="A461" t="s">
        <v>12</v>
      </c>
      <c r="B461" t="s">
        <v>13</v>
      </c>
      <c r="C461" s="10">
        <v>-21</v>
      </c>
      <c r="D461" t="s">
        <v>748</v>
      </c>
      <c r="E461" s="2">
        <f>J461</f>
        <v>46212</v>
      </c>
      <c r="F461" s="3">
        <f t="shared" si="96"/>
        <v>2.361111111111111E-2</v>
      </c>
      <c r="G461" t="s">
        <v>15</v>
      </c>
      <c r="H461" t="s">
        <v>16</v>
      </c>
      <c r="I461" t="s">
        <v>17</v>
      </c>
      <c r="J461" s="2">
        <v>46212</v>
      </c>
      <c r="K461" s="1">
        <v>2.0833333333333332E-2</v>
      </c>
      <c r="L461" s="10">
        <f t="shared" si="92"/>
        <v>-4.0000000000000009</v>
      </c>
      <c r="M461" s="1" t="str">
        <f t="shared" si="91"/>
        <v>On Time</v>
      </c>
      <c r="N461" s="27" t="str">
        <f t="shared" si="93"/>
        <v>Wizz Air</v>
      </c>
      <c r="O461" s="3" t="s">
        <v>1385</v>
      </c>
      <c r="P461" s="20">
        <f t="shared" si="94"/>
        <v>0</v>
      </c>
      <c r="Q461" s="3" t="s">
        <v>1385</v>
      </c>
      <c r="R461" s="23" t="str">
        <f t="shared" si="95"/>
        <v>Thursday</v>
      </c>
      <c r="S461" s="3" t="s">
        <v>1385</v>
      </c>
      <c r="T461" s="23" t="s">
        <v>13</v>
      </c>
      <c r="U461" s="3" t="s">
        <v>1385</v>
      </c>
      <c r="AO461" s="15"/>
      <c r="AP461" s="15"/>
      <c r="AQ461" s="15"/>
      <c r="AR461" s="23"/>
      <c r="AS461" s="15"/>
      <c r="AT461" s="15"/>
      <c r="AU461" s="23"/>
      <c r="AV461" s="23"/>
    </row>
    <row r="462" spans="1:48" x14ac:dyDescent="0.25">
      <c r="A462" t="s">
        <v>18</v>
      </c>
      <c r="B462" t="s">
        <v>19</v>
      </c>
      <c r="C462" s="10">
        <v>-17</v>
      </c>
      <c r="D462" t="s">
        <v>398</v>
      </c>
      <c r="E462" s="2">
        <f t="shared" ref="E462:E525" si="98">J462</f>
        <v>46212</v>
      </c>
      <c r="F462" s="3">
        <f t="shared" si="96"/>
        <v>2.9861111111111113E-2</v>
      </c>
      <c r="G462" t="s">
        <v>21</v>
      </c>
      <c r="H462" t="s">
        <v>22</v>
      </c>
      <c r="I462" t="s">
        <v>276</v>
      </c>
      <c r="J462" s="2">
        <v>46212</v>
      </c>
      <c r="K462" s="1">
        <v>2.7777777777777776E-2</v>
      </c>
      <c r="L462" s="10">
        <f t="shared" si="92"/>
        <v>-3.0000000000000044</v>
      </c>
      <c r="M462" s="1" t="str">
        <f t="shared" si="91"/>
        <v>On Time</v>
      </c>
      <c r="N462" s="27" t="str">
        <f t="shared" si="93"/>
        <v>LOT</v>
      </c>
      <c r="O462" s="3" t="s">
        <v>1385</v>
      </c>
      <c r="P462" s="20">
        <f t="shared" si="94"/>
        <v>0</v>
      </c>
      <c r="Q462" s="3" t="s">
        <v>1385</v>
      </c>
      <c r="R462" s="23" t="str">
        <f t="shared" si="95"/>
        <v>Thursday</v>
      </c>
      <c r="S462" s="3" t="s">
        <v>1385</v>
      </c>
      <c r="T462" s="23" t="s">
        <v>19</v>
      </c>
      <c r="U462" s="3" t="s">
        <v>1385</v>
      </c>
      <c r="AO462" s="15"/>
      <c r="AP462" s="15"/>
      <c r="AQ462" s="15"/>
      <c r="AR462" s="23"/>
      <c r="AS462" s="15"/>
      <c r="AT462" s="15"/>
      <c r="AU462" s="23"/>
      <c r="AV462" s="23"/>
    </row>
    <row r="463" spans="1:48" x14ac:dyDescent="0.25">
      <c r="A463" t="s">
        <v>24</v>
      </c>
      <c r="B463" t="s">
        <v>7</v>
      </c>
      <c r="C463" s="10">
        <v>-12</v>
      </c>
      <c r="D463" t="s">
        <v>271</v>
      </c>
      <c r="E463" s="2">
        <f t="shared" si="98"/>
        <v>46212</v>
      </c>
      <c r="F463" s="3">
        <f t="shared" si="96"/>
        <v>3.1944444444444449E-2</v>
      </c>
      <c r="G463" t="s">
        <v>26</v>
      </c>
      <c r="H463" t="s">
        <v>27</v>
      </c>
      <c r="I463" t="s">
        <v>11</v>
      </c>
      <c r="J463" s="2">
        <v>46212</v>
      </c>
      <c r="K463" s="1">
        <v>3.125E-2</v>
      </c>
      <c r="L463" s="10">
        <f t="shared" si="92"/>
        <v>-1.0000000000000064</v>
      </c>
      <c r="M463" s="1" t="str">
        <f t="shared" si="91"/>
        <v>On Time</v>
      </c>
      <c r="N463" s="27" t="str">
        <f t="shared" si="93"/>
        <v>airBaltic</v>
      </c>
      <c r="O463" s="3" t="s">
        <v>1385</v>
      </c>
      <c r="P463" s="20">
        <f t="shared" si="94"/>
        <v>0</v>
      </c>
      <c r="Q463" s="3" t="s">
        <v>1385</v>
      </c>
      <c r="R463" s="23" t="str">
        <f t="shared" si="95"/>
        <v>Thursday</v>
      </c>
      <c r="S463" s="3" t="s">
        <v>1385</v>
      </c>
      <c r="T463" s="23" t="s">
        <v>7</v>
      </c>
      <c r="U463" s="3" t="s">
        <v>1385</v>
      </c>
      <c r="AO463" s="15"/>
      <c r="AP463" s="15"/>
      <c r="AQ463" s="15"/>
      <c r="AR463" s="23"/>
      <c r="AS463" s="15"/>
      <c r="AT463" s="15"/>
      <c r="AU463" s="23"/>
      <c r="AV463" s="23"/>
    </row>
    <row r="464" spans="1:48" x14ac:dyDescent="0.25">
      <c r="A464" t="s">
        <v>28</v>
      </c>
      <c r="B464" t="s">
        <v>7</v>
      </c>
      <c r="C464" s="10">
        <v>-15</v>
      </c>
      <c r="D464" t="s">
        <v>749</v>
      </c>
      <c r="E464" s="2">
        <f t="shared" si="98"/>
        <v>46212</v>
      </c>
      <c r="F464" s="3">
        <f t="shared" si="96"/>
        <v>2.7777777777777776E-2</v>
      </c>
      <c r="G464" t="s">
        <v>30</v>
      </c>
      <c r="H464" t="s">
        <v>31</v>
      </c>
      <c r="I464" t="s">
        <v>11</v>
      </c>
      <c r="J464" s="2">
        <v>46212</v>
      </c>
      <c r="K464" s="1">
        <v>3.4722222222222224E-2</v>
      </c>
      <c r="L464" s="10">
        <f t="shared" si="92"/>
        <v>10.000000000000004</v>
      </c>
      <c r="M464" s="1" t="str">
        <f t="shared" si="91"/>
        <v>On Time</v>
      </c>
      <c r="N464" s="27" t="str">
        <f t="shared" si="93"/>
        <v>airBaltic</v>
      </c>
      <c r="O464" s="3" t="s">
        <v>1385</v>
      </c>
      <c r="P464" s="20">
        <f t="shared" si="94"/>
        <v>0</v>
      </c>
      <c r="Q464" s="3" t="s">
        <v>1385</v>
      </c>
      <c r="R464" s="23" t="str">
        <f t="shared" si="95"/>
        <v>Thursday</v>
      </c>
      <c r="S464" s="3" t="s">
        <v>1385</v>
      </c>
      <c r="T464" s="23" t="s">
        <v>7</v>
      </c>
      <c r="U464" s="3" t="s">
        <v>1385</v>
      </c>
      <c r="AO464" s="15"/>
      <c r="AP464" s="15"/>
      <c r="AQ464" s="15"/>
      <c r="AR464" s="23"/>
      <c r="AS464" s="15"/>
      <c r="AT464" s="15"/>
      <c r="AU464" s="23"/>
      <c r="AV464" s="23"/>
    </row>
    <row r="465" spans="1:48" x14ac:dyDescent="0.25">
      <c r="A465" t="s">
        <v>32</v>
      </c>
      <c r="B465" t="s">
        <v>13</v>
      </c>
      <c r="C465" s="10">
        <v>-11</v>
      </c>
      <c r="D465" t="s">
        <v>750</v>
      </c>
      <c r="E465" s="2">
        <f t="shared" si="98"/>
        <v>46212</v>
      </c>
      <c r="F465" s="3">
        <f t="shared" si="96"/>
        <v>5.7638888888888885E-2</v>
      </c>
      <c r="G465" t="s">
        <v>34</v>
      </c>
      <c r="H465" t="s">
        <v>35</v>
      </c>
      <c r="I465" t="s">
        <v>17</v>
      </c>
      <c r="J465" s="2">
        <v>46212</v>
      </c>
      <c r="K465" s="1">
        <v>5.5555555555555552E-2</v>
      </c>
      <c r="L465" s="10">
        <f t="shared" si="92"/>
        <v>-2.9999999999999991</v>
      </c>
      <c r="M465" s="1" t="str">
        <f t="shared" si="91"/>
        <v>On Time</v>
      </c>
      <c r="N465" s="27" t="str">
        <f t="shared" si="93"/>
        <v>Wizz Air</v>
      </c>
      <c r="O465" s="3" t="s">
        <v>1385</v>
      </c>
      <c r="P465" s="20">
        <f t="shared" si="94"/>
        <v>1</v>
      </c>
      <c r="Q465" s="3" t="s">
        <v>1385</v>
      </c>
      <c r="R465" s="23" t="str">
        <f t="shared" si="95"/>
        <v>Thursday</v>
      </c>
      <c r="S465" s="3" t="s">
        <v>1385</v>
      </c>
      <c r="T465" s="23" t="s">
        <v>13</v>
      </c>
      <c r="U465" s="3" t="s">
        <v>1385</v>
      </c>
      <c r="AO465" s="15"/>
      <c r="AP465" s="15"/>
      <c r="AQ465" s="15"/>
      <c r="AR465" s="23"/>
      <c r="AS465" s="15"/>
      <c r="AT465" s="15"/>
      <c r="AU465" s="23"/>
      <c r="AV465" s="23"/>
    </row>
    <row r="466" spans="1:48" x14ac:dyDescent="0.25">
      <c r="A466" t="s">
        <v>36</v>
      </c>
      <c r="B466" t="s">
        <v>7</v>
      </c>
      <c r="C466" s="10">
        <v>-14</v>
      </c>
      <c r="D466" t="s">
        <v>751</v>
      </c>
      <c r="E466" s="2">
        <f t="shared" si="98"/>
        <v>46212</v>
      </c>
      <c r="F466" s="3">
        <f t="shared" si="96"/>
        <v>6.25E-2</v>
      </c>
      <c r="G466" t="s">
        <v>38</v>
      </c>
      <c r="H466" t="s">
        <v>39</v>
      </c>
      <c r="I466" t="s">
        <v>11</v>
      </c>
      <c r="J466" s="2">
        <v>46212</v>
      </c>
      <c r="K466" s="1">
        <v>5.9027777777777783E-2</v>
      </c>
      <c r="L466" s="10">
        <f t="shared" si="92"/>
        <v>-4.999999999999992</v>
      </c>
      <c r="M466" s="1" t="str">
        <f t="shared" si="91"/>
        <v>On Time</v>
      </c>
      <c r="N466" s="27" t="str">
        <f t="shared" si="93"/>
        <v>airBaltic</v>
      </c>
      <c r="O466" s="3" t="s">
        <v>1385</v>
      </c>
      <c r="P466" s="20">
        <f t="shared" si="94"/>
        <v>1</v>
      </c>
      <c r="Q466" s="3" t="s">
        <v>1385</v>
      </c>
      <c r="R466" s="23" t="str">
        <f t="shared" si="95"/>
        <v>Thursday</v>
      </c>
      <c r="S466" s="3" t="s">
        <v>1385</v>
      </c>
      <c r="T466" s="23" t="s">
        <v>7</v>
      </c>
      <c r="U466" s="3" t="s">
        <v>1385</v>
      </c>
      <c r="AO466" s="15"/>
      <c r="AP466" s="15"/>
      <c r="AQ466" s="15"/>
      <c r="AR466" s="23"/>
      <c r="AS466" s="15"/>
      <c r="AT466" s="15"/>
      <c r="AU466" s="23"/>
      <c r="AV466" s="23"/>
    </row>
    <row r="467" spans="1:48" x14ac:dyDescent="0.25">
      <c r="A467" t="s">
        <v>40</v>
      </c>
      <c r="B467" t="s">
        <v>555</v>
      </c>
      <c r="C467" s="10">
        <v>-7</v>
      </c>
      <c r="D467" t="s">
        <v>752</v>
      </c>
      <c r="E467" s="2">
        <f t="shared" si="98"/>
        <v>46212</v>
      </c>
      <c r="F467" s="3">
        <f t="shared" si="96"/>
        <v>5.0694444444444452E-2</v>
      </c>
      <c r="G467" t="s">
        <v>43</v>
      </c>
      <c r="H467" t="s">
        <v>44</v>
      </c>
      <c r="I467" t="s">
        <v>557</v>
      </c>
      <c r="J467" s="2">
        <v>46212</v>
      </c>
      <c r="K467" s="1">
        <v>5.9027777777777783E-2</v>
      </c>
      <c r="L467" s="10">
        <f t="shared" si="92"/>
        <v>11.999999999999996</v>
      </c>
      <c r="M467" s="1" t="str">
        <f t="shared" ref="M467:M530" si="99">IF(L467&gt;=-15, "On Time", "Delayed")</f>
        <v>On Time</v>
      </c>
      <c r="N467" s="27" t="e">
        <f t="shared" si="93"/>
        <v>#N/A</v>
      </c>
      <c r="O467" s="3" t="s">
        <v>1385</v>
      </c>
      <c r="P467" s="20">
        <f t="shared" si="94"/>
        <v>1</v>
      </c>
      <c r="Q467" s="3" t="s">
        <v>1385</v>
      </c>
      <c r="R467" s="23" t="str">
        <f t="shared" si="95"/>
        <v>Thursday</v>
      </c>
      <c r="S467" s="3" t="s">
        <v>1385</v>
      </c>
      <c r="T467" s="23" t="s">
        <v>555</v>
      </c>
      <c r="U467" s="3" t="s">
        <v>1385</v>
      </c>
      <c r="AO467" s="15"/>
      <c r="AP467" s="15"/>
      <c r="AQ467" s="15"/>
      <c r="AR467" s="23"/>
      <c r="AS467" s="15"/>
      <c r="AT467" s="15"/>
      <c r="AU467" s="23"/>
      <c r="AV467" s="23"/>
    </row>
    <row r="468" spans="1:48" x14ac:dyDescent="0.25">
      <c r="A468" t="s">
        <v>54</v>
      </c>
      <c r="B468" t="s">
        <v>55</v>
      </c>
      <c r="C468" s="10">
        <v>-10</v>
      </c>
      <c r="D468" t="s">
        <v>753</v>
      </c>
      <c r="E468" s="2">
        <f t="shared" si="98"/>
        <v>46212</v>
      </c>
      <c r="F468" s="3">
        <f t="shared" si="96"/>
        <v>0.3215277777777778</v>
      </c>
      <c r="G468" t="s">
        <v>57</v>
      </c>
      <c r="H468" t="s">
        <v>58</v>
      </c>
      <c r="I468" t="s">
        <v>59</v>
      </c>
      <c r="J468" s="2">
        <v>46212</v>
      </c>
      <c r="K468" s="1">
        <v>0.32013888888888892</v>
      </c>
      <c r="L468" s="10">
        <f t="shared" si="92"/>
        <v>-1.9999999999999929</v>
      </c>
      <c r="M468" s="1" t="str">
        <f t="shared" si="99"/>
        <v>On Time</v>
      </c>
      <c r="N468" s="27" t="e">
        <f t="shared" si="93"/>
        <v>#N/A</v>
      </c>
      <c r="O468" s="3" t="s">
        <v>1385</v>
      </c>
      <c r="P468" s="20">
        <f t="shared" si="94"/>
        <v>7</v>
      </c>
      <c r="Q468" s="3" t="s">
        <v>1385</v>
      </c>
      <c r="R468" s="23" t="str">
        <f t="shared" si="95"/>
        <v>Thursday</v>
      </c>
      <c r="S468" s="3" t="s">
        <v>1385</v>
      </c>
      <c r="T468" s="23" t="s">
        <v>55</v>
      </c>
      <c r="U468" s="3" t="s">
        <v>1385</v>
      </c>
      <c r="AO468" s="15"/>
      <c r="AP468" s="15"/>
      <c r="AQ468" s="15"/>
      <c r="AR468" s="23"/>
      <c r="AS468" s="15"/>
      <c r="AT468" s="15"/>
      <c r="AU468" s="23"/>
      <c r="AV468" s="23"/>
    </row>
    <row r="469" spans="1:48" x14ac:dyDescent="0.25">
      <c r="A469" t="s">
        <v>400</v>
      </c>
      <c r="B469" t="s">
        <v>7</v>
      </c>
      <c r="D469" t="s">
        <v>754</v>
      </c>
      <c r="E469" s="2">
        <f t="shared" si="98"/>
        <v>46212</v>
      </c>
      <c r="F469" s="3">
        <f t="shared" si="96"/>
        <v>0.33888888888888885</v>
      </c>
      <c r="G469" t="s">
        <v>9</v>
      </c>
      <c r="H469" t="s">
        <v>10</v>
      </c>
      <c r="I469" t="s">
        <v>11</v>
      </c>
      <c r="J469" s="2">
        <v>46212</v>
      </c>
      <c r="K469" s="1">
        <v>0.3215277777777778</v>
      </c>
      <c r="L469" s="10">
        <f t="shared" si="92"/>
        <v>-24.999999999999911</v>
      </c>
      <c r="M469" s="1" t="str">
        <f t="shared" si="99"/>
        <v>Delayed</v>
      </c>
      <c r="N469" s="27" t="str">
        <f t="shared" si="93"/>
        <v>airBaltic</v>
      </c>
      <c r="O469" s="3" t="s">
        <v>1318</v>
      </c>
      <c r="P469" s="20">
        <f t="shared" si="94"/>
        <v>8</v>
      </c>
      <c r="Q469" s="3" t="s">
        <v>1318</v>
      </c>
      <c r="R469" s="23" t="str">
        <f t="shared" si="95"/>
        <v>Thursday</v>
      </c>
      <c r="S469" s="3" t="s">
        <v>1318</v>
      </c>
      <c r="T469" s="23" t="s">
        <v>7</v>
      </c>
      <c r="U469" s="3" t="s">
        <v>1318</v>
      </c>
      <c r="AO469" s="15"/>
      <c r="AP469" s="15"/>
      <c r="AQ469" s="15"/>
      <c r="AR469" s="23"/>
      <c r="AS469" s="15"/>
      <c r="AT469" s="15"/>
      <c r="AU469" s="23"/>
      <c r="AV469" s="23"/>
    </row>
    <row r="470" spans="1:48" x14ac:dyDescent="0.25">
      <c r="A470" t="s">
        <v>60</v>
      </c>
      <c r="B470" t="s">
        <v>7</v>
      </c>
      <c r="C470" s="10">
        <v>-8</v>
      </c>
      <c r="D470" t="s">
        <v>755</v>
      </c>
      <c r="E470" s="2">
        <f t="shared" si="98"/>
        <v>46212</v>
      </c>
      <c r="F470" s="3">
        <f t="shared" si="96"/>
        <v>0.35347222222222219</v>
      </c>
      <c r="G470" t="s">
        <v>9</v>
      </c>
      <c r="H470" t="s">
        <v>10</v>
      </c>
      <c r="I470" t="s">
        <v>11</v>
      </c>
      <c r="J470" s="2">
        <v>46212</v>
      </c>
      <c r="K470" s="1">
        <v>0.3611111111111111</v>
      </c>
      <c r="L470" s="10">
        <f t="shared" si="92"/>
        <v>11.000000000000041</v>
      </c>
      <c r="M470" s="1" t="str">
        <f t="shared" si="99"/>
        <v>On Time</v>
      </c>
      <c r="N470" s="27" t="str">
        <f t="shared" si="93"/>
        <v>airBaltic</v>
      </c>
      <c r="O470" s="3" t="s">
        <v>1385</v>
      </c>
      <c r="P470" s="20">
        <f t="shared" si="94"/>
        <v>8</v>
      </c>
      <c r="Q470" s="3" t="s">
        <v>1385</v>
      </c>
      <c r="R470" s="23" t="str">
        <f t="shared" si="95"/>
        <v>Thursday</v>
      </c>
      <c r="S470" s="3" t="s">
        <v>1385</v>
      </c>
      <c r="T470" s="23" t="s">
        <v>7</v>
      </c>
      <c r="U470" s="3" t="s">
        <v>1385</v>
      </c>
      <c r="AO470" s="15"/>
      <c r="AP470" s="15"/>
      <c r="AQ470" s="15"/>
      <c r="AR470" s="23"/>
      <c r="AS470" s="15"/>
      <c r="AT470" s="15"/>
      <c r="AU470" s="23"/>
      <c r="AV470" s="23"/>
    </row>
    <row r="471" spans="1:48" x14ac:dyDescent="0.25">
      <c r="A471" t="s">
        <v>78</v>
      </c>
      <c r="B471" t="s">
        <v>756</v>
      </c>
      <c r="C471" s="10">
        <v>-28</v>
      </c>
      <c r="D471" t="s">
        <v>757</v>
      </c>
      <c r="E471" s="2">
        <f t="shared" si="98"/>
        <v>46212</v>
      </c>
      <c r="F471" s="3">
        <f t="shared" si="96"/>
        <v>0.48819444444444443</v>
      </c>
      <c r="G471" t="s">
        <v>81</v>
      </c>
      <c r="H471" t="s">
        <v>82</v>
      </c>
      <c r="I471" t="s">
        <v>83</v>
      </c>
      <c r="J471" s="2">
        <v>46212</v>
      </c>
      <c r="K471" s="1">
        <v>0.36805555555555558</v>
      </c>
      <c r="L471" s="10">
        <f t="shared" si="92"/>
        <v>-172.99999999999994</v>
      </c>
      <c r="M471" s="1" t="str">
        <f t="shared" si="99"/>
        <v>Delayed</v>
      </c>
      <c r="N471" s="27" t="e">
        <f t="shared" si="93"/>
        <v>#N/A</v>
      </c>
      <c r="O471" s="3" t="s">
        <v>1318</v>
      </c>
      <c r="P471" s="20">
        <f t="shared" si="94"/>
        <v>11</v>
      </c>
      <c r="Q471" s="3" t="s">
        <v>1318</v>
      </c>
      <c r="R471" s="23" t="str">
        <f t="shared" si="95"/>
        <v>Thursday</v>
      </c>
      <c r="S471" s="3" t="s">
        <v>1318</v>
      </c>
      <c r="T471" s="23" t="s">
        <v>756</v>
      </c>
      <c r="U471" s="3" t="s">
        <v>1318</v>
      </c>
      <c r="AO471" s="15"/>
      <c r="AP471" s="15"/>
      <c r="AQ471" s="15"/>
      <c r="AR471" s="23"/>
      <c r="AS471" s="15"/>
      <c r="AT471" s="15"/>
      <c r="AU471" s="23"/>
      <c r="AV471" s="23"/>
    </row>
    <row r="472" spans="1:48" x14ac:dyDescent="0.25">
      <c r="A472" t="s">
        <v>62</v>
      </c>
      <c r="B472" t="s">
        <v>63</v>
      </c>
      <c r="C472" s="10">
        <v>-13</v>
      </c>
      <c r="D472" t="s">
        <v>411</v>
      </c>
      <c r="E472" s="2">
        <f t="shared" si="98"/>
        <v>46212</v>
      </c>
      <c r="F472" s="3">
        <f t="shared" si="96"/>
        <v>0.37986111111111115</v>
      </c>
      <c r="G472" t="s">
        <v>65</v>
      </c>
      <c r="H472" t="s">
        <v>66</v>
      </c>
      <c r="I472" t="s">
        <v>67</v>
      </c>
      <c r="J472" s="2">
        <v>46212</v>
      </c>
      <c r="K472" s="1">
        <v>0.37847222222222227</v>
      </c>
      <c r="L472" s="10">
        <f t="shared" si="92"/>
        <v>-1.9999999999999929</v>
      </c>
      <c r="M472" s="1" t="str">
        <f t="shared" si="99"/>
        <v>On Time</v>
      </c>
      <c r="N472" s="27" t="e">
        <f t="shared" si="93"/>
        <v>#N/A</v>
      </c>
      <c r="O472" s="3" t="s">
        <v>1385</v>
      </c>
      <c r="P472" s="20">
        <f t="shared" si="94"/>
        <v>9</v>
      </c>
      <c r="Q472" s="3" t="s">
        <v>1385</v>
      </c>
      <c r="R472" s="23" t="str">
        <f t="shared" si="95"/>
        <v>Thursday</v>
      </c>
      <c r="S472" s="3" t="s">
        <v>1385</v>
      </c>
      <c r="T472" s="23" t="s">
        <v>63</v>
      </c>
      <c r="U472" s="3" t="s">
        <v>1385</v>
      </c>
      <c r="AO472" s="15"/>
      <c r="AP472" s="15"/>
      <c r="AQ472" s="15"/>
      <c r="AR472" s="23"/>
      <c r="AS472" s="15"/>
      <c r="AT472" s="15"/>
      <c r="AU472" s="23"/>
      <c r="AV472" s="23"/>
    </row>
    <row r="473" spans="1:48" x14ac:dyDescent="0.25">
      <c r="A473" t="s">
        <v>68</v>
      </c>
      <c r="B473" t="s">
        <v>69</v>
      </c>
      <c r="C473" s="10">
        <v>-4</v>
      </c>
      <c r="D473" t="s">
        <v>573</v>
      </c>
      <c r="E473" s="2">
        <f t="shared" si="98"/>
        <v>46212</v>
      </c>
      <c r="F473" s="3">
        <f t="shared" si="96"/>
        <v>0.37916666666666665</v>
      </c>
      <c r="G473" t="s">
        <v>71</v>
      </c>
      <c r="H473" t="s">
        <v>72</v>
      </c>
      <c r="I473" t="s">
        <v>73</v>
      </c>
      <c r="J473" s="2">
        <v>46212</v>
      </c>
      <c r="K473" s="1">
        <v>0.3888888888888889</v>
      </c>
      <c r="L473" s="10">
        <f t="shared" si="92"/>
        <v>14.00000000000003</v>
      </c>
      <c r="M473" s="1" t="str">
        <f t="shared" si="99"/>
        <v>On Time</v>
      </c>
      <c r="N473" s="27" t="str">
        <f t="shared" si="93"/>
        <v>Finnair</v>
      </c>
      <c r="O473" s="3" t="s">
        <v>1385</v>
      </c>
      <c r="P473" s="20">
        <f t="shared" si="94"/>
        <v>9</v>
      </c>
      <c r="Q473" s="3" t="s">
        <v>1385</v>
      </c>
      <c r="R473" s="23" t="str">
        <f t="shared" si="95"/>
        <v>Thursday</v>
      </c>
      <c r="S473" s="3" t="s">
        <v>1385</v>
      </c>
      <c r="T473" s="23" t="s">
        <v>69</v>
      </c>
      <c r="U473" s="3" t="s">
        <v>1385</v>
      </c>
      <c r="AO473" s="15"/>
      <c r="AP473" s="15"/>
      <c r="AQ473" s="15"/>
      <c r="AR473" s="23"/>
      <c r="AS473" s="15"/>
      <c r="AT473" s="15"/>
      <c r="AU473" s="23"/>
      <c r="AV473" s="23"/>
    </row>
    <row r="474" spans="1:48" x14ac:dyDescent="0.25">
      <c r="A474" t="s">
        <v>74</v>
      </c>
      <c r="B474" t="s">
        <v>13</v>
      </c>
      <c r="C474" s="10">
        <v>2</v>
      </c>
      <c r="D474" t="s">
        <v>758</v>
      </c>
      <c r="E474" s="2">
        <f t="shared" si="98"/>
        <v>46212</v>
      </c>
      <c r="F474" s="3">
        <f t="shared" si="96"/>
        <v>0.36805555555555558</v>
      </c>
      <c r="G474" t="s">
        <v>76</v>
      </c>
      <c r="H474" t="s">
        <v>77</v>
      </c>
      <c r="I474" t="s">
        <v>17</v>
      </c>
      <c r="J474" s="2">
        <v>46212</v>
      </c>
      <c r="K474" s="1">
        <v>0.3888888888888889</v>
      </c>
      <c r="L474" s="10">
        <f t="shared" si="92"/>
        <v>29.999999999999972</v>
      </c>
      <c r="M474" s="1" t="str">
        <f t="shared" si="99"/>
        <v>On Time</v>
      </c>
      <c r="N474" s="27" t="str">
        <f t="shared" si="93"/>
        <v>Wizz Air</v>
      </c>
      <c r="O474" s="3" t="s">
        <v>1385</v>
      </c>
      <c r="P474" s="20">
        <f t="shared" si="94"/>
        <v>8</v>
      </c>
      <c r="Q474" s="3" t="s">
        <v>1385</v>
      </c>
      <c r="R474" s="23" t="str">
        <f t="shared" si="95"/>
        <v>Thursday</v>
      </c>
      <c r="S474" s="3" t="s">
        <v>1385</v>
      </c>
      <c r="T474" s="23" t="s">
        <v>13</v>
      </c>
      <c r="U474" s="3" t="s">
        <v>1385</v>
      </c>
      <c r="AO474" s="15"/>
      <c r="AP474" s="15"/>
      <c r="AQ474" s="15"/>
      <c r="AR474" s="23"/>
      <c r="AS474" s="15"/>
      <c r="AT474" s="15"/>
      <c r="AU474" s="23"/>
      <c r="AV474" s="23"/>
    </row>
    <row r="475" spans="1:48" x14ac:dyDescent="0.25">
      <c r="A475" t="s">
        <v>84</v>
      </c>
      <c r="B475" t="s">
        <v>85</v>
      </c>
      <c r="C475" s="10">
        <v>3</v>
      </c>
      <c r="D475" t="s">
        <v>759</v>
      </c>
      <c r="E475" s="2">
        <f t="shared" si="98"/>
        <v>46212</v>
      </c>
      <c r="F475" s="3">
        <f t="shared" si="96"/>
        <v>0.40277777777777773</v>
      </c>
      <c r="G475" t="s">
        <v>87</v>
      </c>
      <c r="H475" t="s">
        <v>88</v>
      </c>
      <c r="I475" t="s">
        <v>162</v>
      </c>
      <c r="J475" s="2">
        <v>46212</v>
      </c>
      <c r="K475" s="1">
        <v>0.41319444444444442</v>
      </c>
      <c r="L475" s="10">
        <f t="shared" si="92"/>
        <v>15.000000000000027</v>
      </c>
      <c r="M475" s="1" t="str">
        <f t="shared" si="99"/>
        <v>On Time</v>
      </c>
      <c r="N475" s="27" t="str">
        <f t="shared" si="93"/>
        <v>Ryanair</v>
      </c>
      <c r="O475" s="3" t="s">
        <v>1385</v>
      </c>
      <c r="P475" s="20">
        <f t="shared" si="94"/>
        <v>9</v>
      </c>
      <c r="Q475" s="3" t="s">
        <v>1385</v>
      </c>
      <c r="R475" s="23" t="str">
        <f t="shared" si="95"/>
        <v>Thursday</v>
      </c>
      <c r="S475" s="3" t="s">
        <v>1385</v>
      </c>
      <c r="T475" s="23" t="s">
        <v>85</v>
      </c>
      <c r="U475" s="3" t="s">
        <v>1385</v>
      </c>
      <c r="AO475" s="15"/>
      <c r="AP475" s="15"/>
      <c r="AQ475" s="15"/>
      <c r="AR475" s="23"/>
      <c r="AS475" s="15"/>
      <c r="AT475" s="15"/>
      <c r="AU475" s="23"/>
      <c r="AV475" s="23"/>
    </row>
    <row r="476" spans="1:48" x14ac:dyDescent="0.25">
      <c r="A476" t="s">
        <v>90</v>
      </c>
      <c r="B476" t="s">
        <v>19</v>
      </c>
      <c r="C476" s="10">
        <v>-34</v>
      </c>
      <c r="D476" t="s">
        <v>760</v>
      </c>
      <c r="E476" s="2">
        <f t="shared" si="98"/>
        <v>46212</v>
      </c>
      <c r="F476" s="3">
        <f t="shared" si="96"/>
        <v>0.4291666666666667</v>
      </c>
      <c r="G476" t="s">
        <v>21</v>
      </c>
      <c r="H476" t="s">
        <v>22</v>
      </c>
      <c r="I476" t="s">
        <v>237</v>
      </c>
      <c r="J476" s="2">
        <v>46212</v>
      </c>
      <c r="K476" s="1">
        <v>0.4201388888888889</v>
      </c>
      <c r="L476" s="10">
        <f t="shared" si="92"/>
        <v>-13.000000000000034</v>
      </c>
      <c r="M476" s="1" t="str">
        <f t="shared" si="99"/>
        <v>On Time</v>
      </c>
      <c r="N476" s="27" t="str">
        <f t="shared" si="93"/>
        <v>LOT</v>
      </c>
      <c r="O476" s="3" t="s">
        <v>1385</v>
      </c>
      <c r="P476" s="20">
        <f t="shared" si="94"/>
        <v>10</v>
      </c>
      <c r="Q476" s="3" t="s">
        <v>1385</v>
      </c>
      <c r="R476" s="23" t="str">
        <f t="shared" si="95"/>
        <v>Thursday</v>
      </c>
      <c r="S476" s="3" t="s">
        <v>1385</v>
      </c>
      <c r="T476" s="23" t="s">
        <v>19</v>
      </c>
      <c r="U476" s="3" t="s">
        <v>1385</v>
      </c>
      <c r="AO476" s="15"/>
      <c r="AP476" s="15"/>
      <c r="AQ476" s="15"/>
      <c r="AR476" s="23"/>
      <c r="AS476" s="15"/>
      <c r="AT476" s="15"/>
      <c r="AU476" s="23"/>
      <c r="AV476" s="23"/>
    </row>
    <row r="477" spans="1:48" x14ac:dyDescent="0.25">
      <c r="A477" t="s">
        <v>524</v>
      </c>
      <c r="B477" t="s">
        <v>761</v>
      </c>
      <c r="D477" t="s">
        <v>762</v>
      </c>
      <c r="E477" s="2">
        <f t="shared" si="98"/>
        <v>46212</v>
      </c>
      <c r="F477" s="3" t="e">
        <f t="shared" si="96"/>
        <v>#N/A</v>
      </c>
      <c r="G477" t="s">
        <v>98</v>
      </c>
      <c r="H477" t="s">
        <v>99</v>
      </c>
      <c r="I477" t="s">
        <v>763</v>
      </c>
      <c r="J477" s="2">
        <v>46212</v>
      </c>
      <c r="K477" s="1">
        <v>0.42638888888888887</v>
      </c>
      <c r="L477" s="10" t="e">
        <f t="shared" si="92"/>
        <v>#N/A</v>
      </c>
      <c r="M477" s="1" t="e">
        <f t="shared" si="99"/>
        <v>#N/A</v>
      </c>
      <c r="N477" s="27" t="e">
        <f t="shared" si="93"/>
        <v>#N/A</v>
      </c>
      <c r="O477" s="3" t="e">
        <v>#N/A</v>
      </c>
      <c r="P477" s="20" t="e">
        <f t="shared" si="94"/>
        <v>#N/A</v>
      </c>
      <c r="Q477" s="3" t="e">
        <v>#N/A</v>
      </c>
      <c r="R477" s="23" t="str">
        <f t="shared" si="95"/>
        <v>Thursday</v>
      </c>
      <c r="S477" s="3" t="e">
        <v>#N/A</v>
      </c>
      <c r="T477" s="23" t="s">
        <v>761</v>
      </c>
      <c r="AO477" s="15"/>
      <c r="AP477" s="15"/>
      <c r="AQ477" s="15"/>
      <c r="AR477" s="23"/>
      <c r="AS477" s="15"/>
      <c r="AT477" s="15"/>
      <c r="AU477" s="23"/>
      <c r="AV477" s="23"/>
    </row>
    <row r="478" spans="1:48" x14ac:dyDescent="0.25">
      <c r="A478" t="s">
        <v>78</v>
      </c>
      <c r="B478" t="s">
        <v>756</v>
      </c>
      <c r="C478" s="10">
        <v>-28</v>
      </c>
      <c r="D478" t="s">
        <v>242</v>
      </c>
      <c r="E478" s="2">
        <f t="shared" si="98"/>
        <v>46212</v>
      </c>
      <c r="F478" s="3" t="e">
        <f t="shared" si="96"/>
        <v>#N/A</v>
      </c>
      <c r="G478" t="s">
        <v>81</v>
      </c>
      <c r="H478" t="s">
        <v>82</v>
      </c>
      <c r="I478" t="s">
        <v>83</v>
      </c>
      <c r="J478" s="2">
        <v>46212</v>
      </c>
      <c r="K478" s="1">
        <v>0.42708333333333331</v>
      </c>
      <c r="L478" s="10" t="e">
        <f t="shared" si="92"/>
        <v>#N/A</v>
      </c>
      <c r="M478" s="1" t="e">
        <f t="shared" si="99"/>
        <v>#N/A</v>
      </c>
      <c r="N478" s="27" t="e">
        <f t="shared" si="93"/>
        <v>#N/A</v>
      </c>
      <c r="O478" s="3" t="e">
        <v>#N/A</v>
      </c>
      <c r="P478" s="20" t="e">
        <f t="shared" si="94"/>
        <v>#N/A</v>
      </c>
      <c r="Q478" s="3" t="e">
        <v>#N/A</v>
      </c>
      <c r="R478" s="23" t="str">
        <f t="shared" si="95"/>
        <v>Thursday</v>
      </c>
      <c r="S478" s="3" t="e">
        <v>#N/A</v>
      </c>
      <c r="T478" s="23" t="s">
        <v>756</v>
      </c>
      <c r="AO478" s="15"/>
      <c r="AP478" s="15"/>
      <c r="AQ478" s="15"/>
      <c r="AR478" s="23"/>
      <c r="AS478" s="15"/>
      <c r="AT478" s="15"/>
      <c r="AU478" s="23"/>
      <c r="AV478" s="23"/>
    </row>
    <row r="479" spans="1:48" x14ac:dyDescent="0.25">
      <c r="A479" t="s">
        <v>93</v>
      </c>
      <c r="B479" t="s">
        <v>7</v>
      </c>
      <c r="C479" s="10">
        <v>-70</v>
      </c>
      <c r="D479" t="s">
        <v>764</v>
      </c>
      <c r="E479" s="2">
        <f t="shared" si="98"/>
        <v>46212</v>
      </c>
      <c r="F479" s="3">
        <f t="shared" si="96"/>
        <v>0.48194444444444445</v>
      </c>
      <c r="G479" t="s">
        <v>76</v>
      </c>
      <c r="H479" t="s">
        <v>77</v>
      </c>
      <c r="I479" t="s">
        <v>11</v>
      </c>
      <c r="J479" s="2">
        <v>46212</v>
      </c>
      <c r="K479" s="1">
        <v>0.44791666666666669</v>
      </c>
      <c r="L479" s="10">
        <f t="shared" si="92"/>
        <v>-48.999999999999986</v>
      </c>
      <c r="M479" s="1" t="str">
        <f t="shared" si="99"/>
        <v>Delayed</v>
      </c>
      <c r="N479" s="27" t="str">
        <f t="shared" si="93"/>
        <v>airBaltic</v>
      </c>
      <c r="O479" s="3" t="s">
        <v>1318</v>
      </c>
      <c r="P479" s="20">
        <f t="shared" si="94"/>
        <v>11</v>
      </c>
      <c r="Q479" s="3" t="s">
        <v>1318</v>
      </c>
      <c r="R479" s="23" t="str">
        <f t="shared" si="95"/>
        <v>Thursday</v>
      </c>
      <c r="S479" s="3" t="s">
        <v>1318</v>
      </c>
      <c r="T479" s="23" t="s">
        <v>7</v>
      </c>
      <c r="U479" s="3" t="s">
        <v>1318</v>
      </c>
      <c r="AO479" s="15"/>
      <c r="AP479" s="15"/>
      <c r="AQ479" s="15"/>
      <c r="AR479" s="23"/>
      <c r="AS479" s="15"/>
      <c r="AT479" s="15"/>
      <c r="AU479" s="23"/>
      <c r="AV479" s="23"/>
    </row>
    <row r="480" spans="1:48" x14ac:dyDescent="0.25">
      <c r="A480" t="s">
        <v>95</v>
      </c>
      <c r="B480" t="s">
        <v>96</v>
      </c>
      <c r="C480" s="10">
        <v>-54</v>
      </c>
      <c r="D480" t="s">
        <v>765</v>
      </c>
      <c r="E480" s="2">
        <f t="shared" si="98"/>
        <v>46212</v>
      </c>
      <c r="F480" s="3">
        <f t="shared" si="96"/>
        <v>0.46319444444444446</v>
      </c>
      <c r="G480" t="s">
        <v>98</v>
      </c>
      <c r="H480" t="s">
        <v>99</v>
      </c>
      <c r="I480" t="s">
        <v>305</v>
      </c>
      <c r="J480" s="2">
        <v>46212</v>
      </c>
      <c r="K480" s="1">
        <v>0.44791666666666669</v>
      </c>
      <c r="L480" s="10">
        <f t="shared" si="92"/>
        <v>-22</v>
      </c>
      <c r="M480" s="1" t="str">
        <f t="shared" si="99"/>
        <v>Delayed</v>
      </c>
      <c r="N480" s="27" t="str">
        <f t="shared" si="93"/>
        <v>Turkish Airlines</v>
      </c>
      <c r="O480" s="3" t="s">
        <v>1318</v>
      </c>
      <c r="P480" s="20">
        <f t="shared" si="94"/>
        <v>11</v>
      </c>
      <c r="Q480" s="3" t="s">
        <v>1318</v>
      </c>
      <c r="R480" s="23" t="str">
        <f t="shared" si="95"/>
        <v>Thursday</v>
      </c>
      <c r="S480" s="3" t="s">
        <v>1318</v>
      </c>
      <c r="T480" s="23" t="s">
        <v>96</v>
      </c>
      <c r="U480" s="3" t="s">
        <v>1318</v>
      </c>
      <c r="AO480" s="15"/>
      <c r="AP480" s="15"/>
      <c r="AQ480" s="15"/>
      <c r="AR480" s="23"/>
      <c r="AS480" s="15"/>
      <c r="AT480" s="15"/>
      <c r="AU480" s="23"/>
      <c r="AV480" s="23"/>
    </row>
    <row r="481" spans="1:48" x14ac:dyDescent="0.25">
      <c r="A481" t="s">
        <v>100</v>
      </c>
      <c r="B481" t="s">
        <v>85</v>
      </c>
      <c r="C481" s="10">
        <v>-14</v>
      </c>
      <c r="D481" t="s">
        <v>311</v>
      </c>
      <c r="E481" s="2">
        <f t="shared" si="98"/>
        <v>46212</v>
      </c>
      <c r="F481" s="3">
        <f t="shared" si="96"/>
        <v>0.49722222222222223</v>
      </c>
      <c r="G481" t="s">
        <v>102</v>
      </c>
      <c r="H481" t="s">
        <v>103</v>
      </c>
      <c r="I481" t="s">
        <v>89</v>
      </c>
      <c r="J481" s="2">
        <v>46212</v>
      </c>
      <c r="K481" s="1">
        <v>0.5</v>
      </c>
      <c r="L481" s="10">
        <f t="shared" si="92"/>
        <v>3.9999999999999858</v>
      </c>
      <c r="M481" s="1" t="str">
        <f t="shared" si="99"/>
        <v>On Time</v>
      </c>
      <c r="N481" s="27" t="str">
        <f t="shared" si="93"/>
        <v>Ryanair</v>
      </c>
      <c r="O481" s="3" t="s">
        <v>1385</v>
      </c>
      <c r="P481" s="20">
        <f t="shared" si="94"/>
        <v>11</v>
      </c>
      <c r="Q481" s="3" t="s">
        <v>1385</v>
      </c>
      <c r="R481" s="23" t="str">
        <f t="shared" si="95"/>
        <v>Thursday</v>
      </c>
      <c r="S481" s="3" t="s">
        <v>1385</v>
      </c>
      <c r="T481" s="23" t="s">
        <v>85</v>
      </c>
      <c r="U481" s="3" t="s">
        <v>1385</v>
      </c>
      <c r="AO481" s="15"/>
      <c r="AP481" s="15"/>
      <c r="AQ481" s="15"/>
      <c r="AR481" s="23"/>
      <c r="AS481" s="15"/>
      <c r="AT481" s="15"/>
      <c r="AU481" s="23"/>
      <c r="AV481" s="23"/>
    </row>
    <row r="482" spans="1:48" x14ac:dyDescent="0.25">
      <c r="A482" t="s">
        <v>104</v>
      </c>
      <c r="B482" t="s">
        <v>85</v>
      </c>
      <c r="C482" s="10">
        <v>-3</v>
      </c>
      <c r="D482" t="s">
        <v>502</v>
      </c>
      <c r="E482" s="2">
        <f t="shared" si="98"/>
        <v>46212</v>
      </c>
      <c r="F482" s="3">
        <f t="shared" si="96"/>
        <v>0.51111111111111118</v>
      </c>
      <c r="G482" t="s">
        <v>106</v>
      </c>
      <c r="H482" t="s">
        <v>107</v>
      </c>
      <c r="I482" t="s">
        <v>89</v>
      </c>
      <c r="J482" s="2">
        <v>46212</v>
      </c>
      <c r="K482" s="1">
        <v>0.52430555555555558</v>
      </c>
      <c r="L482" s="10">
        <f t="shared" si="92"/>
        <v>18.999999999999932</v>
      </c>
      <c r="M482" s="1" t="str">
        <f t="shared" si="99"/>
        <v>On Time</v>
      </c>
      <c r="N482" s="27" t="str">
        <f t="shared" si="93"/>
        <v>Ryanair</v>
      </c>
      <c r="O482" s="3" t="s">
        <v>1385</v>
      </c>
      <c r="P482" s="20">
        <f t="shared" si="94"/>
        <v>12</v>
      </c>
      <c r="Q482" s="3" t="s">
        <v>1385</v>
      </c>
      <c r="R482" s="23" t="str">
        <f t="shared" si="95"/>
        <v>Thursday</v>
      </c>
      <c r="S482" s="3" t="s">
        <v>1385</v>
      </c>
      <c r="T482" s="23" t="s">
        <v>85</v>
      </c>
      <c r="U482" s="3" t="s">
        <v>1385</v>
      </c>
      <c r="AO482" s="15"/>
      <c r="AP482" s="15"/>
      <c r="AQ482" s="15"/>
      <c r="AR482" s="23"/>
      <c r="AS482" s="15"/>
      <c r="AT482" s="15"/>
      <c r="AU482" s="23"/>
      <c r="AV482" s="23"/>
    </row>
    <row r="483" spans="1:48" x14ac:dyDescent="0.25">
      <c r="A483" t="s">
        <v>108</v>
      </c>
      <c r="B483" t="s">
        <v>190</v>
      </c>
      <c r="C483" s="10">
        <v>-7</v>
      </c>
      <c r="D483" t="s">
        <v>766</v>
      </c>
      <c r="E483" s="2">
        <f t="shared" si="98"/>
        <v>46212</v>
      </c>
      <c r="F483" s="3">
        <f t="shared" si="96"/>
        <v>0.52083333333333337</v>
      </c>
      <c r="G483" t="s">
        <v>110</v>
      </c>
      <c r="H483" t="s">
        <v>111</v>
      </c>
      <c r="I483" t="s">
        <v>210</v>
      </c>
      <c r="J483" s="2">
        <v>46212</v>
      </c>
      <c r="K483" s="1">
        <v>0.52777777777777779</v>
      </c>
      <c r="L483" s="10">
        <f t="shared" si="92"/>
        <v>9.9999999999999645</v>
      </c>
      <c r="M483" s="1" t="str">
        <f t="shared" si="99"/>
        <v>On Time</v>
      </c>
      <c r="N483" s="27" t="str">
        <f t="shared" si="93"/>
        <v>Lufthansa</v>
      </c>
      <c r="O483" s="3" t="s">
        <v>1385</v>
      </c>
      <c r="P483" s="20">
        <f t="shared" si="94"/>
        <v>12</v>
      </c>
      <c r="Q483" s="3" t="s">
        <v>1385</v>
      </c>
      <c r="R483" s="23" t="str">
        <f t="shared" si="95"/>
        <v>Thursday</v>
      </c>
      <c r="S483" s="3" t="s">
        <v>1385</v>
      </c>
      <c r="T483" s="23" t="s">
        <v>190</v>
      </c>
      <c r="U483" s="3" t="s">
        <v>1385</v>
      </c>
      <c r="AO483" s="15"/>
      <c r="AP483" s="15"/>
      <c r="AQ483" s="15"/>
      <c r="AR483" s="23"/>
      <c r="AS483" s="15"/>
      <c r="AT483" s="15"/>
      <c r="AU483" s="23"/>
      <c r="AV483" s="23"/>
    </row>
    <row r="484" spans="1:48" x14ac:dyDescent="0.25">
      <c r="A484" t="s">
        <v>113</v>
      </c>
      <c r="B484" t="s">
        <v>13</v>
      </c>
      <c r="C484" s="10">
        <v>-16</v>
      </c>
      <c r="D484" t="s">
        <v>767</v>
      </c>
      <c r="E484" s="2">
        <f t="shared" si="98"/>
        <v>46212</v>
      </c>
      <c r="F484" s="3">
        <f t="shared" si="96"/>
        <v>0.52708333333333335</v>
      </c>
      <c r="G484" t="s">
        <v>102</v>
      </c>
      <c r="H484" t="s">
        <v>115</v>
      </c>
      <c r="I484" t="s">
        <v>17</v>
      </c>
      <c r="J484" s="2">
        <v>46212</v>
      </c>
      <c r="K484" s="1">
        <v>0.53472222222222221</v>
      </c>
      <c r="L484" s="10">
        <f t="shared" si="92"/>
        <v>10.999999999999961</v>
      </c>
      <c r="M484" s="1" t="str">
        <f t="shared" si="99"/>
        <v>On Time</v>
      </c>
      <c r="N484" s="27" t="str">
        <f t="shared" si="93"/>
        <v>Wizz Air</v>
      </c>
      <c r="O484" s="3" t="s">
        <v>1385</v>
      </c>
      <c r="P484" s="20">
        <f t="shared" si="94"/>
        <v>12</v>
      </c>
      <c r="Q484" s="3" t="s">
        <v>1385</v>
      </c>
      <c r="R484" s="23" t="str">
        <f t="shared" si="95"/>
        <v>Thursday</v>
      </c>
      <c r="S484" s="3" t="s">
        <v>1385</v>
      </c>
      <c r="T484" s="23" t="s">
        <v>13</v>
      </c>
      <c r="U484" s="3" t="s">
        <v>1385</v>
      </c>
      <c r="AO484" s="15"/>
      <c r="AP484" s="15"/>
      <c r="AQ484" s="15"/>
      <c r="AR484" s="23"/>
      <c r="AS484" s="15"/>
      <c r="AT484" s="15"/>
      <c r="AU484" s="23"/>
      <c r="AV484" s="23"/>
    </row>
    <row r="485" spans="1:48" x14ac:dyDescent="0.25">
      <c r="A485" t="s">
        <v>121</v>
      </c>
      <c r="B485" t="s">
        <v>69</v>
      </c>
      <c r="C485" s="10">
        <v>-19</v>
      </c>
      <c r="D485" t="s">
        <v>768</v>
      </c>
      <c r="E485" s="2">
        <f t="shared" si="98"/>
        <v>46212</v>
      </c>
      <c r="F485" s="3">
        <f t="shared" si="96"/>
        <v>0.52500000000000002</v>
      </c>
      <c r="G485" t="s">
        <v>71</v>
      </c>
      <c r="H485" t="s">
        <v>72</v>
      </c>
      <c r="I485" t="s">
        <v>295</v>
      </c>
      <c r="J485" s="2">
        <v>46212</v>
      </c>
      <c r="K485" s="1">
        <v>0.54166666666666663</v>
      </c>
      <c r="L485" s="10">
        <f t="shared" si="92"/>
        <v>23.999999999999915</v>
      </c>
      <c r="M485" s="1" t="str">
        <f t="shared" si="99"/>
        <v>On Time</v>
      </c>
      <c r="N485" s="27" t="str">
        <f t="shared" si="93"/>
        <v>Finnair</v>
      </c>
      <c r="O485" s="3" t="s">
        <v>1385</v>
      </c>
      <c r="P485" s="20">
        <f t="shared" si="94"/>
        <v>12</v>
      </c>
      <c r="Q485" s="3" t="s">
        <v>1385</v>
      </c>
      <c r="R485" s="23" t="str">
        <f t="shared" si="95"/>
        <v>Thursday</v>
      </c>
      <c r="S485" s="3" t="s">
        <v>1385</v>
      </c>
      <c r="T485" s="23" t="s">
        <v>69</v>
      </c>
      <c r="U485" s="3" t="s">
        <v>1385</v>
      </c>
      <c r="AO485" s="15"/>
      <c r="AP485" s="15"/>
      <c r="AQ485" s="15"/>
      <c r="AR485" s="23"/>
      <c r="AS485" s="15"/>
      <c r="AT485" s="15"/>
      <c r="AU485" s="23"/>
      <c r="AV485" s="23"/>
    </row>
    <row r="486" spans="1:48" x14ac:dyDescent="0.25">
      <c r="A486" t="s">
        <v>116</v>
      </c>
      <c r="B486" t="s">
        <v>117</v>
      </c>
      <c r="C486" s="10">
        <v>-25</v>
      </c>
      <c r="D486" t="s">
        <v>711</v>
      </c>
      <c r="E486" s="2">
        <f t="shared" si="98"/>
        <v>46212</v>
      </c>
      <c r="F486" s="3">
        <f t="shared" si="96"/>
        <v>0.54791666666666672</v>
      </c>
      <c r="G486" t="s">
        <v>119</v>
      </c>
      <c r="H486" t="s">
        <v>120</v>
      </c>
      <c r="I486" t="s">
        <v>83</v>
      </c>
      <c r="J486" s="2">
        <v>46212</v>
      </c>
      <c r="K486" s="1">
        <v>0.54513888888888895</v>
      </c>
      <c r="L486" s="10">
        <f t="shared" si="92"/>
        <v>-3.9999999999999858</v>
      </c>
      <c r="M486" s="1" t="str">
        <f t="shared" si="99"/>
        <v>On Time</v>
      </c>
      <c r="N486" s="27" t="str">
        <f t="shared" si="93"/>
        <v>Heston Airlines</v>
      </c>
      <c r="O486" s="3" t="s">
        <v>1385</v>
      </c>
      <c r="P486" s="20">
        <f t="shared" si="94"/>
        <v>13</v>
      </c>
      <c r="Q486" s="3" t="s">
        <v>1385</v>
      </c>
      <c r="R486" s="23" t="str">
        <f t="shared" si="95"/>
        <v>Thursday</v>
      </c>
      <c r="S486" s="3" t="s">
        <v>1385</v>
      </c>
      <c r="T486" s="23" t="s">
        <v>117</v>
      </c>
      <c r="U486" s="3" t="s">
        <v>1385</v>
      </c>
      <c r="AO486" s="15"/>
      <c r="AP486" s="15"/>
      <c r="AQ486" s="15"/>
      <c r="AR486" s="23"/>
      <c r="AS486" s="15"/>
      <c r="AT486" s="15"/>
      <c r="AU486" s="23"/>
      <c r="AV486" s="23"/>
    </row>
    <row r="487" spans="1:48" x14ac:dyDescent="0.25">
      <c r="A487" t="s">
        <v>123</v>
      </c>
      <c r="B487" t="s">
        <v>124</v>
      </c>
      <c r="D487" t="s">
        <v>589</v>
      </c>
      <c r="E487" s="2">
        <f t="shared" si="98"/>
        <v>46212</v>
      </c>
      <c r="F487" s="3">
        <f t="shared" si="96"/>
        <v>0.55138888888888882</v>
      </c>
      <c r="G487" t="s">
        <v>119</v>
      </c>
      <c r="H487" t="s">
        <v>120</v>
      </c>
      <c r="I487" t="s">
        <v>249</v>
      </c>
      <c r="J487" s="2">
        <v>46212</v>
      </c>
      <c r="K487" s="1">
        <v>0.55486111111111114</v>
      </c>
      <c r="L487" s="10">
        <f t="shared" si="92"/>
        <v>5.0000000000001421</v>
      </c>
      <c r="M487" s="1" t="str">
        <f t="shared" si="99"/>
        <v>On Time</v>
      </c>
      <c r="N487" s="27" t="str">
        <f t="shared" si="93"/>
        <v>GetJet Airlines</v>
      </c>
      <c r="O487" s="3" t="s">
        <v>1385</v>
      </c>
      <c r="P487" s="20">
        <f t="shared" si="94"/>
        <v>13</v>
      </c>
      <c r="Q487" s="3" t="s">
        <v>1385</v>
      </c>
      <c r="R487" s="23" t="str">
        <f t="shared" si="95"/>
        <v>Thursday</v>
      </c>
      <c r="S487" s="3" t="s">
        <v>1385</v>
      </c>
      <c r="T487" s="23" t="s">
        <v>124</v>
      </c>
      <c r="U487" s="3" t="s">
        <v>1385</v>
      </c>
      <c r="AO487" s="15"/>
      <c r="AP487" s="15"/>
      <c r="AQ487" s="15"/>
      <c r="AR487" s="23"/>
      <c r="AS487" s="15"/>
      <c r="AT487" s="15"/>
      <c r="AU487" s="23"/>
      <c r="AV487" s="23"/>
    </row>
    <row r="488" spans="1:48" x14ac:dyDescent="0.25">
      <c r="A488" t="s">
        <v>127</v>
      </c>
      <c r="B488" t="s">
        <v>85</v>
      </c>
      <c r="C488" s="10">
        <v>7</v>
      </c>
      <c r="D488" t="s">
        <v>320</v>
      </c>
      <c r="E488" s="2">
        <f t="shared" si="98"/>
        <v>46212</v>
      </c>
      <c r="F488" s="3">
        <f t="shared" si="96"/>
        <v>0.54722222222222217</v>
      </c>
      <c r="G488" t="s">
        <v>129</v>
      </c>
      <c r="H488" t="s">
        <v>130</v>
      </c>
      <c r="I488" t="s">
        <v>89</v>
      </c>
      <c r="J488" s="2">
        <v>46212</v>
      </c>
      <c r="K488" s="1">
        <v>0.55555555555555558</v>
      </c>
      <c r="L488" s="10">
        <f t="shared" si="92"/>
        <v>12.000000000000117</v>
      </c>
      <c r="M488" s="1" t="str">
        <f t="shared" si="99"/>
        <v>On Time</v>
      </c>
      <c r="N488" s="27" t="str">
        <f t="shared" si="93"/>
        <v>Ryanair</v>
      </c>
      <c r="O488" s="3" t="s">
        <v>1385</v>
      </c>
      <c r="P488" s="20">
        <f t="shared" si="94"/>
        <v>13</v>
      </c>
      <c r="Q488" s="3" t="s">
        <v>1385</v>
      </c>
      <c r="R488" s="23" t="str">
        <f t="shared" si="95"/>
        <v>Thursday</v>
      </c>
      <c r="S488" s="3" t="s">
        <v>1385</v>
      </c>
      <c r="T488" s="23" t="s">
        <v>85</v>
      </c>
      <c r="U488" s="3" t="s">
        <v>1385</v>
      </c>
      <c r="AO488" s="15"/>
      <c r="AP488" s="15"/>
      <c r="AQ488" s="15"/>
      <c r="AR488" s="23"/>
      <c r="AS488" s="15"/>
      <c r="AT488" s="15"/>
      <c r="AU488" s="23"/>
      <c r="AV488" s="23"/>
    </row>
    <row r="489" spans="1:48" x14ac:dyDescent="0.25">
      <c r="A489" t="s">
        <v>131</v>
      </c>
      <c r="B489" t="s">
        <v>7</v>
      </c>
      <c r="C489" s="10">
        <v>-12</v>
      </c>
      <c r="D489" t="s">
        <v>769</v>
      </c>
      <c r="E489" s="2">
        <f t="shared" si="98"/>
        <v>46212</v>
      </c>
      <c r="F489" s="3">
        <f t="shared" si="96"/>
        <v>0.55347222222222225</v>
      </c>
      <c r="G489" t="s">
        <v>38</v>
      </c>
      <c r="H489" t="s">
        <v>39</v>
      </c>
      <c r="I489" t="s">
        <v>11</v>
      </c>
      <c r="J489" s="2">
        <v>46212</v>
      </c>
      <c r="K489" s="1">
        <v>0.55902777777777779</v>
      </c>
      <c r="L489" s="10">
        <f t="shared" si="92"/>
        <v>7.9999999999999716</v>
      </c>
      <c r="M489" s="1" t="str">
        <f t="shared" si="99"/>
        <v>On Time</v>
      </c>
      <c r="N489" s="27" t="str">
        <f t="shared" si="93"/>
        <v>airBaltic</v>
      </c>
      <c r="O489" s="3" t="s">
        <v>1385</v>
      </c>
      <c r="P489" s="20">
        <f t="shared" si="94"/>
        <v>13</v>
      </c>
      <c r="Q489" s="3" t="s">
        <v>1385</v>
      </c>
      <c r="R489" s="23" t="str">
        <f t="shared" si="95"/>
        <v>Thursday</v>
      </c>
      <c r="S489" s="3" t="s">
        <v>1385</v>
      </c>
      <c r="T489" s="23" t="s">
        <v>7</v>
      </c>
      <c r="U489" s="3" t="s">
        <v>1385</v>
      </c>
      <c r="AO489" s="15"/>
      <c r="AP489" s="15"/>
      <c r="AQ489" s="15"/>
      <c r="AR489" s="23"/>
      <c r="AS489" s="15"/>
      <c r="AT489" s="15"/>
      <c r="AU489" s="23"/>
      <c r="AV489" s="23"/>
    </row>
    <row r="490" spans="1:48" x14ac:dyDescent="0.25">
      <c r="A490" t="s">
        <v>133</v>
      </c>
      <c r="B490" t="s">
        <v>7</v>
      </c>
      <c r="C490" s="10">
        <v>-29</v>
      </c>
      <c r="D490" t="s">
        <v>770</v>
      </c>
      <c r="E490" s="2">
        <f t="shared" si="98"/>
        <v>46212</v>
      </c>
      <c r="F490" s="3">
        <f t="shared" si="96"/>
        <v>0.56458333333333333</v>
      </c>
      <c r="G490" t="s">
        <v>135</v>
      </c>
      <c r="H490" t="s">
        <v>136</v>
      </c>
      <c r="I490" t="s">
        <v>11</v>
      </c>
      <c r="J490" s="2">
        <v>46212</v>
      </c>
      <c r="K490" s="1">
        <v>0.55902777777777779</v>
      </c>
      <c r="L490" s="10">
        <f t="shared" si="92"/>
        <v>-7.9999999999999716</v>
      </c>
      <c r="M490" s="1" t="str">
        <f t="shared" si="99"/>
        <v>On Time</v>
      </c>
      <c r="N490" s="27" t="str">
        <f t="shared" si="93"/>
        <v>airBaltic</v>
      </c>
      <c r="O490" s="3" t="s">
        <v>1385</v>
      </c>
      <c r="P490" s="20">
        <f t="shared" si="94"/>
        <v>13</v>
      </c>
      <c r="Q490" s="3" t="s">
        <v>1385</v>
      </c>
      <c r="R490" s="23" t="str">
        <f t="shared" si="95"/>
        <v>Thursday</v>
      </c>
      <c r="S490" s="3" t="s">
        <v>1385</v>
      </c>
      <c r="T490" s="23" t="s">
        <v>7</v>
      </c>
      <c r="U490" s="3" t="s">
        <v>1385</v>
      </c>
      <c r="AO490" s="15"/>
      <c r="AP490" s="15"/>
      <c r="AQ490" s="15"/>
      <c r="AR490" s="23"/>
      <c r="AS490" s="15"/>
      <c r="AT490" s="15"/>
      <c r="AU490" s="23"/>
      <c r="AV490" s="23"/>
    </row>
    <row r="491" spans="1:48" x14ac:dyDescent="0.25">
      <c r="A491" t="s">
        <v>123</v>
      </c>
      <c r="B491" t="s">
        <v>124</v>
      </c>
      <c r="D491" t="s">
        <v>771</v>
      </c>
      <c r="E491" s="2">
        <f t="shared" si="98"/>
        <v>46212</v>
      </c>
      <c r="F491" s="3">
        <f t="shared" si="96"/>
        <v>0.57222222222222219</v>
      </c>
      <c r="G491" t="s">
        <v>138</v>
      </c>
      <c r="H491" t="s">
        <v>139</v>
      </c>
      <c r="I491" t="s">
        <v>126</v>
      </c>
      <c r="J491" s="2">
        <v>46212</v>
      </c>
      <c r="K491" s="1">
        <v>0.57291666666666663</v>
      </c>
      <c r="L491" s="10">
        <f t="shared" si="92"/>
        <v>0.99999999999999645</v>
      </c>
      <c r="M491" s="1" t="str">
        <f t="shared" si="99"/>
        <v>On Time</v>
      </c>
      <c r="N491" s="27" t="str">
        <f t="shared" si="93"/>
        <v>GetJet Airlines</v>
      </c>
      <c r="O491" s="3" t="s">
        <v>1385</v>
      </c>
      <c r="P491" s="20">
        <f t="shared" si="94"/>
        <v>13</v>
      </c>
      <c r="Q491" s="3" t="s">
        <v>1385</v>
      </c>
      <c r="R491" s="23" t="str">
        <f t="shared" si="95"/>
        <v>Thursday</v>
      </c>
      <c r="S491" s="3" t="s">
        <v>1385</v>
      </c>
      <c r="T491" s="23" t="s">
        <v>124</v>
      </c>
      <c r="U491" s="3" t="s">
        <v>1385</v>
      </c>
      <c r="AO491" s="15"/>
      <c r="AP491" s="15"/>
      <c r="AQ491" s="15"/>
      <c r="AR491" s="23"/>
      <c r="AS491" s="15"/>
      <c r="AT491" s="15"/>
      <c r="AU491" s="23"/>
      <c r="AV491" s="23"/>
    </row>
    <row r="492" spans="1:48" x14ac:dyDescent="0.25">
      <c r="A492" t="s">
        <v>141</v>
      </c>
      <c r="B492" t="s">
        <v>19</v>
      </c>
      <c r="C492" s="10">
        <v>-12</v>
      </c>
      <c r="D492" t="s">
        <v>654</v>
      </c>
      <c r="E492" s="2">
        <f t="shared" si="98"/>
        <v>46212</v>
      </c>
      <c r="F492" s="3">
        <f t="shared" si="96"/>
        <v>0.57291666666666663</v>
      </c>
      <c r="G492" t="s">
        <v>21</v>
      </c>
      <c r="H492" t="s">
        <v>22</v>
      </c>
      <c r="I492" t="s">
        <v>237</v>
      </c>
      <c r="J492" s="2">
        <v>46212</v>
      </c>
      <c r="K492" s="1">
        <v>0.57638888888888895</v>
      </c>
      <c r="L492" s="10">
        <f t="shared" si="92"/>
        <v>5.0000000000001421</v>
      </c>
      <c r="M492" s="1" t="str">
        <f t="shared" si="99"/>
        <v>On Time</v>
      </c>
      <c r="N492" s="27" t="str">
        <f t="shared" si="93"/>
        <v>LOT</v>
      </c>
      <c r="O492" s="3" t="s">
        <v>1385</v>
      </c>
      <c r="P492" s="20">
        <f t="shared" si="94"/>
        <v>13</v>
      </c>
      <c r="Q492" s="3" t="s">
        <v>1385</v>
      </c>
      <c r="R492" s="23" t="str">
        <f t="shared" si="95"/>
        <v>Thursday</v>
      </c>
      <c r="S492" s="3" t="s">
        <v>1385</v>
      </c>
      <c r="T492" s="23" t="s">
        <v>19</v>
      </c>
      <c r="U492" s="3" t="s">
        <v>1385</v>
      </c>
      <c r="AO492" s="15"/>
      <c r="AP492" s="15"/>
      <c r="AQ492" s="15"/>
      <c r="AR492" s="23"/>
      <c r="AS492" s="15"/>
      <c r="AT492" s="15"/>
      <c r="AU492" s="23"/>
      <c r="AV492" s="23"/>
    </row>
    <row r="493" spans="1:48" x14ac:dyDescent="0.25">
      <c r="A493" t="s">
        <v>144</v>
      </c>
      <c r="B493" t="s">
        <v>13</v>
      </c>
      <c r="C493" s="10">
        <v>-22</v>
      </c>
      <c r="D493" t="s">
        <v>772</v>
      </c>
      <c r="E493" s="2">
        <f t="shared" si="98"/>
        <v>46212</v>
      </c>
      <c r="F493" s="3">
        <f t="shared" si="96"/>
        <v>0.59444444444444444</v>
      </c>
      <c r="G493" t="s">
        <v>146</v>
      </c>
      <c r="H493" t="s">
        <v>147</v>
      </c>
      <c r="I493" t="s">
        <v>17</v>
      </c>
      <c r="J493" s="2">
        <v>46212</v>
      </c>
      <c r="K493" s="1">
        <v>0.59027777777777779</v>
      </c>
      <c r="L493" s="10">
        <f t="shared" si="92"/>
        <v>-5.9999999999999787</v>
      </c>
      <c r="M493" s="1" t="str">
        <f t="shared" si="99"/>
        <v>On Time</v>
      </c>
      <c r="N493" s="27" t="str">
        <f t="shared" si="93"/>
        <v>Wizz Air</v>
      </c>
      <c r="O493" s="3" t="s">
        <v>1385</v>
      </c>
      <c r="P493" s="20">
        <f t="shared" si="94"/>
        <v>14</v>
      </c>
      <c r="Q493" s="3" t="s">
        <v>1385</v>
      </c>
      <c r="R493" s="23" t="str">
        <f t="shared" si="95"/>
        <v>Thursday</v>
      </c>
      <c r="S493" s="3" t="s">
        <v>1385</v>
      </c>
      <c r="T493" s="23" t="s">
        <v>13</v>
      </c>
      <c r="U493" s="3" t="s">
        <v>1385</v>
      </c>
      <c r="AO493" s="15"/>
      <c r="AP493" s="15"/>
      <c r="AQ493" s="15"/>
      <c r="AR493" s="23"/>
      <c r="AS493" s="15"/>
      <c r="AT493" s="15"/>
      <c r="AU493" s="23"/>
      <c r="AV493" s="23"/>
    </row>
    <row r="494" spans="1:48" x14ac:dyDescent="0.25">
      <c r="A494" t="s">
        <v>148</v>
      </c>
      <c r="B494" t="s">
        <v>7</v>
      </c>
      <c r="C494" s="10">
        <v>-6</v>
      </c>
      <c r="D494" t="s">
        <v>773</v>
      </c>
      <c r="E494" s="2">
        <f t="shared" si="98"/>
        <v>46212</v>
      </c>
      <c r="F494" s="3">
        <f t="shared" si="96"/>
        <v>0.6</v>
      </c>
      <c r="G494" t="s">
        <v>9</v>
      </c>
      <c r="H494" t="s">
        <v>10</v>
      </c>
      <c r="I494" t="s">
        <v>11</v>
      </c>
      <c r="J494" s="2">
        <v>46212</v>
      </c>
      <c r="K494" s="1">
        <v>0.60763888888888895</v>
      </c>
      <c r="L494" s="10">
        <f t="shared" si="92"/>
        <v>11.000000000000121</v>
      </c>
      <c r="M494" s="1" t="str">
        <f t="shared" si="99"/>
        <v>On Time</v>
      </c>
      <c r="N494" s="27" t="str">
        <f t="shared" si="93"/>
        <v>airBaltic</v>
      </c>
      <c r="O494" s="3" t="s">
        <v>1385</v>
      </c>
      <c r="P494" s="20">
        <f t="shared" si="94"/>
        <v>14</v>
      </c>
      <c r="Q494" s="3" t="s">
        <v>1385</v>
      </c>
      <c r="R494" s="23" t="str">
        <f t="shared" si="95"/>
        <v>Thursday</v>
      </c>
      <c r="S494" s="3" t="s">
        <v>1385</v>
      </c>
      <c r="T494" s="23" t="s">
        <v>7</v>
      </c>
      <c r="U494" s="3" t="s">
        <v>1385</v>
      </c>
      <c r="AO494" s="15"/>
      <c r="AP494" s="15"/>
      <c r="AQ494" s="15"/>
      <c r="AR494" s="23"/>
      <c r="AS494" s="15"/>
      <c r="AT494" s="15"/>
      <c r="AU494" s="23"/>
      <c r="AV494" s="23"/>
    </row>
    <row r="495" spans="1:48" x14ac:dyDescent="0.25">
      <c r="A495" t="s">
        <v>150</v>
      </c>
      <c r="B495" t="s">
        <v>151</v>
      </c>
      <c r="C495" s="10">
        <v>-51</v>
      </c>
      <c r="D495" t="s">
        <v>774</v>
      </c>
      <c r="E495" s="2">
        <f t="shared" si="98"/>
        <v>46212</v>
      </c>
      <c r="F495" s="3">
        <f t="shared" si="96"/>
        <v>0.64652777777777781</v>
      </c>
      <c r="G495" t="s">
        <v>153</v>
      </c>
      <c r="H495" t="s">
        <v>154</v>
      </c>
      <c r="I495" t="s">
        <v>775</v>
      </c>
      <c r="J495" s="2">
        <v>46212</v>
      </c>
      <c r="K495" s="1">
        <v>0.62847222222222221</v>
      </c>
      <c r="L495" s="10">
        <f t="shared" si="92"/>
        <v>-26.000000000000068</v>
      </c>
      <c r="M495" s="1" t="str">
        <f t="shared" si="99"/>
        <v>Delayed</v>
      </c>
      <c r="N495" s="27" t="e">
        <f t="shared" si="93"/>
        <v>#N/A</v>
      </c>
      <c r="O495" s="3" t="s">
        <v>1318</v>
      </c>
      <c r="P495" s="20">
        <f t="shared" si="94"/>
        <v>15</v>
      </c>
      <c r="Q495" s="3" t="s">
        <v>1318</v>
      </c>
      <c r="R495" s="23" t="str">
        <f t="shared" si="95"/>
        <v>Thursday</v>
      </c>
      <c r="S495" s="3" t="s">
        <v>1318</v>
      </c>
      <c r="T495" s="23" t="s">
        <v>151</v>
      </c>
      <c r="U495" s="3" t="s">
        <v>1318</v>
      </c>
      <c r="AO495" s="15"/>
      <c r="AP495" s="15"/>
      <c r="AQ495" s="15"/>
      <c r="AR495" s="23"/>
      <c r="AS495" s="15"/>
      <c r="AT495" s="15"/>
      <c r="AU495" s="23"/>
      <c r="AV495" s="23"/>
    </row>
    <row r="496" spans="1:48" x14ac:dyDescent="0.25">
      <c r="A496" t="s">
        <v>156</v>
      </c>
      <c r="B496" t="s">
        <v>555</v>
      </c>
      <c r="C496" s="10">
        <v>-14</v>
      </c>
      <c r="D496" t="s">
        <v>776</v>
      </c>
      <c r="E496" s="2">
        <f t="shared" si="98"/>
        <v>46212</v>
      </c>
      <c r="F496" s="3">
        <f t="shared" si="96"/>
        <v>0.63402777777777775</v>
      </c>
      <c r="G496" t="s">
        <v>43</v>
      </c>
      <c r="H496" t="s">
        <v>44</v>
      </c>
      <c r="I496" t="s">
        <v>557</v>
      </c>
      <c r="J496" s="2">
        <v>46212</v>
      </c>
      <c r="K496" s="1">
        <v>0.63541666666666663</v>
      </c>
      <c r="L496" s="10">
        <f t="shared" si="92"/>
        <v>1.9999999999999929</v>
      </c>
      <c r="M496" s="1" t="str">
        <f t="shared" si="99"/>
        <v>On Time</v>
      </c>
      <c r="N496" s="27" t="e">
        <f t="shared" si="93"/>
        <v>#N/A</v>
      </c>
      <c r="O496" s="3" t="s">
        <v>1385</v>
      </c>
      <c r="P496" s="20">
        <f t="shared" si="94"/>
        <v>15</v>
      </c>
      <c r="Q496" s="3" t="s">
        <v>1385</v>
      </c>
      <c r="R496" s="23" t="str">
        <f t="shared" si="95"/>
        <v>Thursday</v>
      </c>
      <c r="S496" s="3" t="s">
        <v>1385</v>
      </c>
      <c r="T496" s="23" t="s">
        <v>555</v>
      </c>
      <c r="U496" s="3" t="s">
        <v>1385</v>
      </c>
      <c r="AO496" s="15"/>
      <c r="AP496" s="15"/>
      <c r="AQ496" s="15"/>
      <c r="AR496" s="23"/>
      <c r="AS496" s="15"/>
      <c r="AT496" s="15"/>
      <c r="AU496" s="23"/>
      <c r="AV496" s="23"/>
    </row>
    <row r="497" spans="1:48" x14ac:dyDescent="0.25">
      <c r="A497" t="s">
        <v>159</v>
      </c>
      <c r="B497" t="s">
        <v>85</v>
      </c>
      <c r="C497" s="10">
        <v>-11</v>
      </c>
      <c r="D497" t="s">
        <v>663</v>
      </c>
      <c r="E497" s="2">
        <f t="shared" si="98"/>
        <v>46212</v>
      </c>
      <c r="F497" s="3">
        <f t="shared" si="96"/>
        <v>0.6430555555555556</v>
      </c>
      <c r="G497" t="s">
        <v>34</v>
      </c>
      <c r="H497" t="s">
        <v>161</v>
      </c>
      <c r="I497" t="s">
        <v>162</v>
      </c>
      <c r="J497" s="2">
        <v>46212</v>
      </c>
      <c r="K497" s="1">
        <v>0.64583333333333337</v>
      </c>
      <c r="L497" s="10">
        <f t="shared" si="92"/>
        <v>3.9999999999999858</v>
      </c>
      <c r="M497" s="1" t="str">
        <f t="shared" si="99"/>
        <v>On Time</v>
      </c>
      <c r="N497" s="27" t="str">
        <f t="shared" si="93"/>
        <v>Ryanair</v>
      </c>
      <c r="O497" s="3" t="s">
        <v>1385</v>
      </c>
      <c r="P497" s="20">
        <f t="shared" si="94"/>
        <v>15</v>
      </c>
      <c r="Q497" s="3" t="s">
        <v>1385</v>
      </c>
      <c r="R497" s="23" t="str">
        <f t="shared" si="95"/>
        <v>Thursday</v>
      </c>
      <c r="S497" s="3" t="s">
        <v>1385</v>
      </c>
      <c r="T497" s="23" t="s">
        <v>85</v>
      </c>
      <c r="U497" s="3" t="s">
        <v>1385</v>
      </c>
      <c r="AO497" s="15"/>
      <c r="AP497" s="15"/>
      <c r="AQ497" s="15"/>
      <c r="AR497" s="23"/>
      <c r="AS497" s="15"/>
      <c r="AT497" s="15"/>
      <c r="AU497" s="23"/>
      <c r="AV497" s="23"/>
    </row>
    <row r="498" spans="1:48" x14ac:dyDescent="0.25">
      <c r="A498" t="s">
        <v>163</v>
      </c>
      <c r="B498" t="s">
        <v>13</v>
      </c>
      <c r="C498" s="10">
        <v>-19</v>
      </c>
      <c r="D498" t="s">
        <v>777</v>
      </c>
      <c r="E498" s="2">
        <f t="shared" si="98"/>
        <v>46212</v>
      </c>
      <c r="F498" s="3">
        <f t="shared" si="96"/>
        <v>0.64097222222222217</v>
      </c>
      <c r="G498" t="s">
        <v>165</v>
      </c>
      <c r="H498" t="s">
        <v>166</v>
      </c>
      <c r="I498" t="s">
        <v>17</v>
      </c>
      <c r="J498" s="2">
        <v>46212</v>
      </c>
      <c r="K498" s="1">
        <v>0.64583333333333337</v>
      </c>
      <c r="L498" s="10">
        <f t="shared" si="92"/>
        <v>7.000000000000135</v>
      </c>
      <c r="M498" s="1" t="str">
        <f t="shared" si="99"/>
        <v>On Time</v>
      </c>
      <c r="N498" s="27" t="str">
        <f t="shared" si="93"/>
        <v>Wizz Air</v>
      </c>
      <c r="O498" s="3" t="s">
        <v>1385</v>
      </c>
      <c r="P498" s="20">
        <f t="shared" si="94"/>
        <v>15</v>
      </c>
      <c r="Q498" s="3" t="s">
        <v>1385</v>
      </c>
      <c r="R498" s="23" t="str">
        <f t="shared" si="95"/>
        <v>Thursday</v>
      </c>
      <c r="S498" s="3" t="s">
        <v>1385</v>
      </c>
      <c r="T498" s="23" t="s">
        <v>13</v>
      </c>
      <c r="U498" s="3" t="s">
        <v>1385</v>
      </c>
      <c r="AO498" s="15"/>
      <c r="AP498" s="15"/>
      <c r="AQ498" s="15"/>
      <c r="AR498" s="23"/>
      <c r="AS498" s="15"/>
      <c r="AT498" s="15"/>
      <c r="AU498" s="23"/>
      <c r="AV498" s="23"/>
    </row>
    <row r="499" spans="1:48" x14ac:dyDescent="0.25">
      <c r="A499" t="s">
        <v>167</v>
      </c>
      <c r="B499" t="s">
        <v>7</v>
      </c>
      <c r="C499" s="10">
        <v>-51</v>
      </c>
      <c r="D499" t="s">
        <v>778</v>
      </c>
      <c r="E499" s="2">
        <f t="shared" si="98"/>
        <v>46212</v>
      </c>
      <c r="F499" s="3">
        <f t="shared" si="96"/>
        <v>0.69027777777777777</v>
      </c>
      <c r="G499" t="s">
        <v>169</v>
      </c>
      <c r="H499" t="s">
        <v>170</v>
      </c>
      <c r="I499" t="s">
        <v>11</v>
      </c>
      <c r="J499" s="2">
        <v>46212</v>
      </c>
      <c r="K499" s="1">
        <v>0.66666666666666663</v>
      </c>
      <c r="L499" s="10">
        <f t="shared" si="92"/>
        <v>-34.000000000000043</v>
      </c>
      <c r="M499" s="1" t="str">
        <f t="shared" si="99"/>
        <v>Delayed</v>
      </c>
      <c r="N499" s="27" t="str">
        <f t="shared" si="93"/>
        <v>airBaltic</v>
      </c>
      <c r="O499" s="3" t="s">
        <v>1318</v>
      </c>
      <c r="P499" s="20">
        <f t="shared" si="94"/>
        <v>16</v>
      </c>
      <c r="Q499" s="3" t="s">
        <v>1318</v>
      </c>
      <c r="R499" s="23" t="str">
        <f t="shared" si="95"/>
        <v>Thursday</v>
      </c>
      <c r="S499" s="3" t="s">
        <v>1318</v>
      </c>
      <c r="T499" s="23" t="s">
        <v>7</v>
      </c>
      <c r="U499" s="3" t="s">
        <v>1318</v>
      </c>
      <c r="AO499" s="15"/>
      <c r="AP499" s="15"/>
      <c r="AQ499" s="15"/>
      <c r="AR499" s="23"/>
      <c r="AS499" s="15"/>
      <c r="AT499" s="15"/>
      <c r="AU499" s="23"/>
      <c r="AV499" s="23"/>
    </row>
    <row r="500" spans="1:48" x14ac:dyDescent="0.25">
      <c r="A500" t="s">
        <v>779</v>
      </c>
      <c r="B500" t="s">
        <v>780</v>
      </c>
      <c r="C500" s="10">
        <v>-61</v>
      </c>
      <c r="D500" t="s">
        <v>781</v>
      </c>
      <c r="E500" s="2">
        <f t="shared" si="98"/>
        <v>46212</v>
      </c>
      <c r="F500" s="3">
        <f t="shared" si="96"/>
        <v>0.70972222222222225</v>
      </c>
      <c r="G500" t="s">
        <v>263</v>
      </c>
      <c r="H500" t="s">
        <v>782</v>
      </c>
      <c r="I500" t="s">
        <v>783</v>
      </c>
      <c r="J500" s="2">
        <v>46212</v>
      </c>
      <c r="K500" s="1">
        <v>0.67291666666666661</v>
      </c>
      <c r="L500" s="10">
        <f t="shared" si="92"/>
        <v>-53.000000000000128</v>
      </c>
      <c r="M500" s="1" t="str">
        <f t="shared" si="99"/>
        <v>Delayed</v>
      </c>
      <c r="N500" s="27" t="e">
        <f t="shared" si="93"/>
        <v>#N/A</v>
      </c>
      <c r="O500" s="3" t="s">
        <v>1318</v>
      </c>
      <c r="P500" s="20">
        <f t="shared" si="94"/>
        <v>17</v>
      </c>
      <c r="Q500" s="3" t="s">
        <v>1318</v>
      </c>
      <c r="R500" s="23" t="str">
        <f t="shared" si="95"/>
        <v>Thursday</v>
      </c>
      <c r="S500" s="3" t="s">
        <v>1318</v>
      </c>
      <c r="T500" s="23" t="s">
        <v>780</v>
      </c>
      <c r="U500" s="3" t="s">
        <v>1318</v>
      </c>
      <c r="AO500" s="15"/>
      <c r="AP500" s="15"/>
      <c r="AQ500" s="15"/>
      <c r="AR500" s="23"/>
      <c r="AS500" s="15"/>
      <c r="AT500" s="15"/>
      <c r="AU500" s="23"/>
      <c r="AV500" s="23"/>
    </row>
    <row r="501" spans="1:48" x14ac:dyDescent="0.25">
      <c r="A501" t="s">
        <v>175</v>
      </c>
      <c r="B501" t="s">
        <v>19</v>
      </c>
      <c r="C501" s="10">
        <v>-34</v>
      </c>
      <c r="D501" t="s">
        <v>784</v>
      </c>
      <c r="E501" s="2">
        <f t="shared" si="98"/>
        <v>46212</v>
      </c>
      <c r="F501" s="3">
        <f t="shared" si="96"/>
        <v>0.71180555555555547</v>
      </c>
      <c r="G501" t="s">
        <v>21</v>
      </c>
      <c r="H501" t="s">
        <v>22</v>
      </c>
      <c r="I501" t="s">
        <v>188</v>
      </c>
      <c r="J501" s="2">
        <v>46212</v>
      </c>
      <c r="K501" s="1">
        <v>0.68055555555555547</v>
      </c>
      <c r="L501" s="10">
        <f t="shared" si="92"/>
        <v>-45</v>
      </c>
      <c r="M501" s="1" t="str">
        <f t="shared" si="99"/>
        <v>Delayed</v>
      </c>
      <c r="N501" s="27" t="str">
        <f t="shared" si="93"/>
        <v>LOT</v>
      </c>
      <c r="O501" s="3" t="s">
        <v>1318</v>
      </c>
      <c r="P501" s="20">
        <f t="shared" si="94"/>
        <v>17</v>
      </c>
      <c r="Q501" s="3" t="s">
        <v>1318</v>
      </c>
      <c r="R501" s="23" t="str">
        <f t="shared" si="95"/>
        <v>Thursday</v>
      </c>
      <c r="S501" s="3" t="s">
        <v>1318</v>
      </c>
      <c r="T501" s="23" t="s">
        <v>19</v>
      </c>
      <c r="U501" s="3" t="s">
        <v>1318</v>
      </c>
      <c r="AO501" s="15"/>
      <c r="AP501" s="15"/>
      <c r="AQ501" s="15"/>
      <c r="AR501" s="23"/>
      <c r="AS501" s="15"/>
      <c r="AT501" s="15"/>
      <c r="AU501" s="23"/>
      <c r="AV501" s="23"/>
    </row>
    <row r="502" spans="1:48" x14ac:dyDescent="0.25">
      <c r="A502" t="s">
        <v>178</v>
      </c>
      <c r="B502" t="s">
        <v>85</v>
      </c>
      <c r="C502" s="10">
        <v>-5</v>
      </c>
      <c r="D502" t="s">
        <v>785</v>
      </c>
      <c r="E502" s="2">
        <f t="shared" si="98"/>
        <v>46212</v>
      </c>
      <c r="F502" s="3">
        <f t="shared" si="96"/>
        <v>0.70000000000000007</v>
      </c>
      <c r="G502" t="s">
        <v>180</v>
      </c>
      <c r="H502" t="s">
        <v>181</v>
      </c>
      <c r="I502" t="s">
        <v>89</v>
      </c>
      <c r="J502" s="2">
        <v>46212</v>
      </c>
      <c r="K502" s="1">
        <v>0.71180555555555547</v>
      </c>
      <c r="L502" s="10">
        <f t="shared" si="92"/>
        <v>16.99999999999978</v>
      </c>
      <c r="M502" s="1" t="str">
        <f t="shared" si="99"/>
        <v>On Time</v>
      </c>
      <c r="N502" s="27" t="str">
        <f t="shared" si="93"/>
        <v>Ryanair</v>
      </c>
      <c r="O502" s="3" t="s">
        <v>1385</v>
      </c>
      <c r="P502" s="20">
        <f t="shared" si="94"/>
        <v>16</v>
      </c>
      <c r="Q502" s="3" t="s">
        <v>1385</v>
      </c>
      <c r="R502" s="23" t="str">
        <f t="shared" si="95"/>
        <v>Thursday</v>
      </c>
      <c r="S502" s="3" t="s">
        <v>1385</v>
      </c>
      <c r="T502" s="23" t="s">
        <v>85</v>
      </c>
      <c r="U502" s="3" t="s">
        <v>1385</v>
      </c>
      <c r="AO502" s="15"/>
      <c r="AP502" s="15"/>
      <c r="AQ502" s="15"/>
      <c r="AR502" s="23"/>
      <c r="AS502" s="15"/>
      <c r="AT502" s="15"/>
      <c r="AU502" s="23"/>
      <c r="AV502" s="23"/>
    </row>
    <row r="503" spans="1:48" x14ac:dyDescent="0.25">
      <c r="A503" t="s">
        <v>182</v>
      </c>
      <c r="B503" t="s">
        <v>69</v>
      </c>
      <c r="C503" s="10">
        <v>-68</v>
      </c>
      <c r="D503" t="s">
        <v>786</v>
      </c>
      <c r="E503" s="2">
        <f t="shared" si="98"/>
        <v>46212</v>
      </c>
      <c r="F503" s="3">
        <f t="shared" si="96"/>
        <v>0.78333333333333333</v>
      </c>
      <c r="G503" t="s">
        <v>71</v>
      </c>
      <c r="H503" t="s">
        <v>72</v>
      </c>
      <c r="I503" t="s">
        <v>73</v>
      </c>
      <c r="J503" s="2">
        <v>46212</v>
      </c>
      <c r="K503" s="1">
        <v>0.74652777777777779</v>
      </c>
      <c r="L503" s="10">
        <f t="shared" si="92"/>
        <v>-52.999999999999972</v>
      </c>
      <c r="M503" s="1" t="str">
        <f t="shared" si="99"/>
        <v>Delayed</v>
      </c>
      <c r="N503" s="27" t="str">
        <f t="shared" si="93"/>
        <v>Finnair</v>
      </c>
      <c r="O503" s="3" t="s">
        <v>1318</v>
      </c>
      <c r="P503" s="20">
        <f t="shared" si="94"/>
        <v>18</v>
      </c>
      <c r="Q503" s="3" t="s">
        <v>1318</v>
      </c>
      <c r="R503" s="23" t="str">
        <f t="shared" si="95"/>
        <v>Thursday</v>
      </c>
      <c r="S503" s="3" t="s">
        <v>1318</v>
      </c>
      <c r="T503" s="23" t="s">
        <v>69</v>
      </c>
      <c r="U503" s="3" t="s">
        <v>1318</v>
      </c>
      <c r="AO503" s="15"/>
      <c r="AP503" s="15"/>
      <c r="AQ503" s="15"/>
      <c r="AR503" s="23"/>
      <c r="AS503" s="15"/>
      <c r="AT503" s="15"/>
      <c r="AU503" s="23"/>
      <c r="AV503" s="23"/>
    </row>
    <row r="504" spans="1:48" x14ac:dyDescent="0.25">
      <c r="A504" t="s">
        <v>184</v>
      </c>
      <c r="B504" t="s">
        <v>85</v>
      </c>
      <c r="C504" s="10">
        <v>-8</v>
      </c>
      <c r="D504" t="s">
        <v>787</v>
      </c>
      <c r="E504" s="2">
        <f t="shared" si="98"/>
        <v>46212</v>
      </c>
      <c r="F504" s="3">
        <f t="shared" si="96"/>
        <v>0.75763888888888886</v>
      </c>
      <c r="G504" t="s">
        <v>153</v>
      </c>
      <c r="H504" t="s">
        <v>154</v>
      </c>
      <c r="I504" t="s">
        <v>89</v>
      </c>
      <c r="J504" s="2">
        <v>46212</v>
      </c>
      <c r="K504" s="1">
        <v>0.77083333333333337</v>
      </c>
      <c r="L504" s="10">
        <f t="shared" si="92"/>
        <v>19.000000000000092</v>
      </c>
      <c r="M504" s="1" t="str">
        <f t="shared" si="99"/>
        <v>On Time</v>
      </c>
      <c r="N504" s="27" t="str">
        <f t="shared" si="93"/>
        <v>Ryanair</v>
      </c>
      <c r="O504" s="3" t="s">
        <v>1385</v>
      </c>
      <c r="P504" s="20">
        <f t="shared" si="94"/>
        <v>18</v>
      </c>
      <c r="Q504" s="3" t="s">
        <v>1385</v>
      </c>
      <c r="R504" s="23" t="str">
        <f t="shared" si="95"/>
        <v>Thursday</v>
      </c>
      <c r="S504" s="3" t="s">
        <v>1385</v>
      </c>
      <c r="T504" s="23" t="s">
        <v>85</v>
      </c>
      <c r="U504" s="3" t="s">
        <v>1385</v>
      </c>
      <c r="AO504" s="15"/>
      <c r="AP504" s="15"/>
      <c r="AQ504" s="15"/>
      <c r="AR504" s="23"/>
      <c r="AS504" s="15"/>
      <c r="AT504" s="15"/>
      <c r="AU504" s="23"/>
      <c r="AV504" s="23"/>
    </row>
    <row r="505" spans="1:48" x14ac:dyDescent="0.25">
      <c r="A505" t="s">
        <v>186</v>
      </c>
      <c r="B505" t="s">
        <v>19</v>
      </c>
      <c r="C505" s="10">
        <v>-22</v>
      </c>
      <c r="D505" t="s">
        <v>365</v>
      </c>
      <c r="E505" s="2">
        <f t="shared" si="98"/>
        <v>46212</v>
      </c>
      <c r="F505" s="3">
        <f t="shared" si="96"/>
        <v>0.77777777777777779</v>
      </c>
      <c r="G505" t="s">
        <v>21</v>
      </c>
      <c r="H505" t="s">
        <v>22</v>
      </c>
      <c r="I505" t="s">
        <v>276</v>
      </c>
      <c r="J505" s="2">
        <v>46212</v>
      </c>
      <c r="K505" s="1">
        <v>0.77430555555555547</v>
      </c>
      <c r="L505" s="10">
        <f t="shared" si="92"/>
        <v>-5.0000000000001421</v>
      </c>
      <c r="M505" s="1" t="str">
        <f t="shared" si="99"/>
        <v>On Time</v>
      </c>
      <c r="N505" s="27" t="str">
        <f t="shared" si="93"/>
        <v>LOT</v>
      </c>
      <c r="O505" s="3" t="s">
        <v>1385</v>
      </c>
      <c r="P505" s="20">
        <f t="shared" si="94"/>
        <v>18</v>
      </c>
      <c r="Q505" s="3" t="s">
        <v>1385</v>
      </c>
      <c r="R505" s="23" t="str">
        <f t="shared" si="95"/>
        <v>Thursday</v>
      </c>
      <c r="S505" s="3" t="s">
        <v>1385</v>
      </c>
      <c r="T505" s="23" t="s">
        <v>19</v>
      </c>
      <c r="U505" s="3" t="s">
        <v>1385</v>
      </c>
      <c r="AO505" s="15"/>
      <c r="AP505" s="15"/>
      <c r="AQ505" s="15"/>
      <c r="AR505" s="23"/>
      <c r="AS505" s="15"/>
      <c r="AT505" s="15"/>
      <c r="AU505" s="23"/>
      <c r="AV505" s="23"/>
    </row>
    <row r="506" spans="1:48" x14ac:dyDescent="0.25">
      <c r="A506" t="s">
        <v>189</v>
      </c>
      <c r="B506" t="s">
        <v>190</v>
      </c>
      <c r="C506" s="10">
        <v>-10</v>
      </c>
      <c r="D506" t="s">
        <v>788</v>
      </c>
      <c r="E506" s="2">
        <f t="shared" si="98"/>
        <v>46212</v>
      </c>
      <c r="F506" s="3">
        <f t="shared" si="96"/>
        <v>0.77916666666666667</v>
      </c>
      <c r="G506" t="s">
        <v>110</v>
      </c>
      <c r="H506" t="s">
        <v>111</v>
      </c>
      <c r="I506" t="s">
        <v>67</v>
      </c>
      <c r="J506" s="2">
        <v>46212</v>
      </c>
      <c r="K506" s="1">
        <v>0.78472222222222221</v>
      </c>
      <c r="L506" s="10">
        <f t="shared" si="92"/>
        <v>7.9999999999999716</v>
      </c>
      <c r="M506" s="1" t="str">
        <f t="shared" si="99"/>
        <v>On Time</v>
      </c>
      <c r="N506" s="27" t="str">
        <f t="shared" si="93"/>
        <v>Lufthansa</v>
      </c>
      <c r="O506" s="3" t="s">
        <v>1385</v>
      </c>
      <c r="P506" s="20">
        <f t="shared" si="94"/>
        <v>18</v>
      </c>
      <c r="Q506" s="3" t="s">
        <v>1385</v>
      </c>
      <c r="R506" s="23" t="str">
        <f t="shared" si="95"/>
        <v>Thursday</v>
      </c>
      <c r="S506" s="3" t="s">
        <v>1385</v>
      </c>
      <c r="T506" s="23" t="s">
        <v>190</v>
      </c>
      <c r="U506" s="3" t="s">
        <v>1385</v>
      </c>
      <c r="AO506" s="15"/>
      <c r="AP506" s="15"/>
      <c r="AQ506" s="15"/>
      <c r="AR506" s="23"/>
      <c r="AS506" s="15"/>
      <c r="AT506" s="15"/>
      <c r="AU506" s="23"/>
      <c r="AV506" s="23"/>
    </row>
    <row r="507" spans="1:48" x14ac:dyDescent="0.25">
      <c r="A507" t="s">
        <v>192</v>
      </c>
      <c r="B507" t="s">
        <v>13</v>
      </c>
      <c r="C507" s="10">
        <v>266</v>
      </c>
      <c r="D507" t="s">
        <v>789</v>
      </c>
      <c r="E507" s="2">
        <f t="shared" si="98"/>
        <v>46212</v>
      </c>
      <c r="F507" s="3">
        <f t="shared" si="96"/>
        <v>0.7680555555555556</v>
      </c>
      <c r="G507" t="s">
        <v>194</v>
      </c>
      <c r="H507" t="s">
        <v>195</v>
      </c>
      <c r="I507" t="s">
        <v>17</v>
      </c>
      <c r="J507" s="2">
        <v>46212</v>
      </c>
      <c r="K507" s="1">
        <v>0.78472222222222221</v>
      </c>
      <c r="L507" s="10">
        <f t="shared" si="92"/>
        <v>23.999999999999915</v>
      </c>
      <c r="M507" s="1" t="str">
        <f t="shared" si="99"/>
        <v>On Time</v>
      </c>
      <c r="N507" s="27" t="str">
        <f t="shared" si="93"/>
        <v>Wizz Air</v>
      </c>
      <c r="O507" s="3" t="s">
        <v>1385</v>
      </c>
      <c r="P507" s="20">
        <f t="shared" si="94"/>
        <v>18</v>
      </c>
      <c r="Q507" s="3" t="s">
        <v>1385</v>
      </c>
      <c r="R507" s="23" t="str">
        <f t="shared" si="95"/>
        <v>Thursday</v>
      </c>
      <c r="S507" s="3" t="s">
        <v>1385</v>
      </c>
      <c r="T507" s="23" t="s">
        <v>13</v>
      </c>
      <c r="U507" s="3" t="s">
        <v>1385</v>
      </c>
      <c r="AO507" s="15"/>
      <c r="AP507" s="15"/>
      <c r="AQ507" s="15"/>
      <c r="AR507" s="23"/>
      <c r="AS507" s="15"/>
      <c r="AT507" s="15"/>
      <c r="AU507" s="23"/>
      <c r="AV507" s="23"/>
    </row>
    <row r="508" spans="1:48" x14ac:dyDescent="0.25">
      <c r="A508" t="s">
        <v>196</v>
      </c>
      <c r="B508" t="s">
        <v>13</v>
      </c>
      <c r="C508" s="10">
        <v>-5</v>
      </c>
      <c r="D508" t="s">
        <v>530</v>
      </c>
      <c r="E508" s="2">
        <f t="shared" si="98"/>
        <v>46212</v>
      </c>
      <c r="F508" s="3">
        <f t="shared" si="96"/>
        <v>0.79027777777777775</v>
      </c>
      <c r="G508" t="s">
        <v>198</v>
      </c>
      <c r="H508" t="s">
        <v>199</v>
      </c>
      <c r="I508" t="s">
        <v>17</v>
      </c>
      <c r="J508" s="2">
        <v>46212</v>
      </c>
      <c r="K508" s="1">
        <v>0.79861111111111116</v>
      </c>
      <c r="L508" s="10">
        <f t="shared" si="92"/>
        <v>12.000000000000117</v>
      </c>
      <c r="M508" s="1" t="str">
        <f t="shared" si="99"/>
        <v>On Time</v>
      </c>
      <c r="N508" s="27" t="str">
        <f t="shared" si="93"/>
        <v>Wizz Air</v>
      </c>
      <c r="O508" s="3" t="s">
        <v>1385</v>
      </c>
      <c r="P508" s="20">
        <f t="shared" si="94"/>
        <v>18</v>
      </c>
      <c r="Q508" s="3" t="s">
        <v>1385</v>
      </c>
      <c r="R508" s="23" t="str">
        <f t="shared" si="95"/>
        <v>Thursday</v>
      </c>
      <c r="S508" s="3" t="s">
        <v>1385</v>
      </c>
      <c r="T508" s="23" t="s">
        <v>13</v>
      </c>
      <c r="U508" s="3" t="s">
        <v>1385</v>
      </c>
      <c r="AO508" s="15"/>
      <c r="AP508" s="15"/>
      <c r="AQ508" s="15"/>
      <c r="AR508" s="23"/>
      <c r="AS508" s="15"/>
      <c r="AT508" s="15"/>
      <c r="AU508" s="23"/>
      <c r="AV508" s="23"/>
    </row>
    <row r="509" spans="1:48" x14ac:dyDescent="0.25">
      <c r="A509" t="s">
        <v>200</v>
      </c>
      <c r="B509" t="s">
        <v>13</v>
      </c>
      <c r="C509" s="10">
        <v>-23</v>
      </c>
      <c r="D509" t="s">
        <v>790</v>
      </c>
      <c r="E509" s="2">
        <f t="shared" si="98"/>
        <v>46212</v>
      </c>
      <c r="F509" s="3">
        <f t="shared" si="96"/>
        <v>0.80138888888888893</v>
      </c>
      <c r="G509" t="s">
        <v>202</v>
      </c>
      <c r="H509" t="s">
        <v>203</v>
      </c>
      <c r="I509" t="s">
        <v>17</v>
      </c>
      <c r="J509" s="2">
        <v>46212</v>
      </c>
      <c r="K509" s="1">
        <v>0.79861111111111116</v>
      </c>
      <c r="L509" s="10">
        <f t="shared" si="92"/>
        <v>-3.9999999999999858</v>
      </c>
      <c r="M509" s="1" t="str">
        <f t="shared" si="99"/>
        <v>On Time</v>
      </c>
      <c r="N509" s="27" t="str">
        <f t="shared" si="93"/>
        <v>Wizz Air</v>
      </c>
      <c r="O509" s="3" t="s">
        <v>1385</v>
      </c>
      <c r="P509" s="20">
        <f t="shared" si="94"/>
        <v>19</v>
      </c>
      <c r="Q509" s="3" t="s">
        <v>1385</v>
      </c>
      <c r="R509" s="23" t="str">
        <f t="shared" si="95"/>
        <v>Thursday</v>
      </c>
      <c r="S509" s="3" t="s">
        <v>1385</v>
      </c>
      <c r="T509" s="23" t="s">
        <v>13</v>
      </c>
      <c r="U509" s="3" t="s">
        <v>1385</v>
      </c>
      <c r="AO509" s="15"/>
      <c r="AP509" s="15"/>
      <c r="AQ509" s="15"/>
      <c r="AR509" s="23"/>
      <c r="AS509" s="15"/>
      <c r="AT509" s="15"/>
      <c r="AU509" s="23"/>
      <c r="AV509" s="23"/>
    </row>
    <row r="510" spans="1:48" x14ac:dyDescent="0.25">
      <c r="A510" t="s">
        <v>204</v>
      </c>
      <c r="B510" t="s">
        <v>7</v>
      </c>
      <c r="C510" s="10">
        <v>-38</v>
      </c>
      <c r="D510" t="s">
        <v>375</v>
      </c>
      <c r="E510" s="2">
        <f t="shared" si="98"/>
        <v>46212</v>
      </c>
      <c r="F510" s="3">
        <f t="shared" si="96"/>
        <v>0.81319444444444444</v>
      </c>
      <c r="G510" t="s">
        <v>206</v>
      </c>
      <c r="H510" t="s">
        <v>207</v>
      </c>
      <c r="I510" t="s">
        <v>11</v>
      </c>
      <c r="J510" s="2">
        <v>46212</v>
      </c>
      <c r="K510" s="1">
        <v>0.80555555555555547</v>
      </c>
      <c r="L510" s="10">
        <f t="shared" si="92"/>
        <v>-11.000000000000121</v>
      </c>
      <c r="M510" s="1" t="str">
        <f t="shared" si="99"/>
        <v>On Time</v>
      </c>
      <c r="N510" s="27" t="str">
        <f t="shared" si="93"/>
        <v>airBaltic</v>
      </c>
      <c r="O510" s="3" t="s">
        <v>1385</v>
      </c>
      <c r="P510" s="20">
        <f t="shared" si="94"/>
        <v>19</v>
      </c>
      <c r="Q510" s="3" t="s">
        <v>1385</v>
      </c>
      <c r="R510" s="23" t="str">
        <f t="shared" si="95"/>
        <v>Thursday</v>
      </c>
      <c r="S510" s="3" t="s">
        <v>1385</v>
      </c>
      <c r="T510" s="23" t="s">
        <v>7</v>
      </c>
      <c r="U510" s="3" t="s">
        <v>1385</v>
      </c>
      <c r="AO510" s="15"/>
      <c r="AP510" s="15"/>
      <c r="AQ510" s="15"/>
      <c r="AR510" s="23"/>
      <c r="AS510" s="15"/>
      <c r="AT510" s="15"/>
      <c r="AU510" s="23"/>
      <c r="AV510" s="23"/>
    </row>
    <row r="511" spans="1:48" x14ac:dyDescent="0.25">
      <c r="A511" t="s">
        <v>208</v>
      </c>
      <c r="B511" t="s">
        <v>96</v>
      </c>
      <c r="C511" s="10">
        <v>-34</v>
      </c>
      <c r="D511" t="s">
        <v>791</v>
      </c>
      <c r="E511" s="2">
        <f t="shared" si="98"/>
        <v>46212</v>
      </c>
      <c r="F511" s="3">
        <f t="shared" si="96"/>
        <v>0.81944444444444453</v>
      </c>
      <c r="G511" t="s">
        <v>98</v>
      </c>
      <c r="H511" t="s">
        <v>99</v>
      </c>
      <c r="I511" t="s">
        <v>305</v>
      </c>
      <c r="J511" s="2">
        <v>46212</v>
      </c>
      <c r="K511" s="1">
        <v>0.8125</v>
      </c>
      <c r="L511" s="10">
        <f t="shared" si="92"/>
        <v>-10.000000000000124</v>
      </c>
      <c r="M511" s="1" t="str">
        <f t="shared" si="99"/>
        <v>On Time</v>
      </c>
      <c r="N511" s="27" t="str">
        <f t="shared" si="93"/>
        <v>Turkish Airlines</v>
      </c>
      <c r="O511" s="3" t="s">
        <v>1385</v>
      </c>
      <c r="P511" s="20">
        <f t="shared" si="94"/>
        <v>19</v>
      </c>
      <c r="Q511" s="3" t="s">
        <v>1385</v>
      </c>
      <c r="R511" s="23" t="str">
        <f t="shared" si="95"/>
        <v>Thursday</v>
      </c>
      <c r="S511" s="3" t="s">
        <v>1385</v>
      </c>
      <c r="T511" s="23" t="s">
        <v>96</v>
      </c>
      <c r="U511" s="3" t="s">
        <v>1385</v>
      </c>
      <c r="AO511" s="15"/>
      <c r="AP511" s="15"/>
      <c r="AQ511" s="15"/>
      <c r="AR511" s="23"/>
      <c r="AS511" s="15"/>
      <c r="AT511" s="15"/>
      <c r="AU511" s="23"/>
      <c r="AV511" s="23"/>
    </row>
    <row r="512" spans="1:48" x14ac:dyDescent="0.25">
      <c r="A512" t="s">
        <v>211</v>
      </c>
      <c r="B512" t="s">
        <v>7</v>
      </c>
      <c r="C512" s="10">
        <v>-17</v>
      </c>
      <c r="D512" t="s">
        <v>532</v>
      </c>
      <c r="E512" s="2">
        <f t="shared" si="98"/>
        <v>46212</v>
      </c>
      <c r="F512" s="3">
        <f t="shared" si="96"/>
        <v>0.82361111111111107</v>
      </c>
      <c r="G512" t="s">
        <v>135</v>
      </c>
      <c r="H512" t="s">
        <v>136</v>
      </c>
      <c r="I512" t="s">
        <v>11</v>
      </c>
      <c r="J512" s="2">
        <v>46212</v>
      </c>
      <c r="K512" s="1">
        <v>0.82638888888888884</v>
      </c>
      <c r="L512" s="10">
        <f t="shared" si="92"/>
        <v>3.9999999999999858</v>
      </c>
      <c r="M512" s="1" t="str">
        <f t="shared" si="99"/>
        <v>On Time</v>
      </c>
      <c r="N512" s="27" t="str">
        <f t="shared" si="93"/>
        <v>airBaltic</v>
      </c>
      <c r="O512" s="3" t="s">
        <v>1385</v>
      </c>
      <c r="P512" s="20">
        <f t="shared" si="94"/>
        <v>19</v>
      </c>
      <c r="Q512" s="3" t="s">
        <v>1385</v>
      </c>
      <c r="R512" s="23" t="str">
        <f t="shared" si="95"/>
        <v>Thursday</v>
      </c>
      <c r="S512" s="3" t="s">
        <v>1385</v>
      </c>
      <c r="T512" s="23" t="s">
        <v>7</v>
      </c>
      <c r="U512" s="3" t="s">
        <v>1385</v>
      </c>
      <c r="AO512" s="15"/>
      <c r="AP512" s="15"/>
      <c r="AQ512" s="15"/>
      <c r="AR512" s="23"/>
      <c r="AS512" s="15"/>
      <c r="AT512" s="15"/>
      <c r="AU512" s="23"/>
      <c r="AV512" s="23"/>
    </row>
    <row r="513" spans="1:48" x14ac:dyDescent="0.25">
      <c r="A513" t="s">
        <v>213</v>
      </c>
      <c r="B513" t="s">
        <v>85</v>
      </c>
      <c r="C513" s="10">
        <v>-43</v>
      </c>
      <c r="D513" t="s">
        <v>792</v>
      </c>
      <c r="E513" s="2">
        <f t="shared" si="98"/>
        <v>46212</v>
      </c>
      <c r="F513" s="3">
        <f t="shared" si="96"/>
        <v>0.8534722222222223</v>
      </c>
      <c r="G513" t="s">
        <v>102</v>
      </c>
      <c r="H513" t="s">
        <v>115</v>
      </c>
      <c r="I513" t="s">
        <v>162</v>
      </c>
      <c r="J513" s="2">
        <v>46212</v>
      </c>
      <c r="K513" s="1">
        <v>0.84027777777777779</v>
      </c>
      <c r="L513" s="10">
        <f t="shared" si="92"/>
        <v>-19.000000000000092</v>
      </c>
      <c r="M513" s="1" t="str">
        <f t="shared" si="99"/>
        <v>Delayed</v>
      </c>
      <c r="N513" s="27" t="str">
        <f t="shared" si="93"/>
        <v>Ryanair</v>
      </c>
      <c r="O513" s="3" t="s">
        <v>1318</v>
      </c>
      <c r="P513" s="20">
        <f t="shared" si="94"/>
        <v>20</v>
      </c>
      <c r="Q513" s="3" t="s">
        <v>1318</v>
      </c>
      <c r="R513" s="23" t="str">
        <f t="shared" si="95"/>
        <v>Thursday</v>
      </c>
      <c r="S513" s="3" t="s">
        <v>1318</v>
      </c>
      <c r="T513" s="23" t="s">
        <v>85</v>
      </c>
      <c r="U513" s="3" t="s">
        <v>1318</v>
      </c>
      <c r="AO513" s="15"/>
      <c r="AP513" s="15"/>
      <c r="AQ513" s="15"/>
      <c r="AR513" s="23"/>
      <c r="AS513" s="15"/>
      <c r="AT513" s="15"/>
      <c r="AU513" s="23"/>
      <c r="AV513" s="23"/>
    </row>
    <row r="514" spans="1:48" x14ac:dyDescent="0.25">
      <c r="A514" t="s">
        <v>215</v>
      </c>
      <c r="B514" t="s">
        <v>13</v>
      </c>
      <c r="C514" s="10">
        <v>-3</v>
      </c>
      <c r="D514" t="s">
        <v>793</v>
      </c>
      <c r="E514" s="2">
        <f t="shared" si="98"/>
        <v>46212</v>
      </c>
      <c r="F514" s="3">
        <f t="shared" si="96"/>
        <v>0.8305555555555556</v>
      </c>
      <c r="G514" t="s">
        <v>217</v>
      </c>
      <c r="H514" t="s">
        <v>218</v>
      </c>
      <c r="I514" t="s">
        <v>17</v>
      </c>
      <c r="J514" s="2">
        <v>46212</v>
      </c>
      <c r="K514" s="1">
        <v>0.84375</v>
      </c>
      <c r="L514" s="10">
        <f t="shared" ref="L514:L577" si="100">IF(J514&gt;E514,(K514+1-F514)*1440,IF(J514&lt;E514,-(F514+1-K514)*1440,(K514-F514)*1440))</f>
        <v>18.999999999999932</v>
      </c>
      <c r="M514" s="1" t="str">
        <f t="shared" si="99"/>
        <v>On Time</v>
      </c>
      <c r="N514" s="27" t="str">
        <f t="shared" ref="N514:N577" si="101">IF(COUNTIFS($B$2:$B$1553,B514,$M$2:$M$1553,"&lt;&gt;#N/A")&gt;=30,B514,NA())</f>
        <v>Wizz Air</v>
      </c>
      <c r="O514" s="3" t="s">
        <v>1385</v>
      </c>
      <c r="P514" s="20">
        <f t="shared" ref="P514:P577" si="102">HOUR(F514)</f>
        <v>19</v>
      </c>
      <c r="Q514" s="3" t="s">
        <v>1385</v>
      </c>
      <c r="R514" s="23" t="str">
        <f t="shared" ref="R514:R577" si="103">TEXT(E514, "dddd")</f>
        <v>Thursday</v>
      </c>
      <c r="S514" s="3" t="s">
        <v>1385</v>
      </c>
      <c r="T514" s="23" t="s">
        <v>13</v>
      </c>
      <c r="U514" s="3" t="s">
        <v>1385</v>
      </c>
      <c r="AO514" s="15"/>
      <c r="AP514" s="15"/>
      <c r="AQ514" s="15"/>
      <c r="AR514" s="23"/>
      <c r="AS514" s="15"/>
      <c r="AT514" s="15"/>
      <c r="AU514" s="23"/>
      <c r="AV514" s="23"/>
    </row>
    <row r="515" spans="1:48" x14ac:dyDescent="0.25">
      <c r="A515" t="s">
        <v>219</v>
      </c>
      <c r="B515" t="s">
        <v>7</v>
      </c>
      <c r="C515" s="10">
        <v>-13</v>
      </c>
      <c r="D515" t="s">
        <v>794</v>
      </c>
      <c r="E515" s="2">
        <f t="shared" si="98"/>
        <v>46212</v>
      </c>
      <c r="F515" s="3">
        <f t="shared" ref="F515:F578" si="104">IF(ISNUMBER(SEARCH("Landed", D515)), TIMEVALUE(_xlfn.TEXTAFTER(D515, " ")), NA())</f>
        <v>0.87152777777777779</v>
      </c>
      <c r="G515" t="s">
        <v>9</v>
      </c>
      <c r="H515" t="s">
        <v>10</v>
      </c>
      <c r="I515" t="s">
        <v>11</v>
      </c>
      <c r="J515" s="2">
        <v>46212</v>
      </c>
      <c r="K515" s="1">
        <v>0.86805555555555547</v>
      </c>
      <c r="L515" s="10">
        <f t="shared" si="100"/>
        <v>-5.0000000000001421</v>
      </c>
      <c r="M515" s="1" t="str">
        <f t="shared" si="99"/>
        <v>On Time</v>
      </c>
      <c r="N515" s="27" t="str">
        <f t="shared" si="101"/>
        <v>airBaltic</v>
      </c>
      <c r="O515" s="3" t="s">
        <v>1385</v>
      </c>
      <c r="P515" s="20">
        <f t="shared" si="102"/>
        <v>20</v>
      </c>
      <c r="Q515" s="3" t="s">
        <v>1385</v>
      </c>
      <c r="R515" s="23" t="str">
        <f t="shared" si="103"/>
        <v>Thursday</v>
      </c>
      <c r="S515" s="3" t="s">
        <v>1385</v>
      </c>
      <c r="T515" s="23" t="s">
        <v>7</v>
      </c>
      <c r="U515" s="3" t="s">
        <v>1385</v>
      </c>
      <c r="AO515" s="15"/>
      <c r="AP515" s="15"/>
      <c r="AQ515" s="15"/>
      <c r="AR515" s="23"/>
      <c r="AS515" s="15"/>
      <c r="AT515" s="15"/>
      <c r="AU515" s="23"/>
      <c r="AV515" s="23"/>
    </row>
    <row r="516" spans="1:48" x14ac:dyDescent="0.25">
      <c r="A516" t="s">
        <v>123</v>
      </c>
      <c r="B516" t="s">
        <v>124</v>
      </c>
      <c r="D516" t="s">
        <v>225</v>
      </c>
      <c r="E516" s="2">
        <f t="shared" si="98"/>
        <v>46212</v>
      </c>
      <c r="F516" s="3">
        <f t="shared" si="104"/>
        <v>0.86388888888888893</v>
      </c>
      <c r="G516" t="s">
        <v>222</v>
      </c>
      <c r="H516" t="s">
        <v>223</v>
      </c>
      <c r="I516" t="s">
        <v>126</v>
      </c>
      <c r="J516" s="2">
        <v>46212</v>
      </c>
      <c r="K516" s="1">
        <v>0.87291666666666667</v>
      </c>
      <c r="L516" s="10">
        <f t="shared" si="100"/>
        <v>12.999999999999954</v>
      </c>
      <c r="M516" s="1" t="str">
        <f t="shared" si="99"/>
        <v>On Time</v>
      </c>
      <c r="N516" s="27" t="str">
        <f t="shared" si="101"/>
        <v>GetJet Airlines</v>
      </c>
      <c r="O516" s="3" t="s">
        <v>1385</v>
      </c>
      <c r="P516" s="20">
        <f t="shared" si="102"/>
        <v>20</v>
      </c>
      <c r="Q516" s="3" t="s">
        <v>1385</v>
      </c>
      <c r="R516" s="23" t="str">
        <f t="shared" si="103"/>
        <v>Thursday</v>
      </c>
      <c r="S516" s="3" t="s">
        <v>1385</v>
      </c>
      <c r="T516" s="23" t="s">
        <v>124</v>
      </c>
      <c r="U516" s="3" t="s">
        <v>1385</v>
      </c>
      <c r="AO516" s="15"/>
      <c r="AP516" s="15"/>
      <c r="AQ516" s="15"/>
      <c r="AR516" s="23"/>
      <c r="AS516" s="15"/>
      <c r="AT516" s="15"/>
      <c r="AU516" s="23"/>
      <c r="AV516" s="23"/>
    </row>
    <row r="517" spans="1:48" x14ac:dyDescent="0.25">
      <c r="A517" t="s">
        <v>224</v>
      </c>
      <c r="B517" t="s">
        <v>151</v>
      </c>
      <c r="C517" s="10">
        <v>-9</v>
      </c>
      <c r="D517" t="s">
        <v>795</v>
      </c>
      <c r="E517" s="2">
        <f t="shared" si="98"/>
        <v>46212</v>
      </c>
      <c r="F517" s="3">
        <f t="shared" si="104"/>
        <v>0.87569444444444444</v>
      </c>
      <c r="G517" t="s">
        <v>226</v>
      </c>
      <c r="H517" t="s">
        <v>227</v>
      </c>
      <c r="I517" t="s">
        <v>155</v>
      </c>
      <c r="J517" s="2">
        <v>46212</v>
      </c>
      <c r="K517" s="1">
        <v>0.875</v>
      </c>
      <c r="L517" s="10">
        <f t="shared" si="100"/>
        <v>-0.99999999999999645</v>
      </c>
      <c r="M517" s="1" t="str">
        <f t="shared" si="99"/>
        <v>On Time</v>
      </c>
      <c r="N517" s="27" t="e">
        <f t="shared" si="101"/>
        <v>#N/A</v>
      </c>
      <c r="O517" s="3" t="s">
        <v>1385</v>
      </c>
      <c r="P517" s="20">
        <f t="shared" si="102"/>
        <v>21</v>
      </c>
      <c r="Q517" s="3" t="s">
        <v>1385</v>
      </c>
      <c r="R517" s="23" t="str">
        <f t="shared" si="103"/>
        <v>Thursday</v>
      </c>
      <c r="S517" s="3" t="s">
        <v>1385</v>
      </c>
      <c r="T517" s="23" t="s">
        <v>151</v>
      </c>
      <c r="U517" s="3" t="s">
        <v>1385</v>
      </c>
      <c r="AO517" s="15"/>
      <c r="AP517" s="15"/>
      <c r="AQ517" s="15"/>
      <c r="AR517" s="23"/>
      <c r="AS517" s="15"/>
      <c r="AT517" s="15"/>
      <c r="AU517" s="23"/>
      <c r="AV517" s="23"/>
    </row>
    <row r="518" spans="1:48" x14ac:dyDescent="0.25">
      <c r="A518" t="s">
        <v>228</v>
      </c>
      <c r="B518" t="s">
        <v>69</v>
      </c>
      <c r="C518" s="10">
        <v>233</v>
      </c>
      <c r="D518" t="s">
        <v>796</v>
      </c>
      <c r="E518" s="2">
        <f t="shared" si="98"/>
        <v>46212</v>
      </c>
      <c r="F518" s="3">
        <f t="shared" si="104"/>
        <v>0.87083333333333324</v>
      </c>
      <c r="G518" t="s">
        <v>71</v>
      </c>
      <c r="H518" t="s">
        <v>72</v>
      </c>
      <c r="I518" t="s">
        <v>73</v>
      </c>
      <c r="J518" s="2">
        <v>46212</v>
      </c>
      <c r="K518" s="1">
        <v>0.88194444444444453</v>
      </c>
      <c r="L518" s="10">
        <f t="shared" si="100"/>
        <v>16.000000000000263</v>
      </c>
      <c r="M518" s="1" t="str">
        <f t="shared" si="99"/>
        <v>On Time</v>
      </c>
      <c r="N518" s="27" t="str">
        <f t="shared" si="101"/>
        <v>Finnair</v>
      </c>
      <c r="O518" s="3" t="s">
        <v>1385</v>
      </c>
      <c r="P518" s="20">
        <f t="shared" si="102"/>
        <v>20</v>
      </c>
      <c r="Q518" s="3" t="s">
        <v>1385</v>
      </c>
      <c r="R518" s="23" t="str">
        <f t="shared" si="103"/>
        <v>Thursday</v>
      </c>
      <c r="S518" s="3" t="s">
        <v>1385</v>
      </c>
      <c r="T518" s="23" t="s">
        <v>69</v>
      </c>
      <c r="U518" s="3" t="s">
        <v>1385</v>
      </c>
      <c r="AO518" s="15"/>
      <c r="AP518" s="15"/>
      <c r="AQ518" s="15"/>
      <c r="AR518" s="23"/>
      <c r="AS518" s="15"/>
      <c r="AT518" s="15"/>
      <c r="AU518" s="23"/>
      <c r="AV518" s="23"/>
    </row>
    <row r="519" spans="1:48" x14ac:dyDescent="0.25">
      <c r="A519" t="s">
        <v>230</v>
      </c>
      <c r="B519" t="s">
        <v>231</v>
      </c>
      <c r="C519" s="10">
        <v>-132</v>
      </c>
      <c r="D519" t="s">
        <v>797</v>
      </c>
      <c r="E519" s="2">
        <f t="shared" si="98"/>
        <v>46212</v>
      </c>
      <c r="F519" s="3">
        <f t="shared" si="104"/>
        <v>0.9590277777777777</v>
      </c>
      <c r="G519" t="s">
        <v>81</v>
      </c>
      <c r="H519" t="s">
        <v>82</v>
      </c>
      <c r="I519" t="s">
        <v>83</v>
      </c>
      <c r="J519" s="2">
        <v>46212</v>
      </c>
      <c r="K519" s="1">
        <v>0.88541666666666663</v>
      </c>
      <c r="L519" s="10">
        <f t="shared" si="100"/>
        <v>-105.99999999999994</v>
      </c>
      <c r="M519" s="1" t="str">
        <f t="shared" si="99"/>
        <v>Delayed</v>
      </c>
      <c r="N519" s="27" t="e">
        <f t="shared" si="101"/>
        <v>#N/A</v>
      </c>
      <c r="O519" s="3" t="s">
        <v>1318</v>
      </c>
      <c r="P519" s="20">
        <f t="shared" si="102"/>
        <v>23</v>
      </c>
      <c r="Q519" s="3" t="s">
        <v>1318</v>
      </c>
      <c r="R519" s="23" t="str">
        <f t="shared" si="103"/>
        <v>Thursday</v>
      </c>
      <c r="S519" s="3" t="s">
        <v>1318</v>
      </c>
      <c r="T519" s="23" t="s">
        <v>231</v>
      </c>
      <c r="U519" s="3" t="s">
        <v>1318</v>
      </c>
      <c r="AO519" s="15"/>
      <c r="AP519" s="15"/>
      <c r="AQ519" s="15"/>
      <c r="AR519" s="23"/>
      <c r="AS519" s="15"/>
      <c r="AT519" s="15"/>
      <c r="AU519" s="23"/>
      <c r="AV519" s="23"/>
    </row>
    <row r="520" spans="1:48" x14ac:dyDescent="0.25">
      <c r="A520" t="s">
        <v>245</v>
      </c>
      <c r="B520" t="s">
        <v>124</v>
      </c>
      <c r="D520" t="s">
        <v>798</v>
      </c>
      <c r="E520" s="2">
        <f t="shared" si="98"/>
        <v>46212</v>
      </c>
      <c r="F520" s="3">
        <f t="shared" si="104"/>
        <v>0.89444444444444438</v>
      </c>
      <c r="G520" t="s">
        <v>247</v>
      </c>
      <c r="H520" t="s">
        <v>248</v>
      </c>
      <c r="I520" t="s">
        <v>249</v>
      </c>
      <c r="J520" s="2">
        <v>46212</v>
      </c>
      <c r="K520" s="1">
        <v>0.88680555555555562</v>
      </c>
      <c r="L520" s="10">
        <f t="shared" si="100"/>
        <v>-10.999999999999801</v>
      </c>
      <c r="M520" s="1" t="str">
        <f t="shared" si="99"/>
        <v>On Time</v>
      </c>
      <c r="N520" s="27" t="str">
        <f t="shared" si="101"/>
        <v>GetJet Airlines</v>
      </c>
      <c r="O520" s="3" t="s">
        <v>1385</v>
      </c>
      <c r="P520" s="20">
        <f t="shared" si="102"/>
        <v>21</v>
      </c>
      <c r="Q520" s="3" t="s">
        <v>1385</v>
      </c>
      <c r="R520" s="23" t="str">
        <f t="shared" si="103"/>
        <v>Thursday</v>
      </c>
      <c r="S520" s="3" t="s">
        <v>1385</v>
      </c>
      <c r="T520" s="23" t="s">
        <v>124</v>
      </c>
      <c r="U520" s="3" t="s">
        <v>1385</v>
      </c>
      <c r="AO520" s="15"/>
      <c r="AP520" s="15"/>
      <c r="AQ520" s="15"/>
      <c r="AR520" s="23"/>
      <c r="AS520" s="15"/>
      <c r="AT520" s="15"/>
      <c r="AU520" s="23"/>
      <c r="AV520" s="23"/>
    </row>
    <row r="521" spans="1:48" x14ac:dyDescent="0.25">
      <c r="A521" t="s">
        <v>123</v>
      </c>
      <c r="B521" t="s">
        <v>799</v>
      </c>
      <c r="D521" t="s">
        <v>800</v>
      </c>
      <c r="E521" s="2">
        <f t="shared" si="98"/>
        <v>46212</v>
      </c>
      <c r="F521" s="3">
        <f t="shared" si="104"/>
        <v>0.90138888888888891</v>
      </c>
      <c r="G521" t="s">
        <v>206</v>
      </c>
      <c r="H521" t="s">
        <v>801</v>
      </c>
      <c r="I521" t="s">
        <v>802</v>
      </c>
      <c r="J521" s="2">
        <v>46212</v>
      </c>
      <c r="K521" s="1">
        <v>0.88958333333333339</v>
      </c>
      <c r="L521" s="10">
        <f t="shared" si="100"/>
        <v>-16.99999999999994</v>
      </c>
      <c r="M521" s="1" t="str">
        <f t="shared" si="99"/>
        <v>Delayed</v>
      </c>
      <c r="N521" s="27" t="e">
        <f t="shared" si="101"/>
        <v>#N/A</v>
      </c>
      <c r="O521" s="3" t="s">
        <v>1318</v>
      </c>
      <c r="P521" s="20">
        <f t="shared" si="102"/>
        <v>21</v>
      </c>
      <c r="Q521" s="3" t="s">
        <v>1318</v>
      </c>
      <c r="R521" s="23" t="str">
        <f t="shared" si="103"/>
        <v>Thursday</v>
      </c>
      <c r="S521" s="3" t="s">
        <v>1318</v>
      </c>
      <c r="T521" s="23" t="s">
        <v>799</v>
      </c>
      <c r="U521" s="3" t="s">
        <v>1318</v>
      </c>
      <c r="AO521" s="15"/>
      <c r="AP521" s="15"/>
      <c r="AQ521" s="15"/>
      <c r="AR521" s="23"/>
      <c r="AS521" s="15"/>
      <c r="AT521" s="15"/>
      <c r="AU521" s="23"/>
      <c r="AV521" s="23"/>
    </row>
    <row r="522" spans="1:48" x14ac:dyDescent="0.25">
      <c r="A522" t="s">
        <v>233</v>
      </c>
      <c r="B522" t="s">
        <v>7</v>
      </c>
      <c r="C522" s="10">
        <v>-7</v>
      </c>
      <c r="D522" t="s">
        <v>803</v>
      </c>
      <c r="E522" s="2">
        <f t="shared" si="98"/>
        <v>46212</v>
      </c>
      <c r="F522" s="3">
        <f t="shared" si="104"/>
        <v>0.89722222222222225</v>
      </c>
      <c r="G522" t="s">
        <v>76</v>
      </c>
      <c r="H522" t="s">
        <v>77</v>
      </c>
      <c r="I522" t="s">
        <v>11</v>
      </c>
      <c r="J522" s="2">
        <v>46212</v>
      </c>
      <c r="K522" s="1">
        <v>0.90625</v>
      </c>
      <c r="L522" s="10">
        <f t="shared" si="100"/>
        <v>12.999999999999954</v>
      </c>
      <c r="M522" s="1" t="str">
        <f t="shared" si="99"/>
        <v>On Time</v>
      </c>
      <c r="N522" s="27" t="str">
        <f t="shared" si="101"/>
        <v>airBaltic</v>
      </c>
      <c r="O522" s="3" t="s">
        <v>1385</v>
      </c>
      <c r="P522" s="20">
        <f t="shared" si="102"/>
        <v>21</v>
      </c>
      <c r="Q522" s="3" t="s">
        <v>1385</v>
      </c>
      <c r="R522" s="23" t="str">
        <f t="shared" si="103"/>
        <v>Thursday</v>
      </c>
      <c r="S522" s="3" t="s">
        <v>1385</v>
      </c>
      <c r="T522" s="23" t="s">
        <v>7</v>
      </c>
      <c r="U522" s="3" t="s">
        <v>1385</v>
      </c>
      <c r="AO522" s="15"/>
      <c r="AP522" s="15"/>
      <c r="AQ522" s="15"/>
      <c r="AR522" s="23"/>
      <c r="AS522" s="15"/>
      <c r="AT522" s="15"/>
      <c r="AU522" s="23"/>
      <c r="AV522" s="23"/>
    </row>
    <row r="523" spans="1:48" x14ac:dyDescent="0.25">
      <c r="A523" t="s">
        <v>235</v>
      </c>
      <c r="B523" t="s">
        <v>19</v>
      </c>
      <c r="C523" s="10">
        <v>-38</v>
      </c>
      <c r="D523" t="s">
        <v>544</v>
      </c>
      <c r="E523" s="2">
        <f t="shared" si="98"/>
        <v>46212</v>
      </c>
      <c r="F523" s="3">
        <f t="shared" si="104"/>
        <v>0.94166666666666676</v>
      </c>
      <c r="G523" t="s">
        <v>21</v>
      </c>
      <c r="H523" t="s">
        <v>22</v>
      </c>
      <c r="I523" t="s">
        <v>303</v>
      </c>
      <c r="J523" s="2">
        <v>46212</v>
      </c>
      <c r="K523" s="1">
        <v>0.93055555555555547</v>
      </c>
      <c r="L523" s="10">
        <f t="shared" si="100"/>
        <v>-16.000000000000263</v>
      </c>
      <c r="M523" s="1" t="str">
        <f t="shared" si="99"/>
        <v>Delayed</v>
      </c>
      <c r="N523" s="27" t="str">
        <f t="shared" si="101"/>
        <v>LOT</v>
      </c>
      <c r="O523" s="3" t="s">
        <v>1318</v>
      </c>
      <c r="P523" s="20">
        <f t="shared" si="102"/>
        <v>22</v>
      </c>
      <c r="Q523" s="3" t="s">
        <v>1318</v>
      </c>
      <c r="R523" s="23" t="str">
        <f t="shared" si="103"/>
        <v>Thursday</v>
      </c>
      <c r="S523" s="3" t="s">
        <v>1318</v>
      </c>
      <c r="T523" s="23" t="s">
        <v>19</v>
      </c>
      <c r="U523" s="3" t="s">
        <v>1318</v>
      </c>
      <c r="AO523" s="15"/>
      <c r="AP523" s="15"/>
      <c r="AQ523" s="15"/>
      <c r="AR523" s="23"/>
      <c r="AS523" s="15"/>
      <c r="AT523" s="15"/>
      <c r="AU523" s="23"/>
      <c r="AV523" s="23"/>
    </row>
    <row r="524" spans="1:48" x14ac:dyDescent="0.25">
      <c r="A524" t="s">
        <v>238</v>
      </c>
      <c r="B524" t="s">
        <v>239</v>
      </c>
      <c r="C524" s="10">
        <v>7</v>
      </c>
      <c r="D524" t="s">
        <v>804</v>
      </c>
      <c r="E524" s="2">
        <f t="shared" si="98"/>
        <v>46212</v>
      </c>
      <c r="F524" s="3">
        <f t="shared" si="104"/>
        <v>0.90902777777777777</v>
      </c>
      <c r="G524" t="s">
        <v>119</v>
      </c>
      <c r="H524" t="s">
        <v>120</v>
      </c>
      <c r="I524" t="s">
        <v>83</v>
      </c>
      <c r="J524" s="2">
        <v>46212</v>
      </c>
      <c r="K524" s="1">
        <v>0.94097222222222221</v>
      </c>
      <c r="L524" s="10">
        <f t="shared" si="100"/>
        <v>46</v>
      </c>
      <c r="M524" s="1" t="str">
        <f t="shared" si="99"/>
        <v>On Time</v>
      </c>
      <c r="N524" s="27" t="str">
        <f t="shared" si="101"/>
        <v>Eurowings</v>
      </c>
      <c r="O524" s="3" t="s">
        <v>1385</v>
      </c>
      <c r="P524" s="20">
        <f t="shared" si="102"/>
        <v>21</v>
      </c>
      <c r="Q524" s="3" t="s">
        <v>1385</v>
      </c>
      <c r="R524" s="23" t="str">
        <f t="shared" si="103"/>
        <v>Thursday</v>
      </c>
      <c r="S524" s="3" t="s">
        <v>1385</v>
      </c>
      <c r="T524" s="23" t="s">
        <v>239</v>
      </c>
      <c r="U524" s="3" t="s">
        <v>1385</v>
      </c>
      <c r="AO524" s="15"/>
      <c r="AP524" s="15"/>
      <c r="AQ524" s="15"/>
      <c r="AR524" s="23"/>
      <c r="AS524" s="15"/>
      <c r="AT524" s="15"/>
      <c r="AU524" s="23"/>
      <c r="AV524" s="23"/>
    </row>
    <row r="525" spans="1:48" x14ac:dyDescent="0.25">
      <c r="A525" t="s">
        <v>241</v>
      </c>
      <c r="B525" t="s">
        <v>96</v>
      </c>
      <c r="C525" s="10" t="e">
        <f>NA()</f>
        <v>#N/A</v>
      </c>
      <c r="D525" t="s">
        <v>242</v>
      </c>
      <c r="E525" s="2">
        <f t="shared" si="98"/>
        <v>46212</v>
      </c>
      <c r="F525" s="3" t="e">
        <f t="shared" si="104"/>
        <v>#N/A</v>
      </c>
      <c r="G525" t="s">
        <v>243</v>
      </c>
      <c r="H525" t="s">
        <v>244</v>
      </c>
      <c r="I525" t="s">
        <v>123</v>
      </c>
      <c r="J525" s="2">
        <v>46212</v>
      </c>
      <c r="K525" s="1">
        <v>0.94444444444444453</v>
      </c>
      <c r="L525" s="10" t="e">
        <f t="shared" si="100"/>
        <v>#N/A</v>
      </c>
      <c r="M525" s="1" t="e">
        <f t="shared" si="99"/>
        <v>#N/A</v>
      </c>
      <c r="N525" s="27" t="str">
        <f t="shared" si="101"/>
        <v>Turkish Airlines</v>
      </c>
      <c r="O525" s="3" t="e">
        <v>#N/A</v>
      </c>
      <c r="P525" s="20" t="e">
        <f t="shared" si="102"/>
        <v>#N/A</v>
      </c>
      <c r="Q525" s="3" t="e">
        <v>#N/A</v>
      </c>
      <c r="R525" s="23" t="str">
        <f t="shared" si="103"/>
        <v>Thursday</v>
      </c>
      <c r="S525" s="3" t="e">
        <v>#N/A</v>
      </c>
      <c r="T525" s="23" t="s">
        <v>96</v>
      </c>
      <c r="AO525" s="15"/>
      <c r="AP525" s="15"/>
      <c r="AQ525" s="15"/>
      <c r="AR525" s="23"/>
      <c r="AS525" s="15"/>
      <c r="AT525" s="15"/>
      <c r="AU525" s="23"/>
      <c r="AV525" s="23"/>
    </row>
    <row r="526" spans="1:48" x14ac:dyDescent="0.25">
      <c r="A526" t="s">
        <v>250</v>
      </c>
      <c r="B526" t="s">
        <v>7</v>
      </c>
      <c r="C526" s="10">
        <v>-16</v>
      </c>
      <c r="D526" t="s">
        <v>805</v>
      </c>
      <c r="E526" s="2">
        <f t="shared" ref="E526:E589" si="105">J526</f>
        <v>46212</v>
      </c>
      <c r="F526" s="3">
        <f t="shared" si="104"/>
        <v>0.96736111111111101</v>
      </c>
      <c r="G526" t="s">
        <v>252</v>
      </c>
      <c r="H526" t="s">
        <v>253</v>
      </c>
      <c r="I526" t="s">
        <v>11</v>
      </c>
      <c r="J526" s="2">
        <v>46212</v>
      </c>
      <c r="K526" s="1">
        <v>0.96180555555555547</v>
      </c>
      <c r="L526" s="10">
        <f t="shared" si="100"/>
        <v>-7.9999999999999716</v>
      </c>
      <c r="M526" s="1" t="str">
        <f t="shared" si="99"/>
        <v>On Time</v>
      </c>
      <c r="N526" s="27" t="str">
        <f t="shared" si="101"/>
        <v>airBaltic</v>
      </c>
      <c r="O526" s="3" t="s">
        <v>1385</v>
      </c>
      <c r="P526" s="20">
        <f t="shared" si="102"/>
        <v>23</v>
      </c>
      <c r="Q526" s="3" t="s">
        <v>1385</v>
      </c>
      <c r="R526" s="23" t="str">
        <f t="shared" si="103"/>
        <v>Thursday</v>
      </c>
      <c r="S526" s="3" t="s">
        <v>1385</v>
      </c>
      <c r="T526" s="23" t="s">
        <v>7</v>
      </c>
      <c r="U526" s="3" t="s">
        <v>1385</v>
      </c>
      <c r="AO526" s="15"/>
      <c r="AP526" s="15"/>
      <c r="AQ526" s="15"/>
      <c r="AR526" s="23"/>
      <c r="AS526" s="15"/>
      <c r="AT526" s="15"/>
      <c r="AU526" s="23"/>
      <c r="AV526" s="23"/>
    </row>
    <row r="527" spans="1:48" x14ac:dyDescent="0.25">
      <c r="A527" t="s">
        <v>387</v>
      </c>
      <c r="B527" t="s">
        <v>388</v>
      </c>
      <c r="C527" s="10">
        <v>-25</v>
      </c>
      <c r="D527" t="s">
        <v>806</v>
      </c>
      <c r="E527" s="2">
        <f t="shared" si="105"/>
        <v>46212</v>
      </c>
      <c r="F527" s="3">
        <f t="shared" si="104"/>
        <v>0.97083333333333333</v>
      </c>
      <c r="G527" t="s">
        <v>119</v>
      </c>
      <c r="H527" t="s">
        <v>120</v>
      </c>
      <c r="I527" t="s">
        <v>390</v>
      </c>
      <c r="J527" s="2">
        <v>46212</v>
      </c>
      <c r="K527" s="1">
        <v>0.96666666666666667</v>
      </c>
      <c r="L527" s="10">
        <f t="shared" si="100"/>
        <v>-5.9999999999999787</v>
      </c>
      <c r="M527" s="1" t="str">
        <f t="shared" si="99"/>
        <v>On Time</v>
      </c>
      <c r="N527" s="27" t="e">
        <f t="shared" si="101"/>
        <v>#N/A</v>
      </c>
      <c r="O527" s="3" t="s">
        <v>1385</v>
      </c>
      <c r="P527" s="20">
        <f t="shared" si="102"/>
        <v>23</v>
      </c>
      <c r="Q527" s="3" t="s">
        <v>1385</v>
      </c>
      <c r="R527" s="23" t="str">
        <f t="shared" si="103"/>
        <v>Thursday</v>
      </c>
      <c r="S527" s="3" t="s">
        <v>1385</v>
      </c>
      <c r="T527" s="23" t="s">
        <v>388</v>
      </c>
      <c r="U527" s="3" t="s">
        <v>1385</v>
      </c>
      <c r="AO527" s="15"/>
      <c r="AP527" s="15"/>
      <c r="AQ527" s="15"/>
      <c r="AR527" s="23"/>
      <c r="AS527" s="15"/>
      <c r="AT527" s="15"/>
      <c r="AU527" s="23"/>
      <c r="AV527" s="23"/>
    </row>
    <row r="528" spans="1:48" x14ac:dyDescent="0.25">
      <c r="A528" t="s">
        <v>254</v>
      </c>
      <c r="B528" t="s">
        <v>85</v>
      </c>
      <c r="C528" s="10">
        <v>-73</v>
      </c>
      <c r="D528" t="s">
        <v>807</v>
      </c>
      <c r="E528" s="2">
        <f t="shared" si="105"/>
        <v>46212</v>
      </c>
      <c r="F528" s="3" t="e">
        <f t="shared" si="104"/>
        <v>#N/A</v>
      </c>
      <c r="G528" t="s">
        <v>256</v>
      </c>
      <c r="H528" t="s">
        <v>257</v>
      </c>
      <c r="I528" t="s">
        <v>89</v>
      </c>
      <c r="J528" s="2">
        <v>46212</v>
      </c>
      <c r="K528" s="1">
        <v>0.97569444444444453</v>
      </c>
      <c r="L528" s="10" t="e">
        <f t="shared" si="100"/>
        <v>#N/A</v>
      </c>
      <c r="M528" s="1" t="e">
        <f t="shared" si="99"/>
        <v>#N/A</v>
      </c>
      <c r="N528" s="27" t="str">
        <f t="shared" si="101"/>
        <v>Ryanair</v>
      </c>
      <c r="O528" s="3" t="e">
        <v>#N/A</v>
      </c>
      <c r="P528" s="20" t="e">
        <f t="shared" si="102"/>
        <v>#N/A</v>
      </c>
      <c r="Q528" s="3" t="e">
        <v>#N/A</v>
      </c>
      <c r="R528" s="23" t="str">
        <f t="shared" si="103"/>
        <v>Thursday</v>
      </c>
      <c r="S528" s="3" t="e">
        <v>#N/A</v>
      </c>
      <c r="T528" s="23" t="s">
        <v>85</v>
      </c>
      <c r="AO528" s="15"/>
      <c r="AP528" s="15"/>
      <c r="AQ528" s="15"/>
      <c r="AR528" s="23"/>
      <c r="AS528" s="15"/>
      <c r="AT528" s="15"/>
      <c r="AU528" s="23"/>
      <c r="AV528" s="23"/>
    </row>
    <row r="529" spans="1:48" x14ac:dyDescent="0.25">
      <c r="A529" t="s">
        <v>258</v>
      </c>
      <c r="B529" t="s">
        <v>190</v>
      </c>
      <c r="C529" s="10">
        <v>-15</v>
      </c>
      <c r="D529" t="s">
        <v>468</v>
      </c>
      <c r="E529" s="2">
        <f t="shared" si="105"/>
        <v>46212</v>
      </c>
      <c r="F529" s="3">
        <f t="shared" si="104"/>
        <v>0.97638888888888886</v>
      </c>
      <c r="G529" t="s">
        <v>110</v>
      </c>
      <c r="H529" t="s">
        <v>111</v>
      </c>
      <c r="I529" t="s">
        <v>112</v>
      </c>
      <c r="J529" s="2">
        <v>46212</v>
      </c>
      <c r="K529" s="1">
        <v>0.98263888888888884</v>
      </c>
      <c r="L529" s="10">
        <f t="shared" si="100"/>
        <v>8.999999999999968</v>
      </c>
      <c r="M529" s="1" t="str">
        <f t="shared" si="99"/>
        <v>On Time</v>
      </c>
      <c r="N529" s="27" t="str">
        <f t="shared" si="101"/>
        <v>Lufthansa</v>
      </c>
      <c r="O529" s="3" t="s">
        <v>1385</v>
      </c>
      <c r="P529" s="20">
        <f t="shared" si="102"/>
        <v>23</v>
      </c>
      <c r="Q529" s="3" t="s">
        <v>1385</v>
      </c>
      <c r="R529" s="23" t="str">
        <f t="shared" si="103"/>
        <v>Thursday</v>
      </c>
      <c r="S529" s="3" t="s">
        <v>1385</v>
      </c>
      <c r="T529" s="23" t="s">
        <v>190</v>
      </c>
      <c r="U529" s="3" t="s">
        <v>1385</v>
      </c>
      <c r="AO529" s="15"/>
      <c r="AP529" s="15"/>
      <c r="AQ529" s="15"/>
      <c r="AR529" s="23"/>
      <c r="AS529" s="15"/>
      <c r="AT529" s="15"/>
      <c r="AU529" s="23"/>
      <c r="AV529" s="23"/>
    </row>
    <row r="530" spans="1:48" x14ac:dyDescent="0.25">
      <c r="A530" t="s">
        <v>261</v>
      </c>
      <c r="B530" t="s">
        <v>85</v>
      </c>
      <c r="C530" s="10">
        <v>4</v>
      </c>
      <c r="D530" t="s">
        <v>808</v>
      </c>
      <c r="E530" s="2">
        <f t="shared" si="105"/>
        <v>46212</v>
      </c>
      <c r="F530" s="3">
        <f t="shared" si="104"/>
        <v>0.98472222222222217</v>
      </c>
      <c r="G530" t="s">
        <v>263</v>
      </c>
      <c r="H530" t="s">
        <v>264</v>
      </c>
      <c r="I530" t="s">
        <v>89</v>
      </c>
      <c r="J530" s="2">
        <v>46212</v>
      </c>
      <c r="K530" s="1">
        <v>0.99652777777777779</v>
      </c>
      <c r="L530" s="10">
        <f t="shared" si="100"/>
        <v>17.000000000000099</v>
      </c>
      <c r="M530" s="1" t="str">
        <f t="shared" si="99"/>
        <v>On Time</v>
      </c>
      <c r="N530" s="27" t="str">
        <f t="shared" si="101"/>
        <v>Ryanair</v>
      </c>
      <c r="O530" s="3" t="s">
        <v>1385</v>
      </c>
      <c r="P530" s="20">
        <f t="shared" si="102"/>
        <v>23</v>
      </c>
      <c r="Q530" s="3" t="s">
        <v>1385</v>
      </c>
      <c r="R530" s="23" t="str">
        <f t="shared" si="103"/>
        <v>Thursday</v>
      </c>
      <c r="S530" s="3" t="s">
        <v>1385</v>
      </c>
      <c r="T530" s="23" t="s">
        <v>85</v>
      </c>
      <c r="U530" s="3" t="s">
        <v>1385</v>
      </c>
      <c r="AO530" s="15"/>
      <c r="AP530" s="15"/>
      <c r="AQ530" s="15"/>
      <c r="AR530" s="23"/>
      <c r="AS530" s="15"/>
      <c r="AT530" s="15"/>
      <c r="AU530" s="23"/>
      <c r="AV530" s="23"/>
    </row>
    <row r="531" spans="1:48" x14ac:dyDescent="0.25">
      <c r="A531" t="s">
        <v>265</v>
      </c>
      <c r="B531" t="s">
        <v>7</v>
      </c>
      <c r="C531" s="10">
        <v>-2</v>
      </c>
      <c r="D531" t="s">
        <v>809</v>
      </c>
      <c r="E531" s="2">
        <f t="shared" si="105"/>
        <v>46213</v>
      </c>
      <c r="F531" s="3">
        <f t="shared" si="104"/>
        <v>4.8611111111111112E-3</v>
      </c>
      <c r="G531" t="s">
        <v>180</v>
      </c>
      <c r="H531" t="s">
        <v>181</v>
      </c>
      <c r="I531" t="s">
        <v>11</v>
      </c>
      <c r="J531" s="2">
        <v>46213</v>
      </c>
      <c r="K531" s="1">
        <v>1.0416666666666666E-2</v>
      </c>
      <c r="L531" s="10">
        <f t="shared" si="100"/>
        <v>7.9999999999999991</v>
      </c>
      <c r="M531" s="1" t="str">
        <f t="shared" ref="M531:M594" si="106">IF(L531&gt;=-15, "On Time", "Delayed")</f>
        <v>On Time</v>
      </c>
      <c r="N531" s="27" t="str">
        <f t="shared" si="101"/>
        <v>airBaltic</v>
      </c>
      <c r="O531" s="3" t="s">
        <v>1385</v>
      </c>
      <c r="P531" s="20">
        <f t="shared" si="102"/>
        <v>0</v>
      </c>
      <c r="Q531" s="3" t="s">
        <v>1385</v>
      </c>
      <c r="R531" s="23" t="str">
        <f t="shared" si="103"/>
        <v>Friday</v>
      </c>
      <c r="S531" s="3" t="s">
        <v>1385</v>
      </c>
      <c r="T531" s="23" t="s">
        <v>7</v>
      </c>
      <c r="U531" s="3" t="s">
        <v>1385</v>
      </c>
      <c r="AO531" s="15"/>
      <c r="AP531" s="15"/>
      <c r="AQ531" s="15"/>
      <c r="AR531" s="23"/>
      <c r="AS531" s="15"/>
      <c r="AT531" s="15"/>
      <c r="AU531" s="23"/>
      <c r="AV531" s="23"/>
    </row>
    <row r="532" spans="1:48" x14ac:dyDescent="0.25">
      <c r="A532" t="s">
        <v>267</v>
      </c>
      <c r="B532" t="s">
        <v>13</v>
      </c>
      <c r="C532" s="10">
        <v>0</v>
      </c>
      <c r="D532" t="s">
        <v>810</v>
      </c>
      <c r="E532" s="2">
        <v>46212</v>
      </c>
      <c r="F532" s="3">
        <f t="shared" si="104"/>
        <v>0.99513888888888891</v>
      </c>
      <c r="G532" t="s">
        <v>269</v>
      </c>
      <c r="H532" t="s">
        <v>270</v>
      </c>
      <c r="I532" t="s">
        <v>17</v>
      </c>
      <c r="J532" s="2">
        <v>46213</v>
      </c>
      <c r="K532" s="1">
        <v>1.0416666666666666E-2</v>
      </c>
      <c r="L532" s="10">
        <f t="shared" si="100"/>
        <v>22.000000000000082</v>
      </c>
      <c r="M532" s="1" t="str">
        <f t="shared" si="106"/>
        <v>On Time</v>
      </c>
      <c r="N532" s="27" t="str">
        <f t="shared" si="101"/>
        <v>Wizz Air</v>
      </c>
      <c r="O532" s="3" t="s">
        <v>1385</v>
      </c>
      <c r="P532" s="20">
        <f t="shared" si="102"/>
        <v>23</v>
      </c>
      <c r="Q532" s="3" t="s">
        <v>1385</v>
      </c>
      <c r="R532" s="23" t="str">
        <f t="shared" si="103"/>
        <v>Thursday</v>
      </c>
      <c r="S532" s="3" t="s">
        <v>1385</v>
      </c>
      <c r="T532" s="23" t="s">
        <v>13</v>
      </c>
      <c r="U532" s="3" t="s">
        <v>1385</v>
      </c>
      <c r="AO532" s="15"/>
      <c r="AP532" s="15"/>
      <c r="AQ532" s="15"/>
      <c r="AR532" s="23"/>
      <c r="AS532" s="15"/>
      <c r="AT532" s="15"/>
      <c r="AU532" s="23"/>
      <c r="AV532" s="23"/>
    </row>
    <row r="533" spans="1:48" x14ac:dyDescent="0.25">
      <c r="A533" t="s">
        <v>6</v>
      </c>
      <c r="B533" t="s">
        <v>7</v>
      </c>
      <c r="C533" s="10">
        <v>-33</v>
      </c>
      <c r="D533" t="s">
        <v>692</v>
      </c>
      <c r="E533" s="2">
        <f t="shared" si="105"/>
        <v>46213</v>
      </c>
      <c r="F533" s="3">
        <f t="shared" si="104"/>
        <v>3.2638888888888891E-2</v>
      </c>
      <c r="G533" t="s">
        <v>9</v>
      </c>
      <c r="H533" t="s">
        <v>10</v>
      </c>
      <c r="I533" t="s">
        <v>11</v>
      </c>
      <c r="J533" s="2">
        <v>46213</v>
      </c>
      <c r="K533" s="1">
        <v>2.0833333333333332E-2</v>
      </c>
      <c r="L533" s="10">
        <f t="shared" si="100"/>
        <v>-17.000000000000004</v>
      </c>
      <c r="M533" s="1" t="str">
        <f t="shared" si="106"/>
        <v>Delayed</v>
      </c>
      <c r="N533" s="27" t="str">
        <f t="shared" si="101"/>
        <v>airBaltic</v>
      </c>
      <c r="O533" s="3" t="s">
        <v>1318</v>
      </c>
      <c r="P533" s="20">
        <f t="shared" si="102"/>
        <v>0</v>
      </c>
      <c r="Q533" s="3" t="s">
        <v>1318</v>
      </c>
      <c r="R533" s="23" t="str">
        <f t="shared" si="103"/>
        <v>Friday</v>
      </c>
      <c r="S533" s="3" t="s">
        <v>1318</v>
      </c>
      <c r="T533" s="23" t="s">
        <v>7</v>
      </c>
      <c r="U533" s="3" t="s">
        <v>1318</v>
      </c>
      <c r="AO533" s="15"/>
      <c r="AP533" s="15"/>
      <c r="AQ533" s="15"/>
      <c r="AR533" s="23"/>
      <c r="AS533" s="15"/>
      <c r="AT533" s="15"/>
      <c r="AU533" s="23"/>
      <c r="AV533" s="23"/>
    </row>
    <row r="534" spans="1:48" x14ac:dyDescent="0.25">
      <c r="A534" t="s">
        <v>12</v>
      </c>
      <c r="B534" t="s">
        <v>13</v>
      </c>
      <c r="C534" s="10">
        <v>-25</v>
      </c>
      <c r="D534" t="s">
        <v>399</v>
      </c>
      <c r="E534" s="2">
        <f t="shared" si="105"/>
        <v>46213</v>
      </c>
      <c r="F534" s="3">
        <f t="shared" si="104"/>
        <v>1.8055555555555557E-2</v>
      </c>
      <c r="G534" t="s">
        <v>15</v>
      </c>
      <c r="H534" t="s">
        <v>16</v>
      </c>
      <c r="I534" t="s">
        <v>17</v>
      </c>
      <c r="J534" s="2">
        <v>46213</v>
      </c>
      <c r="K534" s="1">
        <v>2.0833333333333332E-2</v>
      </c>
      <c r="L534" s="10">
        <f t="shared" si="100"/>
        <v>3.9999999999999956</v>
      </c>
      <c r="M534" s="1" t="str">
        <f t="shared" si="106"/>
        <v>On Time</v>
      </c>
      <c r="N534" s="27" t="str">
        <f t="shared" si="101"/>
        <v>Wizz Air</v>
      </c>
      <c r="O534" s="3" t="s">
        <v>1385</v>
      </c>
      <c r="P534" s="20">
        <f t="shared" si="102"/>
        <v>0</v>
      </c>
      <c r="Q534" s="3" t="s">
        <v>1385</v>
      </c>
      <c r="R534" s="23" t="str">
        <f t="shared" si="103"/>
        <v>Friday</v>
      </c>
      <c r="S534" s="3" t="s">
        <v>1385</v>
      </c>
      <c r="T534" s="23" t="s">
        <v>13</v>
      </c>
      <c r="U534" s="3" t="s">
        <v>1385</v>
      </c>
      <c r="AO534" s="15"/>
      <c r="AP534" s="15"/>
      <c r="AQ534" s="15"/>
      <c r="AR534" s="23"/>
      <c r="AS534" s="15"/>
      <c r="AT534" s="15"/>
      <c r="AU534" s="23"/>
      <c r="AV534" s="23"/>
    </row>
    <row r="535" spans="1:48" x14ac:dyDescent="0.25">
      <c r="A535" t="s">
        <v>18</v>
      </c>
      <c r="B535" t="s">
        <v>19</v>
      </c>
      <c r="C535" s="10">
        <v>-17</v>
      </c>
      <c r="D535" t="s">
        <v>748</v>
      </c>
      <c r="E535" s="2">
        <f t="shared" si="105"/>
        <v>46213</v>
      </c>
      <c r="F535" s="3">
        <f t="shared" si="104"/>
        <v>2.361111111111111E-2</v>
      </c>
      <c r="G535" t="s">
        <v>21</v>
      </c>
      <c r="H535" t="s">
        <v>22</v>
      </c>
      <c r="I535" t="s">
        <v>237</v>
      </c>
      <c r="J535" s="2">
        <v>46213</v>
      </c>
      <c r="K535" s="1">
        <v>2.7777777777777776E-2</v>
      </c>
      <c r="L535" s="10">
        <f t="shared" si="100"/>
        <v>5.9999999999999982</v>
      </c>
      <c r="M535" s="1" t="str">
        <f t="shared" si="106"/>
        <v>On Time</v>
      </c>
      <c r="N535" s="27" t="str">
        <f t="shared" si="101"/>
        <v>LOT</v>
      </c>
      <c r="O535" s="3" t="s">
        <v>1385</v>
      </c>
      <c r="P535" s="20">
        <f t="shared" si="102"/>
        <v>0</v>
      </c>
      <c r="Q535" s="3" t="s">
        <v>1385</v>
      </c>
      <c r="R535" s="23" t="str">
        <f t="shared" si="103"/>
        <v>Friday</v>
      </c>
      <c r="S535" s="3" t="s">
        <v>1385</v>
      </c>
      <c r="T535" s="23" t="s">
        <v>19</v>
      </c>
      <c r="U535" s="3" t="s">
        <v>1385</v>
      </c>
      <c r="AO535" s="15"/>
      <c r="AP535" s="15"/>
      <c r="AQ535" s="15"/>
      <c r="AR535" s="23"/>
      <c r="AS535" s="15"/>
      <c r="AT535" s="15"/>
      <c r="AU535" s="23"/>
      <c r="AV535" s="23"/>
    </row>
    <row r="536" spans="1:48" x14ac:dyDescent="0.25">
      <c r="A536" t="s">
        <v>24</v>
      </c>
      <c r="B536" t="s">
        <v>7</v>
      </c>
      <c r="C536" s="10">
        <v>-34</v>
      </c>
      <c r="D536" t="s">
        <v>403</v>
      </c>
      <c r="E536" s="2">
        <f t="shared" si="105"/>
        <v>46213</v>
      </c>
      <c r="F536" s="3">
        <f t="shared" si="104"/>
        <v>4.2361111111111106E-2</v>
      </c>
      <c r="G536" t="s">
        <v>26</v>
      </c>
      <c r="H536" t="s">
        <v>27</v>
      </c>
      <c r="I536" t="s">
        <v>11</v>
      </c>
      <c r="J536" s="2">
        <v>46213</v>
      </c>
      <c r="K536" s="1">
        <v>3.125E-2</v>
      </c>
      <c r="L536" s="10">
        <f t="shared" si="100"/>
        <v>-15.999999999999993</v>
      </c>
      <c r="M536" s="1" t="str">
        <f t="shared" si="106"/>
        <v>Delayed</v>
      </c>
      <c r="N536" s="27" t="str">
        <f t="shared" si="101"/>
        <v>airBaltic</v>
      </c>
      <c r="O536" s="3" t="s">
        <v>1318</v>
      </c>
      <c r="P536" s="20">
        <f t="shared" si="102"/>
        <v>1</v>
      </c>
      <c r="Q536" s="3" t="s">
        <v>1318</v>
      </c>
      <c r="R536" s="23" t="str">
        <f t="shared" si="103"/>
        <v>Friday</v>
      </c>
      <c r="S536" s="3" t="s">
        <v>1318</v>
      </c>
      <c r="T536" s="23" t="s">
        <v>7</v>
      </c>
      <c r="U536" s="3" t="s">
        <v>1318</v>
      </c>
      <c r="AO536" s="15"/>
      <c r="AP536" s="15"/>
      <c r="AQ536" s="15"/>
      <c r="AR536" s="23"/>
      <c r="AS536" s="15"/>
      <c r="AT536" s="15"/>
      <c r="AU536" s="23"/>
      <c r="AV536" s="23"/>
    </row>
    <row r="537" spans="1:48" x14ac:dyDescent="0.25">
      <c r="A537" t="s">
        <v>36</v>
      </c>
      <c r="B537" t="s">
        <v>7</v>
      </c>
      <c r="C537" s="10">
        <v>-22</v>
      </c>
      <c r="D537" t="s">
        <v>811</v>
      </c>
      <c r="E537" s="2">
        <f t="shared" si="105"/>
        <v>46213</v>
      </c>
      <c r="F537" s="3">
        <f t="shared" si="104"/>
        <v>6.1805555555555558E-2</v>
      </c>
      <c r="G537" t="s">
        <v>38</v>
      </c>
      <c r="H537" t="s">
        <v>39</v>
      </c>
      <c r="I537" t="s">
        <v>11</v>
      </c>
      <c r="J537" s="2">
        <v>46213</v>
      </c>
      <c r="K537" s="1">
        <v>5.9027777777777783E-2</v>
      </c>
      <c r="L537" s="10">
        <f t="shared" si="100"/>
        <v>-3.9999999999999956</v>
      </c>
      <c r="M537" s="1" t="str">
        <f t="shared" si="106"/>
        <v>On Time</v>
      </c>
      <c r="N537" s="27" t="str">
        <f t="shared" si="101"/>
        <v>airBaltic</v>
      </c>
      <c r="O537" s="3" t="s">
        <v>1385</v>
      </c>
      <c r="P537" s="20">
        <f t="shared" si="102"/>
        <v>1</v>
      </c>
      <c r="Q537" s="3" t="s">
        <v>1385</v>
      </c>
      <c r="R537" s="23" t="str">
        <f t="shared" si="103"/>
        <v>Friday</v>
      </c>
      <c r="S537" s="3" t="s">
        <v>1385</v>
      </c>
      <c r="T537" s="23" t="s">
        <v>7</v>
      </c>
      <c r="U537" s="3" t="s">
        <v>1385</v>
      </c>
      <c r="AO537" s="15"/>
      <c r="AP537" s="15"/>
      <c r="AQ537" s="15"/>
      <c r="AR537" s="23"/>
      <c r="AS537" s="15"/>
      <c r="AT537" s="15"/>
      <c r="AU537" s="23"/>
      <c r="AV537" s="23"/>
    </row>
    <row r="538" spans="1:48" x14ac:dyDescent="0.25">
      <c r="A538" t="s">
        <v>40</v>
      </c>
      <c r="B538" t="s">
        <v>41</v>
      </c>
      <c r="C538" s="10">
        <v>-3</v>
      </c>
      <c r="D538" t="s">
        <v>812</v>
      </c>
      <c r="E538" s="2">
        <f t="shared" si="105"/>
        <v>46213</v>
      </c>
      <c r="F538" s="3">
        <f t="shared" si="104"/>
        <v>4.9305555555555554E-2</v>
      </c>
      <c r="G538" t="s">
        <v>43</v>
      </c>
      <c r="H538" t="s">
        <v>44</v>
      </c>
      <c r="I538" t="s">
        <v>158</v>
      </c>
      <c r="J538" s="2">
        <v>46213</v>
      </c>
      <c r="K538" s="1">
        <v>5.9027777777777783E-2</v>
      </c>
      <c r="L538" s="10">
        <f t="shared" si="100"/>
        <v>14.000000000000011</v>
      </c>
      <c r="M538" s="1" t="str">
        <f t="shared" si="106"/>
        <v>On Time</v>
      </c>
      <c r="N538" s="27" t="str">
        <f t="shared" si="101"/>
        <v>SAS</v>
      </c>
      <c r="O538" s="3" t="s">
        <v>1385</v>
      </c>
      <c r="P538" s="20">
        <f t="shared" si="102"/>
        <v>1</v>
      </c>
      <c r="Q538" s="3" t="s">
        <v>1385</v>
      </c>
      <c r="R538" s="23" t="str">
        <f t="shared" si="103"/>
        <v>Friday</v>
      </c>
      <c r="S538" s="3" t="s">
        <v>1385</v>
      </c>
      <c r="T538" s="23" t="s">
        <v>41</v>
      </c>
      <c r="U538" s="3" t="s">
        <v>1385</v>
      </c>
      <c r="AO538" s="15"/>
      <c r="AP538" s="15"/>
      <c r="AQ538" s="15"/>
      <c r="AR538" s="23"/>
      <c r="AS538" s="15"/>
      <c r="AT538" s="15"/>
      <c r="AU538" s="23"/>
      <c r="AV538" s="23"/>
    </row>
    <row r="539" spans="1:48" x14ac:dyDescent="0.25">
      <c r="A539" t="s">
        <v>285</v>
      </c>
      <c r="B539" t="s">
        <v>13</v>
      </c>
      <c r="C539" s="10">
        <v>159</v>
      </c>
      <c r="D539" t="s">
        <v>408</v>
      </c>
      <c r="E539" s="2">
        <f t="shared" si="105"/>
        <v>46213</v>
      </c>
      <c r="F539" s="3">
        <f t="shared" si="104"/>
        <v>5.9027777777777783E-2</v>
      </c>
      <c r="G539" t="s">
        <v>287</v>
      </c>
      <c r="H539" t="s">
        <v>288</v>
      </c>
      <c r="I539" t="s">
        <v>17</v>
      </c>
      <c r="J539" s="2">
        <v>46213</v>
      </c>
      <c r="K539" s="1">
        <v>5.9027777777777783E-2</v>
      </c>
      <c r="L539" s="10">
        <f t="shared" si="100"/>
        <v>0</v>
      </c>
      <c r="M539" s="1" t="str">
        <f t="shared" si="106"/>
        <v>On Time</v>
      </c>
      <c r="N539" s="27" t="str">
        <f t="shared" si="101"/>
        <v>Wizz Air</v>
      </c>
      <c r="O539" s="3" t="s">
        <v>1385</v>
      </c>
      <c r="P539" s="20">
        <f t="shared" si="102"/>
        <v>1</v>
      </c>
      <c r="Q539" s="3" t="s">
        <v>1385</v>
      </c>
      <c r="R539" s="23" t="str">
        <f t="shared" si="103"/>
        <v>Friday</v>
      </c>
      <c r="S539" s="3" t="s">
        <v>1385</v>
      </c>
      <c r="T539" s="23" t="s">
        <v>13</v>
      </c>
      <c r="U539" s="3" t="s">
        <v>1385</v>
      </c>
      <c r="AO539" s="15"/>
      <c r="AP539" s="15"/>
      <c r="AQ539" s="15"/>
      <c r="AR539" s="23"/>
      <c r="AS539" s="15"/>
      <c r="AT539" s="15"/>
      <c r="AU539" s="23"/>
      <c r="AV539" s="23"/>
    </row>
    <row r="540" spans="1:48" x14ac:dyDescent="0.25">
      <c r="A540" t="s">
        <v>46</v>
      </c>
      <c r="B540" t="s">
        <v>47</v>
      </c>
      <c r="D540" t="s">
        <v>813</v>
      </c>
      <c r="E540" s="2">
        <f t="shared" si="105"/>
        <v>46213</v>
      </c>
      <c r="F540" s="3">
        <f t="shared" si="104"/>
        <v>0.13402777777777777</v>
      </c>
      <c r="G540" t="s">
        <v>49</v>
      </c>
      <c r="H540" t="s">
        <v>50</v>
      </c>
      <c r="I540" t="s">
        <v>51</v>
      </c>
      <c r="J540" s="2">
        <v>46213</v>
      </c>
      <c r="K540" s="1">
        <v>0.1388888888888889</v>
      </c>
      <c r="L540" s="10">
        <f t="shared" si="100"/>
        <v>7.0000000000000151</v>
      </c>
      <c r="M540" s="1" t="str">
        <f t="shared" si="106"/>
        <v>On Time</v>
      </c>
      <c r="N540" s="27" t="e">
        <f t="shared" si="101"/>
        <v>#N/A</v>
      </c>
      <c r="O540" s="3" t="s">
        <v>1385</v>
      </c>
      <c r="P540" s="20">
        <f t="shared" si="102"/>
        <v>3</v>
      </c>
      <c r="Q540" s="3" t="s">
        <v>1385</v>
      </c>
      <c r="R540" s="23" t="str">
        <f t="shared" si="103"/>
        <v>Friday</v>
      </c>
      <c r="S540" s="3" t="s">
        <v>1385</v>
      </c>
      <c r="T540" s="23" t="s">
        <v>47</v>
      </c>
      <c r="U540" s="3" t="s">
        <v>1385</v>
      </c>
      <c r="AO540" s="15"/>
      <c r="AP540" s="15"/>
      <c r="AQ540" s="15"/>
      <c r="AR540" s="23"/>
      <c r="AS540" s="15"/>
      <c r="AT540" s="15"/>
      <c r="AU540" s="23"/>
      <c r="AV540" s="23"/>
    </row>
    <row r="541" spans="1:48" x14ac:dyDescent="0.25">
      <c r="A541" t="s">
        <v>54</v>
      </c>
      <c r="B541" t="s">
        <v>55</v>
      </c>
      <c r="C541" s="10">
        <v>-7</v>
      </c>
      <c r="D541" t="s">
        <v>814</v>
      </c>
      <c r="E541" s="2">
        <f t="shared" si="105"/>
        <v>46213</v>
      </c>
      <c r="F541" s="3">
        <f t="shared" si="104"/>
        <v>0.31666666666666665</v>
      </c>
      <c r="G541" t="s">
        <v>57</v>
      </c>
      <c r="H541" t="s">
        <v>58</v>
      </c>
      <c r="I541" t="s">
        <v>59</v>
      </c>
      <c r="J541" s="2">
        <v>46213</v>
      </c>
      <c r="K541" s="1">
        <v>0.32222222222222224</v>
      </c>
      <c r="L541" s="10">
        <f t="shared" si="100"/>
        <v>8.0000000000000515</v>
      </c>
      <c r="M541" s="1" t="str">
        <f t="shared" si="106"/>
        <v>On Time</v>
      </c>
      <c r="N541" s="27" t="e">
        <f t="shared" si="101"/>
        <v>#N/A</v>
      </c>
      <c r="O541" s="3" t="s">
        <v>1385</v>
      </c>
      <c r="P541" s="20">
        <f t="shared" si="102"/>
        <v>7</v>
      </c>
      <c r="Q541" s="3" t="s">
        <v>1385</v>
      </c>
      <c r="R541" s="23" t="str">
        <f t="shared" si="103"/>
        <v>Friday</v>
      </c>
      <c r="S541" s="3" t="s">
        <v>1385</v>
      </c>
      <c r="T541" s="23" t="s">
        <v>55</v>
      </c>
      <c r="U541" s="3" t="s">
        <v>1385</v>
      </c>
      <c r="AO541" s="15"/>
      <c r="AP541" s="15"/>
      <c r="AQ541" s="15"/>
      <c r="AR541" s="23"/>
      <c r="AS541" s="15"/>
      <c r="AT541" s="15"/>
      <c r="AU541" s="23"/>
      <c r="AV541" s="23"/>
    </row>
    <row r="542" spans="1:48" x14ac:dyDescent="0.25">
      <c r="A542" t="s">
        <v>60</v>
      </c>
      <c r="B542" t="s">
        <v>7</v>
      </c>
      <c r="C542" s="10">
        <v>-3</v>
      </c>
      <c r="D542" t="s">
        <v>815</v>
      </c>
      <c r="E542" s="2">
        <f t="shared" si="105"/>
        <v>46213</v>
      </c>
      <c r="F542" s="3">
        <f t="shared" si="104"/>
        <v>0.35000000000000003</v>
      </c>
      <c r="G542" t="s">
        <v>9</v>
      </c>
      <c r="H542" t="s">
        <v>10</v>
      </c>
      <c r="I542" t="s">
        <v>11</v>
      </c>
      <c r="J542" s="2">
        <v>46213</v>
      </c>
      <c r="K542" s="1">
        <v>0.3611111111111111</v>
      </c>
      <c r="L542" s="10">
        <f t="shared" si="100"/>
        <v>15.999999999999943</v>
      </c>
      <c r="M542" s="1" t="str">
        <f t="shared" si="106"/>
        <v>On Time</v>
      </c>
      <c r="N542" s="27" t="str">
        <f t="shared" si="101"/>
        <v>airBaltic</v>
      </c>
      <c r="O542" s="3" t="s">
        <v>1385</v>
      </c>
      <c r="P542" s="20">
        <f t="shared" si="102"/>
        <v>8</v>
      </c>
      <c r="Q542" s="3" t="s">
        <v>1385</v>
      </c>
      <c r="R542" s="23" t="str">
        <f t="shared" si="103"/>
        <v>Friday</v>
      </c>
      <c r="S542" s="3" t="s">
        <v>1385</v>
      </c>
      <c r="T542" s="23" t="s">
        <v>7</v>
      </c>
      <c r="U542" s="3" t="s">
        <v>1385</v>
      </c>
      <c r="AO542" s="15"/>
      <c r="AP542" s="15"/>
      <c r="AQ542" s="15"/>
      <c r="AR542" s="23"/>
      <c r="AS542" s="15"/>
      <c r="AT542" s="15"/>
      <c r="AU542" s="23"/>
      <c r="AV542" s="23"/>
    </row>
    <row r="543" spans="1:48" x14ac:dyDescent="0.25">
      <c r="A543" t="s">
        <v>291</v>
      </c>
      <c r="B543" t="s">
        <v>13</v>
      </c>
      <c r="C543" s="10">
        <v>-4</v>
      </c>
      <c r="D543" t="s">
        <v>816</v>
      </c>
      <c r="E543" s="2">
        <f t="shared" si="105"/>
        <v>46213</v>
      </c>
      <c r="F543" s="3">
        <f t="shared" si="104"/>
        <v>0.3611111111111111</v>
      </c>
      <c r="G543" t="s">
        <v>293</v>
      </c>
      <c r="H543" t="s">
        <v>294</v>
      </c>
      <c r="I543" t="s">
        <v>17</v>
      </c>
      <c r="J543" s="2">
        <v>46213</v>
      </c>
      <c r="K543" s="1">
        <v>0.36805555555555558</v>
      </c>
      <c r="L543" s="10">
        <f t="shared" si="100"/>
        <v>10.000000000000044</v>
      </c>
      <c r="M543" s="1" t="str">
        <f t="shared" si="106"/>
        <v>On Time</v>
      </c>
      <c r="N543" s="27" t="str">
        <f t="shared" si="101"/>
        <v>Wizz Air</v>
      </c>
      <c r="O543" s="3" t="s">
        <v>1385</v>
      </c>
      <c r="P543" s="20">
        <f t="shared" si="102"/>
        <v>8</v>
      </c>
      <c r="Q543" s="3" t="s">
        <v>1385</v>
      </c>
      <c r="R543" s="23" t="str">
        <f t="shared" si="103"/>
        <v>Friday</v>
      </c>
      <c r="S543" s="3" t="s">
        <v>1385</v>
      </c>
      <c r="T543" s="23" t="s">
        <v>13</v>
      </c>
      <c r="U543" s="3" t="s">
        <v>1385</v>
      </c>
      <c r="AO543" s="15"/>
      <c r="AP543" s="15"/>
      <c r="AQ543" s="15"/>
      <c r="AR543" s="23"/>
      <c r="AS543" s="15"/>
      <c r="AT543" s="15"/>
      <c r="AU543" s="23"/>
      <c r="AV543" s="23"/>
    </row>
    <row r="544" spans="1:48" x14ac:dyDescent="0.25">
      <c r="A544" t="s">
        <v>68</v>
      </c>
      <c r="B544" t="s">
        <v>69</v>
      </c>
      <c r="C544" s="10">
        <v>-3</v>
      </c>
      <c r="D544" t="s">
        <v>817</v>
      </c>
      <c r="E544" s="2">
        <f t="shared" si="105"/>
        <v>46213</v>
      </c>
      <c r="F544" s="3">
        <f t="shared" si="104"/>
        <v>0.36388888888888887</v>
      </c>
      <c r="G544" t="s">
        <v>71</v>
      </c>
      <c r="H544" t="s">
        <v>72</v>
      </c>
      <c r="I544" t="s">
        <v>295</v>
      </c>
      <c r="J544" s="2">
        <v>46213</v>
      </c>
      <c r="K544" s="1">
        <v>0.37152777777777773</v>
      </c>
      <c r="L544" s="10">
        <f t="shared" si="100"/>
        <v>10.999999999999961</v>
      </c>
      <c r="M544" s="1" t="str">
        <f t="shared" si="106"/>
        <v>On Time</v>
      </c>
      <c r="N544" s="27" t="str">
        <f t="shared" si="101"/>
        <v>Finnair</v>
      </c>
      <c r="O544" s="3" t="s">
        <v>1385</v>
      </c>
      <c r="P544" s="20">
        <f t="shared" si="102"/>
        <v>8</v>
      </c>
      <c r="Q544" s="3" t="s">
        <v>1385</v>
      </c>
      <c r="R544" s="23" t="str">
        <f t="shared" si="103"/>
        <v>Friday</v>
      </c>
      <c r="S544" s="3" t="s">
        <v>1385</v>
      </c>
      <c r="T544" s="23" t="s">
        <v>69</v>
      </c>
      <c r="U544" s="3" t="s">
        <v>1385</v>
      </c>
      <c r="AO544" s="15"/>
      <c r="AP544" s="15"/>
      <c r="AQ544" s="15"/>
      <c r="AR544" s="23"/>
      <c r="AS544" s="15"/>
      <c r="AT544" s="15"/>
      <c r="AU544" s="23"/>
      <c r="AV544" s="23"/>
    </row>
    <row r="545" spans="1:48" x14ac:dyDescent="0.25">
      <c r="A545" t="s">
        <v>74</v>
      </c>
      <c r="B545" t="s">
        <v>13</v>
      </c>
      <c r="C545" s="10">
        <v>2</v>
      </c>
      <c r="D545" t="s">
        <v>818</v>
      </c>
      <c r="E545" s="2">
        <f t="shared" si="105"/>
        <v>46213</v>
      </c>
      <c r="F545" s="3">
        <f t="shared" si="104"/>
        <v>0.37152777777777773</v>
      </c>
      <c r="G545" t="s">
        <v>76</v>
      </c>
      <c r="H545" t="s">
        <v>77</v>
      </c>
      <c r="I545" t="s">
        <v>17</v>
      </c>
      <c r="J545" s="2">
        <v>46213</v>
      </c>
      <c r="K545" s="1">
        <v>0.3888888888888889</v>
      </c>
      <c r="L545" s="10">
        <f t="shared" si="100"/>
        <v>25.000000000000071</v>
      </c>
      <c r="M545" s="1" t="str">
        <f t="shared" si="106"/>
        <v>On Time</v>
      </c>
      <c r="N545" s="27" t="str">
        <f t="shared" si="101"/>
        <v>Wizz Air</v>
      </c>
      <c r="O545" s="3" t="s">
        <v>1385</v>
      </c>
      <c r="P545" s="20">
        <f t="shared" si="102"/>
        <v>8</v>
      </c>
      <c r="Q545" s="3" t="s">
        <v>1385</v>
      </c>
      <c r="R545" s="23" t="str">
        <f t="shared" si="103"/>
        <v>Friday</v>
      </c>
      <c r="S545" s="3" t="s">
        <v>1385</v>
      </c>
      <c r="T545" s="23" t="s">
        <v>13</v>
      </c>
      <c r="U545" s="3" t="s">
        <v>1385</v>
      </c>
      <c r="AO545" s="15"/>
      <c r="AP545" s="15"/>
      <c r="AQ545" s="15"/>
      <c r="AR545" s="23"/>
      <c r="AS545" s="15"/>
      <c r="AT545" s="15"/>
      <c r="AU545" s="23"/>
      <c r="AV545" s="23"/>
    </row>
    <row r="546" spans="1:48" x14ac:dyDescent="0.25">
      <c r="A546" t="s">
        <v>159</v>
      </c>
      <c r="B546" t="s">
        <v>85</v>
      </c>
      <c r="C546" s="10">
        <v>0</v>
      </c>
      <c r="D546" t="s">
        <v>819</v>
      </c>
      <c r="E546" s="2">
        <f t="shared" si="105"/>
        <v>46213</v>
      </c>
      <c r="F546" s="3">
        <f t="shared" si="104"/>
        <v>0.38611111111111113</v>
      </c>
      <c r="G546" t="s">
        <v>34</v>
      </c>
      <c r="H546" t="s">
        <v>161</v>
      </c>
      <c r="I546" t="s">
        <v>89</v>
      </c>
      <c r="J546" s="2">
        <v>46213</v>
      </c>
      <c r="K546" s="1">
        <v>0.39930555555555558</v>
      </c>
      <c r="L546" s="10">
        <f t="shared" si="100"/>
        <v>19.000000000000014</v>
      </c>
      <c r="M546" s="1" t="str">
        <f t="shared" si="106"/>
        <v>On Time</v>
      </c>
      <c r="N546" s="27" t="str">
        <f t="shared" si="101"/>
        <v>Ryanair</v>
      </c>
      <c r="O546" s="3" t="s">
        <v>1385</v>
      </c>
      <c r="P546" s="20">
        <f t="shared" si="102"/>
        <v>9</v>
      </c>
      <c r="Q546" s="3" t="s">
        <v>1385</v>
      </c>
      <c r="R546" s="23" t="str">
        <f t="shared" si="103"/>
        <v>Friday</v>
      </c>
      <c r="S546" s="3" t="s">
        <v>1385</v>
      </c>
      <c r="T546" s="23" t="s">
        <v>85</v>
      </c>
      <c r="U546" s="3" t="s">
        <v>1385</v>
      </c>
      <c r="AO546" s="15"/>
      <c r="AP546" s="15"/>
      <c r="AQ546" s="15"/>
      <c r="AR546" s="23"/>
      <c r="AS546" s="15"/>
      <c r="AT546" s="15"/>
      <c r="AU546" s="23"/>
      <c r="AV546" s="23"/>
    </row>
    <row r="547" spans="1:48" x14ac:dyDescent="0.25">
      <c r="A547" t="s">
        <v>90</v>
      </c>
      <c r="B547" t="s">
        <v>19</v>
      </c>
      <c r="C547" s="10">
        <v>-11</v>
      </c>
      <c r="D547" t="s">
        <v>820</v>
      </c>
      <c r="E547" s="2">
        <f t="shared" si="105"/>
        <v>46213</v>
      </c>
      <c r="F547" s="3">
        <f t="shared" si="104"/>
        <v>0.41319444444444442</v>
      </c>
      <c r="G547" t="s">
        <v>21</v>
      </c>
      <c r="H547" t="s">
        <v>22</v>
      </c>
      <c r="I547" t="s">
        <v>177</v>
      </c>
      <c r="J547" s="2">
        <v>46213</v>
      </c>
      <c r="K547" s="1">
        <v>0.4201388888888889</v>
      </c>
      <c r="L547" s="10">
        <f t="shared" si="100"/>
        <v>10.000000000000044</v>
      </c>
      <c r="M547" s="1" t="str">
        <f t="shared" si="106"/>
        <v>On Time</v>
      </c>
      <c r="N547" s="27" t="str">
        <f t="shared" si="101"/>
        <v>LOT</v>
      </c>
      <c r="O547" s="3" t="s">
        <v>1385</v>
      </c>
      <c r="P547" s="20">
        <f t="shared" si="102"/>
        <v>9</v>
      </c>
      <c r="Q547" s="3" t="s">
        <v>1385</v>
      </c>
      <c r="R547" s="23" t="str">
        <f t="shared" si="103"/>
        <v>Friday</v>
      </c>
      <c r="S547" s="3" t="s">
        <v>1385</v>
      </c>
      <c r="T547" s="23" t="s">
        <v>19</v>
      </c>
      <c r="U547" s="3" t="s">
        <v>1385</v>
      </c>
      <c r="AO547" s="15"/>
      <c r="AP547" s="15"/>
      <c r="AQ547" s="15"/>
      <c r="AR547" s="23"/>
      <c r="AS547" s="15"/>
      <c r="AT547" s="15"/>
      <c r="AU547" s="23"/>
      <c r="AV547" s="23"/>
    </row>
    <row r="548" spans="1:48" x14ac:dyDescent="0.25">
      <c r="A548" t="s">
        <v>95</v>
      </c>
      <c r="B548" t="s">
        <v>96</v>
      </c>
      <c r="C548" s="10">
        <v>-34</v>
      </c>
      <c r="D548" t="s">
        <v>702</v>
      </c>
      <c r="E548" s="2">
        <f t="shared" si="105"/>
        <v>46213</v>
      </c>
      <c r="F548" s="3">
        <f t="shared" si="104"/>
        <v>0.44930555555555557</v>
      </c>
      <c r="G548" t="s">
        <v>98</v>
      </c>
      <c r="H548" t="s">
        <v>99</v>
      </c>
      <c r="I548" t="s">
        <v>188</v>
      </c>
      <c r="J548" s="2">
        <v>46213</v>
      </c>
      <c r="K548" s="1">
        <v>0.44791666666666669</v>
      </c>
      <c r="L548" s="10">
        <f t="shared" si="100"/>
        <v>-1.9999999999999929</v>
      </c>
      <c r="M548" s="1" t="str">
        <f t="shared" si="106"/>
        <v>On Time</v>
      </c>
      <c r="N548" s="27" t="str">
        <f t="shared" si="101"/>
        <v>Turkish Airlines</v>
      </c>
      <c r="O548" s="3" t="s">
        <v>1385</v>
      </c>
      <c r="P548" s="20">
        <f t="shared" si="102"/>
        <v>10</v>
      </c>
      <c r="Q548" s="3" t="s">
        <v>1385</v>
      </c>
      <c r="R548" s="23" t="str">
        <f t="shared" si="103"/>
        <v>Friday</v>
      </c>
      <c r="S548" s="3" t="s">
        <v>1385</v>
      </c>
      <c r="T548" s="23" t="s">
        <v>96</v>
      </c>
      <c r="U548" s="3" t="s">
        <v>1385</v>
      </c>
      <c r="AO548" s="15"/>
      <c r="AP548" s="15"/>
      <c r="AQ548" s="15"/>
      <c r="AR548" s="23"/>
      <c r="AS548" s="15"/>
      <c r="AT548" s="15"/>
      <c r="AU548" s="23"/>
      <c r="AV548" s="23"/>
    </row>
    <row r="549" spans="1:48" x14ac:dyDescent="0.25">
      <c r="A549" t="s">
        <v>306</v>
      </c>
      <c r="B549" t="s">
        <v>239</v>
      </c>
      <c r="D549" t="s">
        <v>821</v>
      </c>
      <c r="E549" s="2">
        <f t="shared" si="105"/>
        <v>46213</v>
      </c>
      <c r="F549" s="3">
        <f t="shared" si="104"/>
        <v>0.45833333333333331</v>
      </c>
      <c r="G549" t="s">
        <v>308</v>
      </c>
      <c r="H549" t="s">
        <v>309</v>
      </c>
      <c r="I549" t="s">
        <v>83</v>
      </c>
      <c r="J549" s="2">
        <v>46213</v>
      </c>
      <c r="K549" s="1">
        <v>0.45833333333333331</v>
      </c>
      <c r="L549" s="10">
        <f t="shared" si="100"/>
        <v>0</v>
      </c>
      <c r="M549" s="1" t="str">
        <f t="shared" si="106"/>
        <v>On Time</v>
      </c>
      <c r="N549" s="27" t="str">
        <f t="shared" si="101"/>
        <v>Eurowings</v>
      </c>
      <c r="O549" s="3" t="s">
        <v>1385</v>
      </c>
      <c r="P549" s="20">
        <f t="shared" si="102"/>
        <v>11</v>
      </c>
      <c r="Q549" s="3" t="s">
        <v>1385</v>
      </c>
      <c r="R549" s="23" t="str">
        <f t="shared" si="103"/>
        <v>Friday</v>
      </c>
      <c r="S549" s="3" t="s">
        <v>1385</v>
      </c>
      <c r="T549" s="23" t="s">
        <v>239</v>
      </c>
      <c r="U549" s="3" t="s">
        <v>1385</v>
      </c>
      <c r="AO549" s="15"/>
      <c r="AP549" s="15"/>
      <c r="AQ549" s="15"/>
      <c r="AR549" s="23"/>
      <c r="AS549" s="15"/>
      <c r="AT549" s="15"/>
      <c r="AU549" s="23"/>
      <c r="AV549" s="23"/>
    </row>
    <row r="550" spans="1:48" x14ac:dyDescent="0.25">
      <c r="A550" t="s">
        <v>213</v>
      </c>
      <c r="B550" t="s">
        <v>85</v>
      </c>
      <c r="C550" s="10">
        <v>-25</v>
      </c>
      <c r="D550" t="s">
        <v>496</v>
      </c>
      <c r="E550" s="2">
        <f t="shared" si="105"/>
        <v>46213</v>
      </c>
      <c r="F550" s="3">
        <f t="shared" si="104"/>
        <v>0.46111111111111108</v>
      </c>
      <c r="G550" t="s">
        <v>102</v>
      </c>
      <c r="H550" t="s">
        <v>115</v>
      </c>
      <c r="I550" t="s">
        <v>162</v>
      </c>
      <c r="J550" s="2">
        <v>46213</v>
      </c>
      <c r="K550" s="1">
        <v>0.46527777777777773</v>
      </c>
      <c r="L550" s="10">
        <f t="shared" si="100"/>
        <v>5.9999999999999787</v>
      </c>
      <c r="M550" s="1" t="str">
        <f t="shared" si="106"/>
        <v>On Time</v>
      </c>
      <c r="N550" s="27" t="str">
        <f t="shared" si="101"/>
        <v>Ryanair</v>
      </c>
      <c r="O550" s="3" t="s">
        <v>1385</v>
      </c>
      <c r="P550" s="20">
        <f t="shared" si="102"/>
        <v>11</v>
      </c>
      <c r="Q550" s="3" t="s">
        <v>1385</v>
      </c>
      <c r="R550" s="23" t="str">
        <f t="shared" si="103"/>
        <v>Friday</v>
      </c>
      <c r="S550" s="3" t="s">
        <v>1385</v>
      </c>
      <c r="T550" s="23" t="s">
        <v>85</v>
      </c>
      <c r="U550" s="3" t="s">
        <v>1385</v>
      </c>
      <c r="AO550" s="15"/>
      <c r="AP550" s="15"/>
      <c r="AQ550" s="15"/>
      <c r="AR550" s="23"/>
      <c r="AS550" s="15"/>
      <c r="AT550" s="15"/>
      <c r="AU550" s="23"/>
      <c r="AV550" s="23"/>
    </row>
    <row r="551" spans="1:48" x14ac:dyDescent="0.25">
      <c r="A551" t="s">
        <v>28</v>
      </c>
      <c r="B551" t="s">
        <v>7</v>
      </c>
      <c r="C551" s="10">
        <v>-9</v>
      </c>
      <c r="D551" t="s">
        <v>822</v>
      </c>
      <c r="E551" s="2">
        <f t="shared" si="105"/>
        <v>46213</v>
      </c>
      <c r="F551" s="3">
        <f t="shared" si="104"/>
        <v>0.50277777777777777</v>
      </c>
      <c r="G551" t="s">
        <v>30</v>
      </c>
      <c r="H551" t="s">
        <v>31</v>
      </c>
      <c r="I551" t="s">
        <v>11</v>
      </c>
      <c r="J551" s="2">
        <v>46213</v>
      </c>
      <c r="K551" s="1">
        <v>0.51736111111111105</v>
      </c>
      <c r="L551" s="10">
        <f t="shared" si="100"/>
        <v>20.999999999999925</v>
      </c>
      <c r="M551" s="1" t="str">
        <f t="shared" si="106"/>
        <v>On Time</v>
      </c>
      <c r="N551" s="27" t="str">
        <f t="shared" si="101"/>
        <v>airBaltic</v>
      </c>
      <c r="O551" s="3" t="s">
        <v>1385</v>
      </c>
      <c r="P551" s="20">
        <f t="shared" si="102"/>
        <v>12</v>
      </c>
      <c r="Q551" s="3" t="s">
        <v>1385</v>
      </c>
      <c r="R551" s="23" t="str">
        <f t="shared" si="103"/>
        <v>Friday</v>
      </c>
      <c r="S551" s="3" t="s">
        <v>1385</v>
      </c>
      <c r="T551" s="23" t="s">
        <v>7</v>
      </c>
      <c r="U551" s="3" t="s">
        <v>1385</v>
      </c>
      <c r="AO551" s="15"/>
      <c r="AP551" s="15"/>
      <c r="AQ551" s="15"/>
      <c r="AR551" s="23"/>
      <c r="AS551" s="15"/>
      <c r="AT551" s="15"/>
      <c r="AU551" s="23"/>
      <c r="AV551" s="23"/>
    </row>
    <row r="552" spans="1:48" x14ac:dyDescent="0.25">
      <c r="A552" t="s">
        <v>108</v>
      </c>
      <c r="B552" t="s">
        <v>190</v>
      </c>
      <c r="C552" s="10">
        <v>-17</v>
      </c>
      <c r="D552" t="s">
        <v>118</v>
      </c>
      <c r="E552" s="2">
        <f t="shared" si="105"/>
        <v>46213</v>
      </c>
      <c r="F552" s="3">
        <f t="shared" si="104"/>
        <v>0.52569444444444446</v>
      </c>
      <c r="G552" t="s">
        <v>110</v>
      </c>
      <c r="H552" t="s">
        <v>111</v>
      </c>
      <c r="I552" t="s">
        <v>260</v>
      </c>
      <c r="J552" s="2">
        <v>46213</v>
      </c>
      <c r="K552" s="1">
        <v>0.52777777777777779</v>
      </c>
      <c r="L552" s="10">
        <f t="shared" si="100"/>
        <v>2.9999999999999893</v>
      </c>
      <c r="M552" s="1" t="str">
        <f t="shared" si="106"/>
        <v>On Time</v>
      </c>
      <c r="N552" s="27" t="str">
        <f t="shared" si="101"/>
        <v>Lufthansa</v>
      </c>
      <c r="O552" s="3" t="s">
        <v>1385</v>
      </c>
      <c r="P552" s="20">
        <f t="shared" si="102"/>
        <v>12</v>
      </c>
      <c r="Q552" s="3" t="s">
        <v>1385</v>
      </c>
      <c r="R552" s="23" t="str">
        <f t="shared" si="103"/>
        <v>Friday</v>
      </c>
      <c r="S552" s="3" t="s">
        <v>1385</v>
      </c>
      <c r="T552" s="23" t="s">
        <v>190</v>
      </c>
      <c r="U552" s="3" t="s">
        <v>1385</v>
      </c>
      <c r="AO552" s="15"/>
      <c r="AP552" s="15"/>
      <c r="AQ552" s="15"/>
      <c r="AR552" s="23"/>
      <c r="AS552" s="15"/>
      <c r="AT552" s="15"/>
      <c r="AU552" s="23"/>
      <c r="AV552" s="23"/>
    </row>
    <row r="553" spans="1:48" x14ac:dyDescent="0.25">
      <c r="A553" t="s">
        <v>123</v>
      </c>
      <c r="B553" t="s">
        <v>124</v>
      </c>
      <c r="D553" t="s">
        <v>426</v>
      </c>
      <c r="E553" s="2">
        <f t="shared" si="105"/>
        <v>46213</v>
      </c>
      <c r="F553" s="3">
        <f t="shared" si="104"/>
        <v>0.50416666666666665</v>
      </c>
      <c r="G553" t="s">
        <v>312</v>
      </c>
      <c r="H553" t="s">
        <v>313</v>
      </c>
      <c r="I553" t="s">
        <v>126</v>
      </c>
      <c r="J553" s="2">
        <v>46213</v>
      </c>
      <c r="K553" s="1">
        <v>0.53402777777777777</v>
      </c>
      <c r="L553" s="10">
        <f t="shared" si="100"/>
        <v>43.000000000000007</v>
      </c>
      <c r="M553" s="1" t="str">
        <f t="shared" si="106"/>
        <v>On Time</v>
      </c>
      <c r="N553" s="27" t="str">
        <f t="shared" si="101"/>
        <v>GetJet Airlines</v>
      </c>
      <c r="O553" s="3" t="s">
        <v>1385</v>
      </c>
      <c r="P553" s="20">
        <f t="shared" si="102"/>
        <v>12</v>
      </c>
      <c r="Q553" s="3" t="s">
        <v>1385</v>
      </c>
      <c r="R553" s="23" t="str">
        <f t="shared" si="103"/>
        <v>Friday</v>
      </c>
      <c r="S553" s="3" t="s">
        <v>1385</v>
      </c>
      <c r="T553" s="23" t="s">
        <v>124</v>
      </c>
      <c r="U553" s="3" t="s">
        <v>1385</v>
      </c>
      <c r="AO553" s="15"/>
      <c r="AP553" s="15"/>
      <c r="AQ553" s="15"/>
      <c r="AR553" s="23"/>
      <c r="AS553" s="15"/>
      <c r="AT553" s="15"/>
      <c r="AU553" s="23"/>
      <c r="AV553" s="23"/>
    </row>
    <row r="554" spans="1:48" x14ac:dyDescent="0.25">
      <c r="A554" t="s">
        <v>113</v>
      </c>
      <c r="B554" t="s">
        <v>13</v>
      </c>
      <c r="C554" s="10">
        <v>-27</v>
      </c>
      <c r="D554" t="s">
        <v>823</v>
      </c>
      <c r="E554" s="2">
        <f t="shared" si="105"/>
        <v>46213</v>
      </c>
      <c r="F554" s="3">
        <f t="shared" si="104"/>
        <v>0.53541666666666665</v>
      </c>
      <c r="G554" t="s">
        <v>102</v>
      </c>
      <c r="H554" t="s">
        <v>115</v>
      </c>
      <c r="I554" t="s">
        <v>17</v>
      </c>
      <c r="J554" s="2">
        <v>46213</v>
      </c>
      <c r="K554" s="1">
        <v>0.53472222222222221</v>
      </c>
      <c r="L554" s="10">
        <f t="shared" si="100"/>
        <v>-0.99999999999999645</v>
      </c>
      <c r="M554" s="1" t="str">
        <f t="shared" si="106"/>
        <v>On Time</v>
      </c>
      <c r="N554" s="27" t="str">
        <f t="shared" si="101"/>
        <v>Wizz Air</v>
      </c>
      <c r="O554" s="3" t="s">
        <v>1385</v>
      </c>
      <c r="P554" s="20">
        <f t="shared" si="102"/>
        <v>12</v>
      </c>
      <c r="Q554" s="3" t="s">
        <v>1385</v>
      </c>
      <c r="R554" s="23" t="str">
        <f t="shared" si="103"/>
        <v>Friday</v>
      </c>
      <c r="S554" s="3" t="s">
        <v>1385</v>
      </c>
      <c r="T554" s="23" t="s">
        <v>13</v>
      </c>
      <c r="U554" s="3" t="s">
        <v>1385</v>
      </c>
      <c r="AO554" s="15"/>
      <c r="AP554" s="15"/>
      <c r="AQ554" s="15"/>
      <c r="AR554" s="23"/>
      <c r="AS554" s="15"/>
      <c r="AT554" s="15"/>
      <c r="AU554" s="23"/>
      <c r="AV554" s="23"/>
    </row>
    <row r="555" spans="1:48" x14ac:dyDescent="0.25">
      <c r="A555" t="s">
        <v>121</v>
      </c>
      <c r="B555" t="s">
        <v>69</v>
      </c>
      <c r="C555" s="10">
        <v>-7</v>
      </c>
      <c r="D555" t="s">
        <v>590</v>
      </c>
      <c r="E555" s="2">
        <f t="shared" si="105"/>
        <v>46213</v>
      </c>
      <c r="F555" s="3">
        <f t="shared" si="104"/>
        <v>0.54999999999999993</v>
      </c>
      <c r="G555" t="s">
        <v>71</v>
      </c>
      <c r="H555" t="s">
        <v>72</v>
      </c>
      <c r="I555" t="s">
        <v>73</v>
      </c>
      <c r="J555" s="2">
        <v>46213</v>
      </c>
      <c r="K555" s="1">
        <v>0.54166666666666663</v>
      </c>
      <c r="L555" s="10">
        <f t="shared" si="100"/>
        <v>-11.999999999999957</v>
      </c>
      <c r="M555" s="1" t="str">
        <f t="shared" si="106"/>
        <v>On Time</v>
      </c>
      <c r="N555" s="27" t="str">
        <f t="shared" si="101"/>
        <v>Finnair</v>
      </c>
      <c r="O555" s="3" t="s">
        <v>1385</v>
      </c>
      <c r="P555" s="20">
        <f t="shared" si="102"/>
        <v>13</v>
      </c>
      <c r="Q555" s="3" t="s">
        <v>1385</v>
      </c>
      <c r="R555" s="23" t="str">
        <f t="shared" si="103"/>
        <v>Friday</v>
      </c>
      <c r="S555" s="3" t="s">
        <v>1385</v>
      </c>
      <c r="T555" s="23" t="s">
        <v>69</v>
      </c>
      <c r="U555" s="3" t="s">
        <v>1385</v>
      </c>
      <c r="AO555" s="15"/>
      <c r="AP555" s="15"/>
      <c r="AQ555" s="15"/>
      <c r="AR555" s="23"/>
      <c r="AS555" s="15"/>
      <c r="AT555" s="15"/>
      <c r="AU555" s="23"/>
      <c r="AV555" s="23"/>
    </row>
    <row r="556" spans="1:48" x14ac:dyDescent="0.25">
      <c r="A556" t="s">
        <v>317</v>
      </c>
      <c r="B556" t="s">
        <v>117</v>
      </c>
      <c r="C556" s="10">
        <v>-30</v>
      </c>
      <c r="D556" t="s">
        <v>122</v>
      </c>
      <c r="E556" s="2">
        <f t="shared" si="105"/>
        <v>46213</v>
      </c>
      <c r="F556" s="3">
        <f t="shared" si="104"/>
        <v>0.55625000000000002</v>
      </c>
      <c r="G556" t="s">
        <v>119</v>
      </c>
      <c r="H556" t="s">
        <v>120</v>
      </c>
      <c r="I556" t="s">
        <v>83</v>
      </c>
      <c r="J556" s="2">
        <v>46213</v>
      </c>
      <c r="K556" s="1">
        <v>0.54583333333333328</v>
      </c>
      <c r="L556" s="10">
        <f t="shared" si="100"/>
        <v>-15.000000000000107</v>
      </c>
      <c r="M556" s="1" t="str">
        <f t="shared" si="106"/>
        <v>Delayed</v>
      </c>
      <c r="N556" s="27" t="str">
        <f t="shared" si="101"/>
        <v>Heston Airlines</v>
      </c>
      <c r="O556" s="3" t="s">
        <v>1318</v>
      </c>
      <c r="P556" s="20">
        <f t="shared" si="102"/>
        <v>13</v>
      </c>
      <c r="Q556" s="3" t="s">
        <v>1318</v>
      </c>
      <c r="R556" s="23" t="str">
        <f t="shared" si="103"/>
        <v>Friday</v>
      </c>
      <c r="S556" s="3" t="s">
        <v>1318</v>
      </c>
      <c r="T556" s="23" t="s">
        <v>117</v>
      </c>
      <c r="U556" s="3" t="s">
        <v>1318</v>
      </c>
      <c r="AO556" s="15"/>
      <c r="AP556" s="15"/>
      <c r="AQ556" s="15"/>
      <c r="AR556" s="23"/>
      <c r="AS556" s="15"/>
      <c r="AT556" s="15"/>
      <c r="AU556" s="23"/>
      <c r="AV556" s="23"/>
    </row>
    <row r="557" spans="1:48" x14ac:dyDescent="0.25">
      <c r="A557" t="s">
        <v>319</v>
      </c>
      <c r="B557" t="s">
        <v>85</v>
      </c>
      <c r="C557" s="10">
        <v>-13</v>
      </c>
      <c r="D557" t="s">
        <v>824</v>
      </c>
      <c r="E557" s="2">
        <f t="shared" si="105"/>
        <v>46213</v>
      </c>
      <c r="F557" s="3">
        <f t="shared" si="104"/>
        <v>0.54236111111111118</v>
      </c>
      <c r="G557" t="s">
        <v>15</v>
      </c>
      <c r="H557" t="s">
        <v>16</v>
      </c>
      <c r="I557" t="s">
        <v>89</v>
      </c>
      <c r="J557" s="2">
        <v>46213</v>
      </c>
      <c r="K557" s="1">
        <v>0.55555555555555558</v>
      </c>
      <c r="L557" s="10">
        <f t="shared" si="100"/>
        <v>18.999999999999932</v>
      </c>
      <c r="M557" s="1" t="str">
        <f t="shared" si="106"/>
        <v>On Time</v>
      </c>
      <c r="N557" s="27" t="str">
        <f t="shared" si="101"/>
        <v>Ryanair</v>
      </c>
      <c r="O557" s="3" t="s">
        <v>1385</v>
      </c>
      <c r="P557" s="20">
        <f t="shared" si="102"/>
        <v>13</v>
      </c>
      <c r="Q557" s="3" t="s">
        <v>1385</v>
      </c>
      <c r="R557" s="23" t="str">
        <f t="shared" si="103"/>
        <v>Friday</v>
      </c>
      <c r="S557" s="3" t="s">
        <v>1385</v>
      </c>
      <c r="T557" s="23" t="s">
        <v>85</v>
      </c>
      <c r="U557" s="3" t="s">
        <v>1385</v>
      </c>
      <c r="AO557" s="15"/>
      <c r="AP557" s="15"/>
      <c r="AQ557" s="15"/>
      <c r="AR557" s="23"/>
      <c r="AS557" s="15"/>
      <c r="AT557" s="15"/>
      <c r="AU557" s="23"/>
      <c r="AV557" s="23"/>
    </row>
    <row r="558" spans="1:48" x14ac:dyDescent="0.25">
      <c r="A558" t="s">
        <v>321</v>
      </c>
      <c r="B558" t="s">
        <v>85</v>
      </c>
      <c r="C558" s="10">
        <v>-13</v>
      </c>
      <c r="D558" t="s">
        <v>128</v>
      </c>
      <c r="E558" s="2">
        <f t="shared" si="105"/>
        <v>46213</v>
      </c>
      <c r="F558" s="3">
        <f t="shared" si="104"/>
        <v>0.54583333333333328</v>
      </c>
      <c r="G558" t="s">
        <v>323</v>
      </c>
      <c r="H558" t="s">
        <v>324</v>
      </c>
      <c r="I558" t="s">
        <v>89</v>
      </c>
      <c r="J558" s="2">
        <v>46213</v>
      </c>
      <c r="K558" s="1">
        <v>0.55555555555555558</v>
      </c>
      <c r="L558" s="10">
        <f t="shared" si="100"/>
        <v>14.00000000000011</v>
      </c>
      <c r="M558" s="1" t="str">
        <f t="shared" si="106"/>
        <v>On Time</v>
      </c>
      <c r="N558" s="27" t="str">
        <f t="shared" si="101"/>
        <v>Ryanair</v>
      </c>
      <c r="O558" s="3" t="s">
        <v>1385</v>
      </c>
      <c r="P558" s="20">
        <f t="shared" si="102"/>
        <v>13</v>
      </c>
      <c r="Q558" s="3" t="s">
        <v>1385</v>
      </c>
      <c r="R558" s="23" t="str">
        <f t="shared" si="103"/>
        <v>Friday</v>
      </c>
      <c r="S558" s="3" t="s">
        <v>1385</v>
      </c>
      <c r="T558" s="23" t="s">
        <v>85</v>
      </c>
      <c r="U558" s="3" t="s">
        <v>1385</v>
      </c>
      <c r="AO558" s="15"/>
      <c r="AP558" s="15"/>
      <c r="AQ558" s="15"/>
      <c r="AR558" s="23"/>
      <c r="AS558" s="15"/>
      <c r="AT558" s="15"/>
      <c r="AU558" s="23"/>
      <c r="AV558" s="23"/>
    </row>
    <row r="559" spans="1:48" x14ac:dyDescent="0.25">
      <c r="A559" t="s">
        <v>133</v>
      </c>
      <c r="B559" t="s">
        <v>7</v>
      </c>
      <c r="C559" s="10">
        <v>-29</v>
      </c>
      <c r="D559" t="s">
        <v>825</v>
      </c>
      <c r="E559" s="2">
        <f t="shared" si="105"/>
        <v>46213</v>
      </c>
      <c r="F559" s="3">
        <f t="shared" si="104"/>
        <v>0.56527777777777777</v>
      </c>
      <c r="G559" t="s">
        <v>135</v>
      </c>
      <c r="H559" t="s">
        <v>136</v>
      </c>
      <c r="I559" t="s">
        <v>11</v>
      </c>
      <c r="J559" s="2">
        <v>46213</v>
      </c>
      <c r="K559" s="1">
        <v>0.55902777777777779</v>
      </c>
      <c r="L559" s="10">
        <f t="shared" si="100"/>
        <v>-8.999999999999968</v>
      </c>
      <c r="M559" s="1" t="str">
        <f t="shared" si="106"/>
        <v>On Time</v>
      </c>
      <c r="N559" s="27" t="str">
        <f t="shared" si="101"/>
        <v>airBaltic</v>
      </c>
      <c r="O559" s="3" t="s">
        <v>1385</v>
      </c>
      <c r="P559" s="20">
        <f t="shared" si="102"/>
        <v>13</v>
      </c>
      <c r="Q559" s="3" t="s">
        <v>1385</v>
      </c>
      <c r="R559" s="23" t="str">
        <f t="shared" si="103"/>
        <v>Friday</v>
      </c>
      <c r="S559" s="3" t="s">
        <v>1385</v>
      </c>
      <c r="T559" s="23" t="s">
        <v>7</v>
      </c>
      <c r="U559" s="3" t="s">
        <v>1385</v>
      </c>
      <c r="AO559" s="15"/>
      <c r="AP559" s="15"/>
      <c r="AQ559" s="15"/>
      <c r="AR559" s="23"/>
      <c r="AS559" s="15"/>
      <c r="AT559" s="15"/>
      <c r="AU559" s="23"/>
      <c r="AV559" s="23"/>
    </row>
    <row r="560" spans="1:48" x14ac:dyDescent="0.25">
      <c r="A560" t="s">
        <v>826</v>
      </c>
      <c r="B560" t="s">
        <v>117</v>
      </c>
      <c r="D560" t="s">
        <v>511</v>
      </c>
      <c r="E560" s="2">
        <f t="shared" si="105"/>
        <v>46213</v>
      </c>
      <c r="F560" s="3">
        <f t="shared" si="104"/>
        <v>0.57361111111111118</v>
      </c>
      <c r="G560" t="s">
        <v>287</v>
      </c>
      <c r="H560" t="s">
        <v>288</v>
      </c>
      <c r="I560" t="s">
        <v>67</v>
      </c>
      <c r="J560" s="2">
        <v>46213</v>
      </c>
      <c r="K560" s="1">
        <v>0.57638888888888895</v>
      </c>
      <c r="L560" s="10">
        <f t="shared" si="100"/>
        <v>3.9999999999999858</v>
      </c>
      <c r="M560" s="1" t="str">
        <f t="shared" si="106"/>
        <v>On Time</v>
      </c>
      <c r="N560" s="27" t="str">
        <f t="shared" si="101"/>
        <v>Heston Airlines</v>
      </c>
      <c r="O560" s="3" t="s">
        <v>1385</v>
      </c>
      <c r="P560" s="20">
        <f t="shared" si="102"/>
        <v>13</v>
      </c>
      <c r="Q560" s="3" t="s">
        <v>1385</v>
      </c>
      <c r="R560" s="23" t="str">
        <f t="shared" si="103"/>
        <v>Friday</v>
      </c>
      <c r="S560" s="3" t="s">
        <v>1385</v>
      </c>
      <c r="T560" s="23" t="s">
        <v>117</v>
      </c>
      <c r="U560" s="3" t="s">
        <v>1385</v>
      </c>
      <c r="AO560" s="15"/>
      <c r="AP560" s="15"/>
      <c r="AQ560" s="15"/>
      <c r="AR560" s="23"/>
      <c r="AS560" s="15"/>
      <c r="AT560" s="15"/>
      <c r="AU560" s="23"/>
      <c r="AV560" s="23"/>
    </row>
    <row r="561" spans="1:48" x14ac:dyDescent="0.25">
      <c r="A561" t="s">
        <v>141</v>
      </c>
      <c r="B561" t="s">
        <v>19</v>
      </c>
      <c r="C561" s="10">
        <v>-35</v>
      </c>
      <c r="D561" t="s">
        <v>713</v>
      </c>
      <c r="E561" s="2">
        <f t="shared" si="105"/>
        <v>46213</v>
      </c>
      <c r="F561" s="3">
        <f t="shared" si="104"/>
        <v>0.58680555555555558</v>
      </c>
      <c r="G561" t="s">
        <v>21</v>
      </c>
      <c r="H561" t="s">
        <v>22</v>
      </c>
      <c r="I561" t="s">
        <v>237</v>
      </c>
      <c r="J561" s="2">
        <v>46213</v>
      </c>
      <c r="K561" s="1">
        <v>0.57638888888888895</v>
      </c>
      <c r="L561" s="10">
        <f t="shared" si="100"/>
        <v>-14.999999999999947</v>
      </c>
      <c r="M561" s="1" t="str">
        <f t="shared" si="106"/>
        <v>On Time</v>
      </c>
      <c r="N561" s="27" t="str">
        <f t="shared" si="101"/>
        <v>LOT</v>
      </c>
      <c r="O561" s="3" t="s">
        <v>1385</v>
      </c>
      <c r="P561" s="20">
        <f t="shared" si="102"/>
        <v>14</v>
      </c>
      <c r="Q561" s="3" t="s">
        <v>1385</v>
      </c>
      <c r="R561" s="23" t="str">
        <f t="shared" si="103"/>
        <v>Friday</v>
      </c>
      <c r="S561" s="3" t="s">
        <v>1385</v>
      </c>
      <c r="T561" s="23" t="s">
        <v>19</v>
      </c>
      <c r="U561" s="3" t="s">
        <v>1385</v>
      </c>
      <c r="AO561" s="15"/>
      <c r="AP561" s="15"/>
      <c r="AQ561" s="15"/>
      <c r="AR561" s="23"/>
      <c r="AS561" s="15"/>
      <c r="AT561" s="15"/>
      <c r="AU561" s="23"/>
      <c r="AV561" s="23"/>
    </row>
    <row r="562" spans="1:48" x14ac:dyDescent="0.25">
      <c r="A562" t="s">
        <v>327</v>
      </c>
      <c r="B562" t="s">
        <v>13</v>
      </c>
      <c r="C562" s="10">
        <v>-10</v>
      </c>
      <c r="D562" t="s">
        <v>827</v>
      </c>
      <c r="E562" s="2">
        <f t="shared" si="105"/>
        <v>46213</v>
      </c>
      <c r="F562" s="3">
        <f t="shared" si="104"/>
        <v>0.58402777777777781</v>
      </c>
      <c r="G562" t="s">
        <v>329</v>
      </c>
      <c r="H562" t="s">
        <v>330</v>
      </c>
      <c r="I562" t="s">
        <v>17</v>
      </c>
      <c r="J562" s="2">
        <v>46213</v>
      </c>
      <c r="K562" s="1">
        <v>0.59027777777777779</v>
      </c>
      <c r="L562" s="10">
        <f t="shared" si="100"/>
        <v>8.999999999999968</v>
      </c>
      <c r="M562" s="1" t="str">
        <f t="shared" si="106"/>
        <v>On Time</v>
      </c>
      <c r="N562" s="27" t="str">
        <f t="shared" si="101"/>
        <v>Wizz Air</v>
      </c>
      <c r="O562" s="3" t="s">
        <v>1385</v>
      </c>
      <c r="P562" s="20">
        <f t="shared" si="102"/>
        <v>14</v>
      </c>
      <c r="Q562" s="3" t="s">
        <v>1385</v>
      </c>
      <c r="R562" s="23" t="str">
        <f t="shared" si="103"/>
        <v>Friday</v>
      </c>
      <c r="S562" s="3" t="s">
        <v>1385</v>
      </c>
      <c r="T562" s="23" t="s">
        <v>13</v>
      </c>
      <c r="U562" s="3" t="s">
        <v>1385</v>
      </c>
      <c r="AO562" s="15"/>
      <c r="AP562" s="15"/>
      <c r="AQ562" s="15"/>
      <c r="AR562" s="23"/>
      <c r="AS562" s="15"/>
      <c r="AT562" s="15"/>
      <c r="AU562" s="23"/>
      <c r="AV562" s="23"/>
    </row>
    <row r="563" spans="1:48" x14ac:dyDescent="0.25">
      <c r="A563" t="s">
        <v>331</v>
      </c>
      <c r="B563" t="s">
        <v>7</v>
      </c>
      <c r="C563" s="10">
        <v>-57</v>
      </c>
      <c r="D563" t="s">
        <v>514</v>
      </c>
      <c r="E563" s="2">
        <f t="shared" si="105"/>
        <v>46213</v>
      </c>
      <c r="F563" s="3">
        <f t="shared" si="104"/>
        <v>0.62847222222222221</v>
      </c>
      <c r="G563" t="s">
        <v>247</v>
      </c>
      <c r="H563" t="s">
        <v>248</v>
      </c>
      <c r="I563" t="s">
        <v>11</v>
      </c>
      <c r="J563" s="2">
        <v>46213</v>
      </c>
      <c r="K563" s="1">
        <v>0.60416666666666663</v>
      </c>
      <c r="L563" s="10">
        <f t="shared" si="100"/>
        <v>-35.000000000000036</v>
      </c>
      <c r="M563" s="1" t="str">
        <f t="shared" si="106"/>
        <v>Delayed</v>
      </c>
      <c r="N563" s="27" t="str">
        <f t="shared" si="101"/>
        <v>airBaltic</v>
      </c>
      <c r="O563" s="3" t="s">
        <v>1318</v>
      </c>
      <c r="P563" s="20">
        <f t="shared" si="102"/>
        <v>15</v>
      </c>
      <c r="Q563" s="3" t="s">
        <v>1318</v>
      </c>
      <c r="R563" s="23" t="str">
        <f t="shared" si="103"/>
        <v>Friday</v>
      </c>
      <c r="S563" s="3" t="s">
        <v>1318</v>
      </c>
      <c r="T563" s="23" t="s">
        <v>7</v>
      </c>
      <c r="U563" s="3" t="s">
        <v>1318</v>
      </c>
      <c r="AO563" s="15"/>
      <c r="AP563" s="15"/>
      <c r="AQ563" s="15"/>
      <c r="AR563" s="23"/>
      <c r="AS563" s="15"/>
      <c r="AT563" s="15"/>
      <c r="AU563" s="23"/>
      <c r="AV563" s="23"/>
    </row>
    <row r="564" spans="1:48" x14ac:dyDescent="0.25">
      <c r="A564" t="s">
        <v>148</v>
      </c>
      <c r="B564" t="s">
        <v>7</v>
      </c>
      <c r="C564" s="10">
        <v>-29</v>
      </c>
      <c r="D564" t="s">
        <v>828</v>
      </c>
      <c r="E564" s="2">
        <f t="shared" si="105"/>
        <v>46213</v>
      </c>
      <c r="F564" s="3">
        <f t="shared" si="104"/>
        <v>0.61527777777777781</v>
      </c>
      <c r="G564" t="s">
        <v>9</v>
      </c>
      <c r="H564" t="s">
        <v>10</v>
      </c>
      <c r="I564" t="s">
        <v>11</v>
      </c>
      <c r="J564" s="2">
        <v>46213</v>
      </c>
      <c r="K564" s="1">
        <v>0.60763888888888895</v>
      </c>
      <c r="L564" s="10">
        <f t="shared" si="100"/>
        <v>-10.999999999999961</v>
      </c>
      <c r="M564" s="1" t="str">
        <f t="shared" si="106"/>
        <v>On Time</v>
      </c>
      <c r="N564" s="27" t="str">
        <f t="shared" si="101"/>
        <v>airBaltic</v>
      </c>
      <c r="O564" s="3" t="s">
        <v>1385</v>
      </c>
      <c r="P564" s="20">
        <f t="shared" si="102"/>
        <v>14</v>
      </c>
      <c r="Q564" s="3" t="s">
        <v>1385</v>
      </c>
      <c r="R564" s="23" t="str">
        <f t="shared" si="103"/>
        <v>Friday</v>
      </c>
      <c r="S564" s="3" t="s">
        <v>1385</v>
      </c>
      <c r="T564" s="23" t="s">
        <v>7</v>
      </c>
      <c r="U564" s="3" t="s">
        <v>1385</v>
      </c>
      <c r="AO564" s="15"/>
      <c r="AP564" s="15"/>
      <c r="AQ564" s="15"/>
      <c r="AR564" s="23"/>
      <c r="AS564" s="15"/>
      <c r="AT564" s="15"/>
      <c r="AU564" s="23"/>
      <c r="AV564" s="23"/>
    </row>
    <row r="565" spans="1:48" x14ac:dyDescent="0.25">
      <c r="A565" t="s">
        <v>156</v>
      </c>
      <c r="B565" t="s">
        <v>41</v>
      </c>
      <c r="C565" s="10">
        <v>-24</v>
      </c>
      <c r="D565" t="s">
        <v>164</v>
      </c>
      <c r="E565" s="2">
        <f t="shared" si="105"/>
        <v>46213</v>
      </c>
      <c r="F565" s="3">
        <f t="shared" si="104"/>
        <v>0.64166666666666672</v>
      </c>
      <c r="G565" t="s">
        <v>43</v>
      </c>
      <c r="H565" t="s">
        <v>44</v>
      </c>
      <c r="I565" t="s">
        <v>158</v>
      </c>
      <c r="J565" s="2">
        <v>46213</v>
      </c>
      <c r="K565" s="1">
        <v>0.63541666666666663</v>
      </c>
      <c r="L565" s="10">
        <f t="shared" si="100"/>
        <v>-9.0000000000001279</v>
      </c>
      <c r="M565" s="1" t="str">
        <f t="shared" si="106"/>
        <v>On Time</v>
      </c>
      <c r="N565" s="27" t="str">
        <f t="shared" si="101"/>
        <v>SAS</v>
      </c>
      <c r="O565" s="3" t="s">
        <v>1385</v>
      </c>
      <c r="P565" s="20">
        <f t="shared" si="102"/>
        <v>15</v>
      </c>
      <c r="Q565" s="3" t="s">
        <v>1385</v>
      </c>
      <c r="R565" s="23" t="str">
        <f t="shared" si="103"/>
        <v>Friday</v>
      </c>
      <c r="S565" s="3" t="s">
        <v>1385</v>
      </c>
      <c r="T565" s="23" t="s">
        <v>41</v>
      </c>
      <c r="U565" s="3" t="s">
        <v>1385</v>
      </c>
      <c r="AO565" s="15"/>
      <c r="AP565" s="15"/>
      <c r="AQ565" s="15"/>
      <c r="AR565" s="23"/>
      <c r="AS565" s="15"/>
      <c r="AT565" s="15"/>
      <c r="AU565" s="23"/>
      <c r="AV565" s="23"/>
    </row>
    <row r="566" spans="1:48" x14ac:dyDescent="0.25">
      <c r="A566" t="s">
        <v>335</v>
      </c>
      <c r="B566" t="s">
        <v>7</v>
      </c>
      <c r="C566" s="10">
        <v>-13</v>
      </c>
      <c r="D566" t="s">
        <v>442</v>
      </c>
      <c r="E566" s="2">
        <f t="shared" si="105"/>
        <v>46213</v>
      </c>
      <c r="F566" s="3">
        <f t="shared" si="104"/>
        <v>0.63680555555555551</v>
      </c>
      <c r="G566" t="s">
        <v>337</v>
      </c>
      <c r="H566" t="s">
        <v>338</v>
      </c>
      <c r="I566" t="s">
        <v>11</v>
      </c>
      <c r="J566" s="2">
        <v>46213</v>
      </c>
      <c r="K566" s="1">
        <v>0.64236111111111105</v>
      </c>
      <c r="L566" s="10">
        <f t="shared" si="100"/>
        <v>7.9999999999999716</v>
      </c>
      <c r="M566" s="1" t="str">
        <f t="shared" si="106"/>
        <v>On Time</v>
      </c>
      <c r="N566" s="27" t="str">
        <f t="shared" si="101"/>
        <v>airBaltic</v>
      </c>
      <c r="O566" s="3" t="s">
        <v>1385</v>
      </c>
      <c r="P566" s="20">
        <f t="shared" si="102"/>
        <v>15</v>
      </c>
      <c r="Q566" s="3" t="s">
        <v>1385</v>
      </c>
      <c r="R566" s="23" t="str">
        <f t="shared" si="103"/>
        <v>Friday</v>
      </c>
      <c r="S566" s="3" t="s">
        <v>1385</v>
      </c>
      <c r="T566" s="23" t="s">
        <v>7</v>
      </c>
      <c r="U566" s="3" t="s">
        <v>1385</v>
      </c>
      <c r="AO566" s="15"/>
      <c r="AP566" s="15"/>
      <c r="AQ566" s="15"/>
      <c r="AR566" s="23"/>
      <c r="AS566" s="15"/>
      <c r="AT566" s="15"/>
      <c r="AU566" s="23"/>
      <c r="AV566" s="23"/>
    </row>
    <row r="567" spans="1:48" x14ac:dyDescent="0.25">
      <c r="A567" t="s">
        <v>344</v>
      </c>
      <c r="B567" t="s">
        <v>85</v>
      </c>
      <c r="C567" s="10">
        <v>0</v>
      </c>
      <c r="D567" t="s">
        <v>345</v>
      </c>
      <c r="E567" s="2">
        <f t="shared" si="105"/>
        <v>46213</v>
      </c>
      <c r="F567" s="3">
        <f t="shared" si="104"/>
        <v>0.63263888888888886</v>
      </c>
      <c r="G567" t="s">
        <v>346</v>
      </c>
      <c r="H567" t="s">
        <v>347</v>
      </c>
      <c r="I567" t="s">
        <v>89</v>
      </c>
      <c r="J567" s="2">
        <v>46213</v>
      </c>
      <c r="K567" s="1">
        <v>0.64583333333333337</v>
      </c>
      <c r="L567" s="10">
        <f t="shared" si="100"/>
        <v>19.000000000000092</v>
      </c>
      <c r="M567" s="1" t="str">
        <f t="shared" si="106"/>
        <v>On Time</v>
      </c>
      <c r="N567" s="27" t="str">
        <f t="shared" si="101"/>
        <v>Ryanair</v>
      </c>
      <c r="O567" s="3" t="s">
        <v>1385</v>
      </c>
      <c r="P567" s="20">
        <f t="shared" si="102"/>
        <v>15</v>
      </c>
      <c r="Q567" s="3" t="s">
        <v>1385</v>
      </c>
      <c r="R567" s="23" t="str">
        <f t="shared" si="103"/>
        <v>Friday</v>
      </c>
      <c r="S567" s="3" t="s">
        <v>1385</v>
      </c>
      <c r="T567" s="23" t="s">
        <v>85</v>
      </c>
      <c r="U567" s="3" t="s">
        <v>1385</v>
      </c>
      <c r="AO567" s="15"/>
      <c r="AP567" s="15"/>
      <c r="AQ567" s="15"/>
      <c r="AR567" s="23"/>
      <c r="AS567" s="15"/>
      <c r="AT567" s="15"/>
      <c r="AU567" s="23"/>
      <c r="AV567" s="23"/>
    </row>
    <row r="568" spans="1:48" x14ac:dyDescent="0.25">
      <c r="A568" t="s">
        <v>348</v>
      </c>
      <c r="B568" t="s">
        <v>13</v>
      </c>
      <c r="C568" s="10">
        <v>-14</v>
      </c>
      <c r="D568" t="s">
        <v>829</v>
      </c>
      <c r="E568" s="2">
        <f t="shared" si="105"/>
        <v>46213</v>
      </c>
      <c r="F568" s="3">
        <f t="shared" si="104"/>
        <v>0.64513888888888882</v>
      </c>
      <c r="G568" t="s">
        <v>349</v>
      </c>
      <c r="H568" t="s">
        <v>350</v>
      </c>
      <c r="I568" t="s">
        <v>17</v>
      </c>
      <c r="J568" s="2">
        <v>46213</v>
      </c>
      <c r="K568" s="1">
        <v>0.64930555555555558</v>
      </c>
      <c r="L568" s="10">
        <f t="shared" si="100"/>
        <v>6.0000000000001386</v>
      </c>
      <c r="M568" s="1" t="str">
        <f t="shared" si="106"/>
        <v>On Time</v>
      </c>
      <c r="N568" s="27" t="str">
        <f t="shared" si="101"/>
        <v>Wizz Air</v>
      </c>
      <c r="O568" s="3" t="s">
        <v>1385</v>
      </c>
      <c r="P568" s="20">
        <f t="shared" si="102"/>
        <v>15</v>
      </c>
      <c r="Q568" s="3" t="s">
        <v>1385</v>
      </c>
      <c r="R568" s="23" t="str">
        <f t="shared" si="103"/>
        <v>Friday</v>
      </c>
      <c r="S568" s="3" t="s">
        <v>1385</v>
      </c>
      <c r="T568" s="23" t="s">
        <v>13</v>
      </c>
      <c r="U568" s="3" t="s">
        <v>1385</v>
      </c>
      <c r="AO568" s="15"/>
      <c r="AP568" s="15"/>
      <c r="AQ568" s="15"/>
      <c r="AR568" s="23"/>
      <c r="AS568" s="15"/>
      <c r="AT568" s="15"/>
      <c r="AU568" s="23"/>
      <c r="AV568" s="23"/>
    </row>
    <row r="569" spans="1:48" x14ac:dyDescent="0.25">
      <c r="A569" t="s">
        <v>351</v>
      </c>
      <c r="B569" t="s">
        <v>85</v>
      </c>
      <c r="C569" s="10">
        <v>-11</v>
      </c>
      <c r="D569" t="s">
        <v>716</v>
      </c>
      <c r="E569" s="2">
        <f t="shared" si="105"/>
        <v>46213</v>
      </c>
      <c r="F569" s="3">
        <f t="shared" si="104"/>
        <v>0.6479166666666667</v>
      </c>
      <c r="G569" t="s">
        <v>252</v>
      </c>
      <c r="H569" t="s">
        <v>352</v>
      </c>
      <c r="I569" t="s">
        <v>162</v>
      </c>
      <c r="J569" s="2">
        <v>46213</v>
      </c>
      <c r="K569" s="1">
        <v>0.65277777777777779</v>
      </c>
      <c r="L569" s="10">
        <f t="shared" si="100"/>
        <v>6.9999999999999751</v>
      </c>
      <c r="M569" s="1" t="str">
        <f t="shared" si="106"/>
        <v>On Time</v>
      </c>
      <c r="N569" s="27" t="str">
        <f t="shared" si="101"/>
        <v>Ryanair</v>
      </c>
      <c r="O569" s="3" t="s">
        <v>1385</v>
      </c>
      <c r="P569" s="20">
        <f t="shared" si="102"/>
        <v>15</v>
      </c>
      <c r="Q569" s="3" t="s">
        <v>1385</v>
      </c>
      <c r="R569" s="23" t="str">
        <f t="shared" si="103"/>
        <v>Friday</v>
      </c>
      <c r="S569" s="3" t="s">
        <v>1385</v>
      </c>
      <c r="T569" s="23" t="s">
        <v>85</v>
      </c>
      <c r="U569" s="3" t="s">
        <v>1385</v>
      </c>
      <c r="AO569" s="15"/>
      <c r="AP569" s="15"/>
      <c r="AQ569" s="15"/>
      <c r="AR569" s="23"/>
      <c r="AS569" s="15"/>
      <c r="AT569" s="15"/>
      <c r="AU569" s="23"/>
      <c r="AV569" s="23"/>
    </row>
    <row r="570" spans="1:48" x14ac:dyDescent="0.25">
      <c r="A570" t="s">
        <v>175</v>
      </c>
      <c r="B570" t="s">
        <v>19</v>
      </c>
      <c r="C570" s="10">
        <v>-14</v>
      </c>
      <c r="D570" t="s">
        <v>830</v>
      </c>
      <c r="E570" s="2">
        <f t="shared" si="105"/>
        <v>46213</v>
      </c>
      <c r="F570" s="3">
        <f t="shared" si="104"/>
        <v>0.67847222222222225</v>
      </c>
      <c r="G570" t="s">
        <v>21</v>
      </c>
      <c r="H570" t="s">
        <v>22</v>
      </c>
      <c r="I570" t="s">
        <v>143</v>
      </c>
      <c r="J570" s="2">
        <v>46213</v>
      </c>
      <c r="K570" s="1">
        <v>0.68055555555555547</v>
      </c>
      <c r="L570" s="10">
        <f t="shared" si="100"/>
        <v>2.9999999999998295</v>
      </c>
      <c r="M570" s="1" t="str">
        <f t="shared" si="106"/>
        <v>On Time</v>
      </c>
      <c r="N570" s="27" t="str">
        <f t="shared" si="101"/>
        <v>LOT</v>
      </c>
      <c r="O570" s="3" t="s">
        <v>1385</v>
      </c>
      <c r="P570" s="20">
        <f t="shared" si="102"/>
        <v>16</v>
      </c>
      <c r="Q570" s="3" t="s">
        <v>1385</v>
      </c>
      <c r="R570" s="23" t="str">
        <f t="shared" si="103"/>
        <v>Friday</v>
      </c>
      <c r="S570" s="3" t="s">
        <v>1385</v>
      </c>
      <c r="T570" s="23" t="s">
        <v>19</v>
      </c>
      <c r="U570" s="3" t="s">
        <v>1385</v>
      </c>
      <c r="AO570" s="15"/>
      <c r="AP570" s="15"/>
      <c r="AQ570" s="15"/>
      <c r="AR570" s="23"/>
      <c r="AS570" s="15"/>
      <c r="AT570" s="15"/>
      <c r="AU570" s="23"/>
      <c r="AV570" s="23"/>
    </row>
    <row r="571" spans="1:48" x14ac:dyDescent="0.25">
      <c r="A571" t="s">
        <v>84</v>
      </c>
      <c r="B571" t="s">
        <v>85</v>
      </c>
      <c r="C571" s="10">
        <v>150</v>
      </c>
      <c r="D571" t="s">
        <v>831</v>
      </c>
      <c r="E571" s="2">
        <f t="shared" si="105"/>
        <v>46213</v>
      </c>
      <c r="F571" s="3">
        <f t="shared" si="104"/>
        <v>0.72291666666666676</v>
      </c>
      <c r="G571" t="s">
        <v>87</v>
      </c>
      <c r="H571" t="s">
        <v>88</v>
      </c>
      <c r="I571" t="s">
        <v>162</v>
      </c>
      <c r="J571" s="2">
        <v>46213</v>
      </c>
      <c r="K571" s="1">
        <v>0.71875</v>
      </c>
      <c r="L571" s="10">
        <f t="shared" si="100"/>
        <v>-6.0000000000001386</v>
      </c>
      <c r="M571" s="1" t="str">
        <f t="shared" si="106"/>
        <v>On Time</v>
      </c>
      <c r="N571" s="27" t="str">
        <f t="shared" si="101"/>
        <v>Ryanair</v>
      </c>
      <c r="O571" s="3" t="s">
        <v>1385</v>
      </c>
      <c r="P571" s="20">
        <f t="shared" si="102"/>
        <v>17</v>
      </c>
      <c r="Q571" s="3" t="s">
        <v>1385</v>
      </c>
      <c r="R571" s="23" t="str">
        <f t="shared" si="103"/>
        <v>Friday</v>
      </c>
      <c r="S571" s="3" t="s">
        <v>1385</v>
      </c>
      <c r="T571" s="23" t="s">
        <v>85</v>
      </c>
      <c r="U571" s="3" t="s">
        <v>1385</v>
      </c>
      <c r="AO571" s="15"/>
      <c r="AP571" s="15"/>
      <c r="AQ571" s="15"/>
      <c r="AR571" s="23"/>
      <c r="AS571" s="15"/>
      <c r="AT571" s="15"/>
      <c r="AU571" s="23"/>
      <c r="AV571" s="23"/>
    </row>
    <row r="572" spans="1:48" x14ac:dyDescent="0.25">
      <c r="A572" t="s">
        <v>356</v>
      </c>
      <c r="B572" t="s">
        <v>7</v>
      </c>
      <c r="C572" s="10">
        <v>-3</v>
      </c>
      <c r="D572" t="s">
        <v>832</v>
      </c>
      <c r="E572" s="2">
        <f t="shared" si="105"/>
        <v>46213</v>
      </c>
      <c r="F572" s="3">
        <f t="shared" si="104"/>
        <v>0.71250000000000002</v>
      </c>
      <c r="G572" t="s">
        <v>76</v>
      </c>
      <c r="H572" t="s">
        <v>77</v>
      </c>
      <c r="I572" t="s">
        <v>11</v>
      </c>
      <c r="J572" s="2">
        <v>46213</v>
      </c>
      <c r="K572" s="1">
        <v>0.72222222222222221</v>
      </c>
      <c r="L572" s="10">
        <f t="shared" si="100"/>
        <v>13.99999999999995</v>
      </c>
      <c r="M572" s="1" t="str">
        <f t="shared" si="106"/>
        <v>On Time</v>
      </c>
      <c r="N572" s="27" t="str">
        <f t="shared" si="101"/>
        <v>airBaltic</v>
      </c>
      <c r="O572" s="3" t="s">
        <v>1385</v>
      </c>
      <c r="P572" s="20">
        <f t="shared" si="102"/>
        <v>17</v>
      </c>
      <c r="Q572" s="3" t="s">
        <v>1385</v>
      </c>
      <c r="R572" s="23" t="str">
        <f t="shared" si="103"/>
        <v>Friday</v>
      </c>
      <c r="S572" s="3" t="s">
        <v>1385</v>
      </c>
      <c r="T572" s="23" t="s">
        <v>7</v>
      </c>
      <c r="U572" s="3" t="s">
        <v>1385</v>
      </c>
      <c r="AO572" s="15"/>
      <c r="AP572" s="15"/>
      <c r="AQ572" s="15"/>
      <c r="AR572" s="23"/>
      <c r="AS572" s="15"/>
      <c r="AT572" s="15"/>
      <c r="AU572" s="23"/>
      <c r="AV572" s="23"/>
    </row>
    <row r="573" spans="1:48" x14ac:dyDescent="0.25">
      <c r="A573" t="s">
        <v>182</v>
      </c>
      <c r="B573" t="s">
        <v>69</v>
      </c>
      <c r="C573" s="10">
        <v>-33</v>
      </c>
      <c r="D573" t="s">
        <v>833</v>
      </c>
      <c r="E573" s="2">
        <f t="shared" si="105"/>
        <v>46213</v>
      </c>
      <c r="F573" s="3">
        <f t="shared" si="104"/>
        <v>0.75</v>
      </c>
      <c r="G573" t="s">
        <v>71</v>
      </c>
      <c r="H573" t="s">
        <v>72</v>
      </c>
      <c r="I573" t="s">
        <v>73</v>
      </c>
      <c r="J573" s="2">
        <v>46213</v>
      </c>
      <c r="K573" s="1">
        <v>0.73263888888888884</v>
      </c>
      <c r="L573" s="10">
        <f t="shared" si="100"/>
        <v>-25.000000000000071</v>
      </c>
      <c r="M573" s="1" t="str">
        <f t="shared" si="106"/>
        <v>Delayed</v>
      </c>
      <c r="N573" s="27" t="str">
        <f t="shared" si="101"/>
        <v>Finnair</v>
      </c>
      <c r="O573" s="3" t="s">
        <v>1318</v>
      </c>
      <c r="P573" s="20">
        <f t="shared" si="102"/>
        <v>18</v>
      </c>
      <c r="Q573" s="3" t="s">
        <v>1318</v>
      </c>
      <c r="R573" s="23" t="str">
        <f t="shared" si="103"/>
        <v>Friday</v>
      </c>
      <c r="S573" s="3" t="s">
        <v>1318</v>
      </c>
      <c r="T573" s="23" t="s">
        <v>69</v>
      </c>
      <c r="U573" s="3" t="s">
        <v>1318</v>
      </c>
      <c r="AO573" s="15"/>
      <c r="AP573" s="15"/>
      <c r="AQ573" s="15"/>
      <c r="AR573" s="23"/>
      <c r="AS573" s="15"/>
      <c r="AT573" s="15"/>
      <c r="AU573" s="23"/>
      <c r="AV573" s="23"/>
    </row>
    <row r="574" spans="1:48" x14ac:dyDescent="0.25">
      <c r="A574" t="s">
        <v>78</v>
      </c>
      <c r="B574" t="s">
        <v>363</v>
      </c>
      <c r="C574" s="10">
        <v>-11</v>
      </c>
      <c r="D574" t="s">
        <v>834</v>
      </c>
      <c r="E574" s="2">
        <f t="shared" si="105"/>
        <v>46213</v>
      </c>
      <c r="F574" s="3">
        <f t="shared" si="104"/>
        <v>0.76111111111111107</v>
      </c>
      <c r="G574" t="s">
        <v>81</v>
      </c>
      <c r="H574" t="s">
        <v>82</v>
      </c>
      <c r="I574" t="s">
        <v>83</v>
      </c>
      <c r="J574" s="2">
        <v>46213</v>
      </c>
      <c r="K574" s="1">
        <v>0.75694444444444453</v>
      </c>
      <c r="L574" s="10">
        <f t="shared" si="100"/>
        <v>-5.9999999999998188</v>
      </c>
      <c r="M574" s="1" t="str">
        <f t="shared" si="106"/>
        <v>On Time</v>
      </c>
      <c r="N574" s="27" t="e">
        <f t="shared" si="101"/>
        <v>#N/A</v>
      </c>
      <c r="O574" s="3" t="s">
        <v>1385</v>
      </c>
      <c r="P574" s="20">
        <f t="shared" si="102"/>
        <v>18</v>
      </c>
      <c r="Q574" s="3" t="s">
        <v>1385</v>
      </c>
      <c r="R574" s="23" t="str">
        <f t="shared" si="103"/>
        <v>Friday</v>
      </c>
      <c r="S574" s="3" t="s">
        <v>1385</v>
      </c>
      <c r="T574" s="23" t="s">
        <v>363</v>
      </c>
      <c r="U574" s="3" t="s">
        <v>1385</v>
      </c>
      <c r="AO574" s="15"/>
      <c r="AP574" s="15"/>
      <c r="AQ574" s="15"/>
      <c r="AR574" s="23"/>
      <c r="AS574" s="15"/>
      <c r="AT574" s="15"/>
      <c r="AU574" s="23"/>
      <c r="AV574" s="23"/>
    </row>
    <row r="575" spans="1:48" x14ac:dyDescent="0.25">
      <c r="A575" t="s">
        <v>184</v>
      </c>
      <c r="B575" t="s">
        <v>85</v>
      </c>
      <c r="C575" s="10">
        <v>-8</v>
      </c>
      <c r="D575" t="s">
        <v>835</v>
      </c>
      <c r="E575" s="2">
        <f t="shared" si="105"/>
        <v>46213</v>
      </c>
      <c r="F575" s="3">
        <f t="shared" si="104"/>
        <v>0.75208333333333333</v>
      </c>
      <c r="G575" t="s">
        <v>153</v>
      </c>
      <c r="H575" t="s">
        <v>154</v>
      </c>
      <c r="I575" t="s">
        <v>89</v>
      </c>
      <c r="J575" s="2">
        <v>46213</v>
      </c>
      <c r="K575" s="1">
        <v>0.76388888888888884</v>
      </c>
      <c r="L575" s="10">
        <f t="shared" si="100"/>
        <v>16.99999999999994</v>
      </c>
      <c r="M575" s="1" t="str">
        <f t="shared" si="106"/>
        <v>On Time</v>
      </c>
      <c r="N575" s="27" t="str">
        <f t="shared" si="101"/>
        <v>Ryanair</v>
      </c>
      <c r="O575" s="3" t="s">
        <v>1385</v>
      </c>
      <c r="P575" s="20">
        <f t="shared" si="102"/>
        <v>18</v>
      </c>
      <c r="Q575" s="3" t="s">
        <v>1385</v>
      </c>
      <c r="R575" s="23" t="str">
        <f t="shared" si="103"/>
        <v>Friday</v>
      </c>
      <c r="S575" s="3" t="s">
        <v>1385</v>
      </c>
      <c r="T575" s="23" t="s">
        <v>85</v>
      </c>
      <c r="U575" s="3" t="s">
        <v>1385</v>
      </c>
      <c r="AO575" s="15"/>
      <c r="AP575" s="15"/>
      <c r="AQ575" s="15"/>
      <c r="AR575" s="23"/>
      <c r="AS575" s="15"/>
      <c r="AT575" s="15"/>
      <c r="AU575" s="23"/>
      <c r="AV575" s="23"/>
    </row>
    <row r="576" spans="1:48" x14ac:dyDescent="0.25">
      <c r="A576" t="s">
        <v>186</v>
      </c>
      <c r="B576" t="s">
        <v>19</v>
      </c>
      <c r="C576" s="10">
        <v>-17</v>
      </c>
      <c r="D576" t="s">
        <v>670</v>
      </c>
      <c r="E576" s="2">
        <f t="shared" si="105"/>
        <v>46213</v>
      </c>
      <c r="F576" s="3">
        <f t="shared" si="104"/>
        <v>0.77500000000000002</v>
      </c>
      <c r="G576" t="s">
        <v>21</v>
      </c>
      <c r="H576" t="s">
        <v>22</v>
      </c>
      <c r="I576" t="s">
        <v>836</v>
      </c>
      <c r="J576" s="2">
        <v>46213</v>
      </c>
      <c r="K576" s="1">
        <v>0.77430555555555547</v>
      </c>
      <c r="L576" s="10">
        <f t="shared" si="100"/>
        <v>-1.0000000000001563</v>
      </c>
      <c r="M576" s="1" t="str">
        <f t="shared" si="106"/>
        <v>On Time</v>
      </c>
      <c r="N576" s="27" t="str">
        <f t="shared" si="101"/>
        <v>LOT</v>
      </c>
      <c r="O576" s="3" t="s">
        <v>1385</v>
      </c>
      <c r="P576" s="20">
        <f t="shared" si="102"/>
        <v>18</v>
      </c>
      <c r="Q576" s="3" t="s">
        <v>1385</v>
      </c>
      <c r="R576" s="23" t="str">
        <f t="shared" si="103"/>
        <v>Friday</v>
      </c>
      <c r="S576" s="3" t="s">
        <v>1385</v>
      </c>
      <c r="T576" s="23" t="s">
        <v>19</v>
      </c>
      <c r="U576" s="3" t="s">
        <v>1385</v>
      </c>
      <c r="AO576" s="15"/>
      <c r="AP576" s="15"/>
      <c r="AQ576" s="15"/>
      <c r="AR576" s="23"/>
      <c r="AS576" s="15"/>
      <c r="AT576" s="15"/>
      <c r="AU576" s="23"/>
      <c r="AV576" s="23"/>
    </row>
    <row r="577" spans="1:48" x14ac:dyDescent="0.25">
      <c r="A577" t="s">
        <v>366</v>
      </c>
      <c r="B577" t="s">
        <v>13</v>
      </c>
      <c r="C577" s="10">
        <v>-32</v>
      </c>
      <c r="D577" t="s">
        <v>837</v>
      </c>
      <c r="E577" s="2">
        <f t="shared" si="105"/>
        <v>46213</v>
      </c>
      <c r="F577" s="3">
        <f t="shared" si="104"/>
        <v>0.77222222222222225</v>
      </c>
      <c r="G577" t="s">
        <v>368</v>
      </c>
      <c r="H577" t="s">
        <v>369</v>
      </c>
      <c r="I577" t="s">
        <v>17</v>
      </c>
      <c r="J577" s="2">
        <v>46213</v>
      </c>
      <c r="K577" s="1">
        <v>0.78125</v>
      </c>
      <c r="L577" s="10">
        <f t="shared" si="100"/>
        <v>12.999999999999954</v>
      </c>
      <c r="M577" s="1" t="str">
        <f t="shared" si="106"/>
        <v>On Time</v>
      </c>
      <c r="N577" s="27" t="str">
        <f t="shared" si="101"/>
        <v>Wizz Air</v>
      </c>
      <c r="O577" s="3" t="s">
        <v>1385</v>
      </c>
      <c r="P577" s="20">
        <f t="shared" si="102"/>
        <v>18</v>
      </c>
      <c r="Q577" s="3" t="s">
        <v>1385</v>
      </c>
      <c r="R577" s="23" t="str">
        <f t="shared" si="103"/>
        <v>Friday</v>
      </c>
      <c r="S577" s="3" t="s">
        <v>1385</v>
      </c>
      <c r="T577" s="23" t="s">
        <v>13</v>
      </c>
      <c r="U577" s="3" t="s">
        <v>1385</v>
      </c>
      <c r="AO577" s="15"/>
      <c r="AP577" s="15"/>
      <c r="AQ577" s="15"/>
      <c r="AR577" s="23"/>
      <c r="AS577" s="15"/>
      <c r="AT577" s="15"/>
      <c r="AU577" s="23"/>
      <c r="AV577" s="23"/>
    </row>
    <row r="578" spans="1:48" x14ac:dyDescent="0.25">
      <c r="A578" t="s">
        <v>189</v>
      </c>
      <c r="B578" t="s">
        <v>190</v>
      </c>
      <c r="C578" s="10">
        <v>-23</v>
      </c>
      <c r="D578" t="s">
        <v>838</v>
      </c>
      <c r="E578" s="2">
        <f t="shared" si="105"/>
        <v>46213</v>
      </c>
      <c r="F578" s="3">
        <f t="shared" si="104"/>
        <v>0.78819444444444453</v>
      </c>
      <c r="G578" t="s">
        <v>110</v>
      </c>
      <c r="H578" t="s">
        <v>111</v>
      </c>
      <c r="I578" t="s">
        <v>67</v>
      </c>
      <c r="J578" s="2">
        <v>46213</v>
      </c>
      <c r="K578" s="1">
        <v>0.78819444444444453</v>
      </c>
      <c r="L578" s="10">
        <f t="shared" ref="L578:L641" si="107">IF(J578&gt;E578,(K578+1-F578)*1440,IF(J578&lt;E578,-(F578+1-K578)*1440,(K578-F578)*1440))</f>
        <v>0</v>
      </c>
      <c r="M578" s="1" t="str">
        <f t="shared" si="106"/>
        <v>On Time</v>
      </c>
      <c r="N578" s="27" t="str">
        <f t="shared" ref="N578:N641" si="108">IF(COUNTIFS($B$2:$B$1553,B578,$M$2:$M$1553,"&lt;&gt;#N/A")&gt;=30,B578,NA())</f>
        <v>Lufthansa</v>
      </c>
      <c r="O578" s="3" t="s">
        <v>1385</v>
      </c>
      <c r="P578" s="20">
        <f t="shared" ref="P578:P641" si="109">HOUR(F578)</f>
        <v>18</v>
      </c>
      <c r="Q578" s="3" t="s">
        <v>1385</v>
      </c>
      <c r="R578" s="23" t="str">
        <f t="shared" ref="R578:R641" si="110">TEXT(E578, "dddd")</f>
        <v>Friday</v>
      </c>
      <c r="S578" s="3" t="s">
        <v>1385</v>
      </c>
      <c r="T578" s="23" t="s">
        <v>190</v>
      </c>
      <c r="U578" s="3" t="s">
        <v>1385</v>
      </c>
      <c r="AO578" s="15"/>
      <c r="AP578" s="15"/>
      <c r="AQ578" s="15"/>
      <c r="AR578" s="23"/>
      <c r="AS578" s="15"/>
      <c r="AT578" s="15"/>
      <c r="AU578" s="23"/>
      <c r="AV578" s="23"/>
    </row>
    <row r="579" spans="1:48" x14ac:dyDescent="0.25">
      <c r="A579" t="s">
        <v>254</v>
      </c>
      <c r="B579" t="s">
        <v>85</v>
      </c>
      <c r="C579" s="10">
        <v>-83</v>
      </c>
      <c r="D579" t="s">
        <v>839</v>
      </c>
      <c r="E579" s="2">
        <f t="shared" si="105"/>
        <v>46213</v>
      </c>
      <c r="F579" s="3">
        <f t="shared" ref="F579:F642" si="111">IF(ISNUMBER(SEARCH("Landed", D579)), TIMEVALUE(_xlfn.TEXTAFTER(D579, " ")), NA())</f>
        <v>0.8354166666666667</v>
      </c>
      <c r="G579" t="s">
        <v>256</v>
      </c>
      <c r="H579" t="s">
        <v>257</v>
      </c>
      <c r="I579" t="s">
        <v>162</v>
      </c>
      <c r="J579" s="2">
        <v>46213</v>
      </c>
      <c r="K579" s="1">
        <v>0.79513888888888884</v>
      </c>
      <c r="L579" s="10">
        <f t="shared" si="107"/>
        <v>-58.000000000000114</v>
      </c>
      <c r="M579" s="1" t="str">
        <f t="shared" si="106"/>
        <v>Delayed</v>
      </c>
      <c r="N579" s="27" t="str">
        <f t="shared" si="108"/>
        <v>Ryanair</v>
      </c>
      <c r="O579" s="3" t="s">
        <v>1318</v>
      </c>
      <c r="P579" s="20">
        <f t="shared" si="109"/>
        <v>20</v>
      </c>
      <c r="Q579" s="3" t="s">
        <v>1318</v>
      </c>
      <c r="R579" s="23" t="str">
        <f t="shared" si="110"/>
        <v>Friday</v>
      </c>
      <c r="S579" s="3" t="s">
        <v>1318</v>
      </c>
      <c r="T579" s="23" t="s">
        <v>85</v>
      </c>
      <c r="U579" s="3" t="s">
        <v>1318</v>
      </c>
      <c r="AO579" s="15"/>
      <c r="AP579" s="15"/>
      <c r="AQ579" s="15"/>
      <c r="AR579" s="23"/>
      <c r="AS579" s="15"/>
      <c r="AT579" s="15"/>
      <c r="AU579" s="23"/>
      <c r="AV579" s="23"/>
    </row>
    <row r="580" spans="1:48" x14ac:dyDescent="0.25">
      <c r="A580" t="s">
        <v>372</v>
      </c>
      <c r="B580" t="s">
        <v>85</v>
      </c>
      <c r="C580" s="10">
        <v>-14</v>
      </c>
      <c r="D580" t="s">
        <v>726</v>
      </c>
      <c r="E580" s="2">
        <f t="shared" si="105"/>
        <v>46213</v>
      </c>
      <c r="F580" s="3">
        <f t="shared" si="111"/>
        <v>0.7909722222222223</v>
      </c>
      <c r="G580" t="s">
        <v>368</v>
      </c>
      <c r="H580" t="s">
        <v>369</v>
      </c>
      <c r="I580" t="s">
        <v>89</v>
      </c>
      <c r="J580" s="2">
        <v>46213</v>
      </c>
      <c r="K580" s="1">
        <v>0.79513888888888884</v>
      </c>
      <c r="L580" s="10">
        <f t="shared" si="107"/>
        <v>5.9999999999998188</v>
      </c>
      <c r="M580" s="1" t="str">
        <f t="shared" si="106"/>
        <v>On Time</v>
      </c>
      <c r="N580" s="27" t="str">
        <f t="shared" si="108"/>
        <v>Ryanair</v>
      </c>
      <c r="O580" s="3" t="s">
        <v>1385</v>
      </c>
      <c r="P580" s="20">
        <f t="shared" si="109"/>
        <v>18</v>
      </c>
      <c r="Q580" s="3" t="s">
        <v>1385</v>
      </c>
      <c r="R580" s="23" t="str">
        <f t="shared" si="110"/>
        <v>Friday</v>
      </c>
      <c r="S580" s="3" t="s">
        <v>1385</v>
      </c>
      <c r="T580" s="23" t="s">
        <v>85</v>
      </c>
      <c r="U580" s="3" t="s">
        <v>1385</v>
      </c>
      <c r="AO580" s="15"/>
      <c r="AP580" s="15"/>
      <c r="AQ580" s="15"/>
      <c r="AR580" s="23"/>
      <c r="AS580" s="15"/>
      <c r="AT580" s="15"/>
      <c r="AU580" s="23"/>
      <c r="AV580" s="23"/>
    </row>
    <row r="581" spans="1:48" x14ac:dyDescent="0.25">
      <c r="A581" t="s">
        <v>208</v>
      </c>
      <c r="B581" t="s">
        <v>96</v>
      </c>
      <c r="C581" s="10">
        <v>-16</v>
      </c>
      <c r="D581" t="s">
        <v>840</v>
      </c>
      <c r="E581" s="2">
        <f t="shared" si="105"/>
        <v>46213</v>
      </c>
      <c r="F581" s="3">
        <f t="shared" si="111"/>
        <v>0.80694444444444446</v>
      </c>
      <c r="G581" t="s">
        <v>98</v>
      </c>
      <c r="H581" t="s">
        <v>99</v>
      </c>
      <c r="I581" t="s">
        <v>17</v>
      </c>
      <c r="J581" s="2">
        <v>46213</v>
      </c>
      <c r="K581" s="1">
        <v>0.8125</v>
      </c>
      <c r="L581" s="10">
        <f t="shared" si="107"/>
        <v>7.9999999999999716</v>
      </c>
      <c r="M581" s="1" t="str">
        <f t="shared" si="106"/>
        <v>On Time</v>
      </c>
      <c r="N581" s="27" t="str">
        <f t="shared" si="108"/>
        <v>Turkish Airlines</v>
      </c>
      <c r="O581" s="3" t="s">
        <v>1385</v>
      </c>
      <c r="P581" s="20">
        <f t="shared" si="109"/>
        <v>19</v>
      </c>
      <c r="Q581" s="3" t="s">
        <v>1385</v>
      </c>
      <c r="R581" s="23" t="str">
        <f t="shared" si="110"/>
        <v>Friday</v>
      </c>
      <c r="S581" s="3" t="s">
        <v>1385</v>
      </c>
      <c r="T581" s="23" t="s">
        <v>96</v>
      </c>
      <c r="U581" s="3" t="s">
        <v>1385</v>
      </c>
      <c r="AO581" s="15"/>
      <c r="AP581" s="15"/>
      <c r="AQ581" s="15"/>
      <c r="AR581" s="23"/>
      <c r="AS581" s="15"/>
      <c r="AT581" s="15"/>
      <c r="AU581" s="23"/>
      <c r="AV581" s="23"/>
    </row>
    <row r="582" spans="1:48" x14ac:dyDescent="0.25">
      <c r="A582" t="s">
        <v>211</v>
      </c>
      <c r="B582" t="s">
        <v>7</v>
      </c>
      <c r="C582" s="10">
        <v>-13</v>
      </c>
      <c r="D582" t="s">
        <v>532</v>
      </c>
      <c r="E582" s="2">
        <f t="shared" si="105"/>
        <v>46213</v>
      </c>
      <c r="F582" s="3">
        <f t="shared" si="111"/>
        <v>0.82361111111111107</v>
      </c>
      <c r="G582" t="s">
        <v>135</v>
      </c>
      <c r="H582" t="s">
        <v>136</v>
      </c>
      <c r="I582" t="s">
        <v>11</v>
      </c>
      <c r="J582" s="2">
        <v>46213</v>
      </c>
      <c r="K582" s="1">
        <v>0.82638888888888884</v>
      </c>
      <c r="L582" s="10">
        <f t="shared" si="107"/>
        <v>3.9999999999999858</v>
      </c>
      <c r="M582" s="1" t="str">
        <f t="shared" si="106"/>
        <v>On Time</v>
      </c>
      <c r="N582" s="27" t="str">
        <f t="shared" si="108"/>
        <v>airBaltic</v>
      </c>
      <c r="O582" s="3" t="s">
        <v>1385</v>
      </c>
      <c r="P582" s="20">
        <f t="shared" si="109"/>
        <v>19</v>
      </c>
      <c r="Q582" s="3" t="s">
        <v>1385</v>
      </c>
      <c r="R582" s="23" t="str">
        <f t="shared" si="110"/>
        <v>Friday</v>
      </c>
      <c r="S582" s="3" t="s">
        <v>1385</v>
      </c>
      <c r="T582" s="23" t="s">
        <v>7</v>
      </c>
      <c r="U582" s="3" t="s">
        <v>1385</v>
      </c>
      <c r="AO582" s="15"/>
      <c r="AP582" s="15"/>
      <c r="AQ582" s="15"/>
      <c r="AR582" s="23"/>
      <c r="AS582" s="15"/>
      <c r="AT582" s="15"/>
      <c r="AU582" s="23"/>
      <c r="AV582" s="23"/>
    </row>
    <row r="583" spans="1:48" x14ac:dyDescent="0.25">
      <c r="A583" t="s">
        <v>228</v>
      </c>
      <c r="B583" t="s">
        <v>69</v>
      </c>
      <c r="C583" s="10">
        <v>-28</v>
      </c>
      <c r="D583" t="s">
        <v>841</v>
      </c>
      <c r="E583" s="2">
        <f t="shared" si="105"/>
        <v>46213</v>
      </c>
      <c r="F583" s="3">
        <f t="shared" si="111"/>
        <v>0.89513888888888893</v>
      </c>
      <c r="G583" t="s">
        <v>71</v>
      </c>
      <c r="H583" t="s">
        <v>72</v>
      </c>
      <c r="I583" t="s">
        <v>73</v>
      </c>
      <c r="J583" s="2">
        <v>46213</v>
      </c>
      <c r="K583" s="1">
        <v>0.88194444444444453</v>
      </c>
      <c r="L583" s="10">
        <f t="shared" si="107"/>
        <v>-18.999999999999932</v>
      </c>
      <c r="M583" s="1" t="str">
        <f t="shared" si="106"/>
        <v>Delayed</v>
      </c>
      <c r="N583" s="27" t="str">
        <f t="shared" si="108"/>
        <v>Finnair</v>
      </c>
      <c r="O583" s="3" t="s">
        <v>1318</v>
      </c>
      <c r="P583" s="20">
        <f t="shared" si="109"/>
        <v>21</v>
      </c>
      <c r="Q583" s="3" t="s">
        <v>1318</v>
      </c>
      <c r="R583" s="23" t="str">
        <f t="shared" si="110"/>
        <v>Friday</v>
      </c>
      <c r="S583" s="3" t="s">
        <v>1318</v>
      </c>
      <c r="T583" s="23" t="s">
        <v>69</v>
      </c>
      <c r="U583" s="3" t="s">
        <v>1318</v>
      </c>
      <c r="AO583" s="15"/>
      <c r="AP583" s="15"/>
      <c r="AQ583" s="15"/>
      <c r="AR583" s="23"/>
      <c r="AS583" s="15"/>
      <c r="AT583" s="15"/>
      <c r="AU583" s="23"/>
      <c r="AV583" s="23"/>
    </row>
    <row r="584" spans="1:48" x14ac:dyDescent="0.25">
      <c r="A584" t="s">
        <v>250</v>
      </c>
      <c r="B584" t="s">
        <v>7</v>
      </c>
      <c r="C584" s="10">
        <v>-24</v>
      </c>
      <c r="D584" t="s">
        <v>461</v>
      </c>
      <c r="E584" s="2">
        <f t="shared" si="105"/>
        <v>46213</v>
      </c>
      <c r="F584" s="3">
        <f t="shared" si="111"/>
        <v>0.91388888888888886</v>
      </c>
      <c r="G584" t="s">
        <v>252</v>
      </c>
      <c r="H584" t="s">
        <v>253</v>
      </c>
      <c r="I584" t="s">
        <v>11</v>
      </c>
      <c r="J584" s="2">
        <v>46213</v>
      </c>
      <c r="K584" s="1">
        <v>0.91319444444444453</v>
      </c>
      <c r="L584" s="10">
        <f t="shared" si="107"/>
        <v>-0.99999999999983658</v>
      </c>
      <c r="M584" s="1" t="str">
        <f t="shared" si="106"/>
        <v>On Time</v>
      </c>
      <c r="N584" s="27" t="str">
        <f t="shared" si="108"/>
        <v>airBaltic</v>
      </c>
      <c r="O584" s="3" t="s">
        <v>1385</v>
      </c>
      <c r="P584" s="20">
        <f t="shared" si="109"/>
        <v>21</v>
      </c>
      <c r="Q584" s="3" t="s">
        <v>1385</v>
      </c>
      <c r="R584" s="23" t="str">
        <f t="shared" si="110"/>
        <v>Friday</v>
      </c>
      <c r="S584" s="3" t="s">
        <v>1385</v>
      </c>
      <c r="T584" s="23" t="s">
        <v>7</v>
      </c>
      <c r="U584" s="3" t="s">
        <v>1385</v>
      </c>
      <c r="AO584" s="15"/>
      <c r="AP584" s="15"/>
      <c r="AQ584" s="15"/>
      <c r="AR584" s="23"/>
      <c r="AS584" s="15"/>
      <c r="AT584" s="15"/>
      <c r="AU584" s="23"/>
      <c r="AV584" s="23"/>
    </row>
    <row r="585" spans="1:48" x14ac:dyDescent="0.25">
      <c r="A585" t="s">
        <v>235</v>
      </c>
      <c r="B585" t="s">
        <v>19</v>
      </c>
      <c r="C585" s="10">
        <v>-50</v>
      </c>
      <c r="D585" t="s">
        <v>842</v>
      </c>
      <c r="E585" s="2">
        <f t="shared" si="105"/>
        <v>46213</v>
      </c>
      <c r="F585" s="3">
        <f t="shared" si="111"/>
        <v>0.9506944444444444</v>
      </c>
      <c r="G585" t="s">
        <v>21</v>
      </c>
      <c r="H585" t="s">
        <v>22</v>
      </c>
      <c r="I585" t="s">
        <v>276</v>
      </c>
      <c r="J585" s="2">
        <v>46213</v>
      </c>
      <c r="K585" s="1">
        <v>0.93055555555555547</v>
      </c>
      <c r="L585" s="10">
        <f t="shared" si="107"/>
        <v>-29.000000000000057</v>
      </c>
      <c r="M585" s="1" t="str">
        <f t="shared" si="106"/>
        <v>Delayed</v>
      </c>
      <c r="N585" s="27" t="str">
        <f t="shared" si="108"/>
        <v>LOT</v>
      </c>
      <c r="O585" s="3" t="s">
        <v>1318</v>
      </c>
      <c r="P585" s="20">
        <f t="shared" si="109"/>
        <v>22</v>
      </c>
      <c r="Q585" s="3" t="s">
        <v>1318</v>
      </c>
      <c r="R585" s="23" t="str">
        <f t="shared" si="110"/>
        <v>Friday</v>
      </c>
      <c r="S585" s="3" t="s">
        <v>1318</v>
      </c>
      <c r="T585" s="23" t="s">
        <v>19</v>
      </c>
      <c r="U585" s="3" t="s">
        <v>1318</v>
      </c>
      <c r="AO585" s="15"/>
      <c r="AP585" s="15"/>
      <c r="AQ585" s="15"/>
      <c r="AR585" s="23"/>
      <c r="AS585" s="15"/>
      <c r="AT585" s="15"/>
      <c r="AU585" s="23"/>
      <c r="AV585" s="23"/>
    </row>
    <row r="586" spans="1:48" x14ac:dyDescent="0.25">
      <c r="A586" t="s">
        <v>245</v>
      </c>
      <c r="B586" t="s">
        <v>124</v>
      </c>
      <c r="D586" t="s">
        <v>543</v>
      </c>
      <c r="E586" s="2">
        <f t="shared" si="105"/>
        <v>46213</v>
      </c>
      <c r="F586" s="3">
        <f t="shared" si="111"/>
        <v>0.94791666666666663</v>
      </c>
      <c r="G586" t="s">
        <v>247</v>
      </c>
      <c r="H586" t="s">
        <v>248</v>
      </c>
      <c r="I586" t="s">
        <v>126</v>
      </c>
      <c r="J586" s="2">
        <v>46213</v>
      </c>
      <c r="K586" s="1">
        <v>0.93958333333333333</v>
      </c>
      <c r="L586" s="10">
        <f t="shared" si="107"/>
        <v>-11.999999999999957</v>
      </c>
      <c r="M586" s="1" t="str">
        <f t="shared" si="106"/>
        <v>On Time</v>
      </c>
      <c r="N586" s="27" t="str">
        <f t="shared" si="108"/>
        <v>GetJet Airlines</v>
      </c>
      <c r="O586" s="3" t="s">
        <v>1385</v>
      </c>
      <c r="P586" s="20">
        <f t="shared" si="109"/>
        <v>22</v>
      </c>
      <c r="Q586" s="3" t="s">
        <v>1385</v>
      </c>
      <c r="R586" s="23" t="str">
        <f t="shared" si="110"/>
        <v>Friday</v>
      </c>
      <c r="S586" s="3" t="s">
        <v>1385</v>
      </c>
      <c r="T586" s="23" t="s">
        <v>124</v>
      </c>
      <c r="U586" s="3" t="s">
        <v>1385</v>
      </c>
      <c r="AO586" s="15"/>
      <c r="AP586" s="15"/>
      <c r="AQ586" s="15"/>
      <c r="AR586" s="23"/>
      <c r="AS586" s="15"/>
      <c r="AT586" s="15"/>
      <c r="AU586" s="23"/>
      <c r="AV586" s="23"/>
    </row>
    <row r="587" spans="1:48" x14ac:dyDescent="0.25">
      <c r="A587" t="s">
        <v>383</v>
      </c>
      <c r="B587" t="s">
        <v>7</v>
      </c>
      <c r="C587" s="10">
        <v>-13</v>
      </c>
      <c r="D587" t="s">
        <v>236</v>
      </c>
      <c r="E587" s="2">
        <f t="shared" si="105"/>
        <v>46213</v>
      </c>
      <c r="F587" s="3">
        <f t="shared" si="111"/>
        <v>0.94305555555555554</v>
      </c>
      <c r="G587" t="s">
        <v>26</v>
      </c>
      <c r="H587" t="s">
        <v>27</v>
      </c>
      <c r="I587" t="s">
        <v>11</v>
      </c>
      <c r="J587" s="2">
        <v>46213</v>
      </c>
      <c r="K587" s="1">
        <v>0.94791666666666663</v>
      </c>
      <c r="L587" s="10">
        <f t="shared" si="107"/>
        <v>6.9999999999999751</v>
      </c>
      <c r="M587" s="1" t="str">
        <f t="shared" si="106"/>
        <v>On Time</v>
      </c>
      <c r="N587" s="27" t="str">
        <f t="shared" si="108"/>
        <v>airBaltic</v>
      </c>
      <c r="O587" s="3" t="s">
        <v>1385</v>
      </c>
      <c r="P587" s="20">
        <f t="shared" si="109"/>
        <v>22</v>
      </c>
      <c r="Q587" s="3" t="s">
        <v>1385</v>
      </c>
      <c r="R587" s="23" t="str">
        <f t="shared" si="110"/>
        <v>Friday</v>
      </c>
      <c r="S587" s="3" t="s">
        <v>1385</v>
      </c>
      <c r="T587" s="23" t="s">
        <v>7</v>
      </c>
      <c r="U587" s="3" t="s">
        <v>1385</v>
      </c>
      <c r="AO587" s="15"/>
      <c r="AP587" s="15"/>
      <c r="AQ587" s="15"/>
      <c r="AR587" s="23"/>
      <c r="AS587" s="15"/>
      <c r="AT587" s="15"/>
      <c r="AU587" s="23"/>
      <c r="AV587" s="23"/>
    </row>
    <row r="588" spans="1:48" x14ac:dyDescent="0.25">
      <c r="A588" t="s">
        <v>385</v>
      </c>
      <c r="B588" t="s">
        <v>239</v>
      </c>
      <c r="D588" t="s">
        <v>468</v>
      </c>
      <c r="E588" s="2">
        <f t="shared" si="105"/>
        <v>46213</v>
      </c>
      <c r="F588" s="3">
        <f t="shared" si="111"/>
        <v>0.97638888888888886</v>
      </c>
      <c r="G588" t="s">
        <v>15</v>
      </c>
      <c r="H588" t="s">
        <v>16</v>
      </c>
      <c r="I588" t="s">
        <v>83</v>
      </c>
      <c r="J588" s="2">
        <v>46213</v>
      </c>
      <c r="K588" s="1">
        <v>0.96180555555555547</v>
      </c>
      <c r="L588" s="10">
        <f t="shared" si="107"/>
        <v>-21.000000000000085</v>
      </c>
      <c r="M588" s="1" t="str">
        <f t="shared" si="106"/>
        <v>Delayed</v>
      </c>
      <c r="N588" s="27" t="str">
        <f t="shared" si="108"/>
        <v>Eurowings</v>
      </c>
      <c r="O588" s="3" t="s">
        <v>1318</v>
      </c>
      <c r="P588" s="20">
        <f t="shared" si="109"/>
        <v>23</v>
      </c>
      <c r="Q588" s="3" t="s">
        <v>1318</v>
      </c>
      <c r="R588" s="23" t="str">
        <f t="shared" si="110"/>
        <v>Friday</v>
      </c>
      <c r="S588" s="3" t="s">
        <v>1318</v>
      </c>
      <c r="T588" s="23" t="s">
        <v>239</v>
      </c>
      <c r="U588" s="3" t="s">
        <v>1318</v>
      </c>
      <c r="AO588" s="15"/>
      <c r="AP588" s="15"/>
      <c r="AQ588" s="15"/>
      <c r="AR588" s="23"/>
      <c r="AS588" s="15"/>
      <c r="AT588" s="15"/>
      <c r="AU588" s="23"/>
      <c r="AV588" s="23"/>
    </row>
    <row r="589" spans="1:48" x14ac:dyDescent="0.25">
      <c r="A589" t="s">
        <v>100</v>
      </c>
      <c r="B589" t="s">
        <v>85</v>
      </c>
      <c r="C589" s="10">
        <v>-76</v>
      </c>
      <c r="D589" t="s">
        <v>843</v>
      </c>
      <c r="E589" s="2">
        <f t="shared" si="105"/>
        <v>46213</v>
      </c>
      <c r="F589" s="3" t="e">
        <f t="shared" si="111"/>
        <v>#N/A</v>
      </c>
      <c r="G589" t="s">
        <v>102</v>
      </c>
      <c r="H589" t="s">
        <v>103</v>
      </c>
      <c r="I589" t="s">
        <v>162</v>
      </c>
      <c r="J589" s="2">
        <v>46213</v>
      </c>
      <c r="K589" s="1">
        <v>0.98263888888888884</v>
      </c>
      <c r="L589" s="10" t="e">
        <f t="shared" si="107"/>
        <v>#N/A</v>
      </c>
      <c r="M589" s="1" t="e">
        <f t="shared" si="106"/>
        <v>#N/A</v>
      </c>
      <c r="N589" s="27" t="str">
        <f t="shared" si="108"/>
        <v>Ryanair</v>
      </c>
      <c r="O589" s="3" t="e">
        <v>#N/A</v>
      </c>
      <c r="P589" s="20" t="e">
        <f t="shared" si="109"/>
        <v>#N/A</v>
      </c>
      <c r="Q589" s="3" t="e">
        <v>#N/A</v>
      </c>
      <c r="R589" s="23" t="str">
        <f t="shared" si="110"/>
        <v>Friday</v>
      </c>
      <c r="S589" s="3" t="e">
        <v>#N/A</v>
      </c>
      <c r="T589" s="23" t="s">
        <v>85</v>
      </c>
      <c r="AO589" s="15"/>
      <c r="AP589" s="15"/>
      <c r="AQ589" s="15"/>
      <c r="AR589" s="23"/>
      <c r="AS589" s="15"/>
      <c r="AT589" s="15"/>
      <c r="AU589" s="23"/>
      <c r="AV589" s="23"/>
    </row>
    <row r="590" spans="1:48" x14ac:dyDescent="0.25">
      <c r="A590" t="s">
        <v>258</v>
      </c>
      <c r="B590" t="s">
        <v>190</v>
      </c>
      <c r="C590" s="10">
        <v>-53</v>
      </c>
      <c r="D590" t="s">
        <v>844</v>
      </c>
      <c r="E590" s="2">
        <v>46214</v>
      </c>
      <c r="F590" s="3">
        <f t="shared" si="111"/>
        <v>2.7777777777777779E-3</v>
      </c>
      <c r="G590" t="s">
        <v>110</v>
      </c>
      <c r="H590" t="s">
        <v>111</v>
      </c>
      <c r="I590" t="s">
        <v>67</v>
      </c>
      <c r="J590" s="2">
        <v>46213</v>
      </c>
      <c r="K590" s="1">
        <v>0.98263888888888884</v>
      </c>
      <c r="L590" s="10">
        <f t="shared" si="107"/>
        <v>-29.000000000000057</v>
      </c>
      <c r="M590" s="1" t="str">
        <f t="shared" si="106"/>
        <v>Delayed</v>
      </c>
      <c r="N590" s="27" t="str">
        <f t="shared" si="108"/>
        <v>Lufthansa</v>
      </c>
      <c r="O590" s="3" t="s">
        <v>1318</v>
      </c>
      <c r="P590" s="20">
        <f t="shared" si="109"/>
        <v>0</v>
      </c>
      <c r="Q590" s="3" t="s">
        <v>1318</v>
      </c>
      <c r="R590" s="23" t="str">
        <f t="shared" si="110"/>
        <v>Saturday</v>
      </c>
      <c r="S590" s="3" t="s">
        <v>1318</v>
      </c>
      <c r="T590" s="23" t="s">
        <v>190</v>
      </c>
      <c r="U590" s="3" t="s">
        <v>1318</v>
      </c>
      <c r="AO590" s="15"/>
      <c r="AP590" s="15"/>
      <c r="AQ590" s="15"/>
      <c r="AR590" s="23"/>
      <c r="AS590" s="15"/>
      <c r="AT590" s="15"/>
      <c r="AU590" s="23"/>
      <c r="AV590" s="23"/>
    </row>
    <row r="591" spans="1:48" x14ac:dyDescent="0.25">
      <c r="A591" t="s">
        <v>393</v>
      </c>
      <c r="B591" t="s">
        <v>85</v>
      </c>
      <c r="C591" s="10">
        <v>-2</v>
      </c>
      <c r="D591" t="s">
        <v>845</v>
      </c>
      <c r="E591" s="2">
        <f t="shared" ref="E591" si="112">J591</f>
        <v>46213</v>
      </c>
      <c r="F591" s="3">
        <f t="shared" si="111"/>
        <v>0.97916666666666663</v>
      </c>
      <c r="G591" t="s">
        <v>153</v>
      </c>
      <c r="H591" t="s">
        <v>154</v>
      </c>
      <c r="I591" t="s">
        <v>89</v>
      </c>
      <c r="J591" s="2">
        <v>46213</v>
      </c>
      <c r="K591" s="1">
        <v>0.99305555555555547</v>
      </c>
      <c r="L591" s="10">
        <f t="shared" si="107"/>
        <v>19.999999999999929</v>
      </c>
      <c r="M591" s="1" t="str">
        <f t="shared" si="106"/>
        <v>On Time</v>
      </c>
      <c r="N591" s="27" t="str">
        <f t="shared" si="108"/>
        <v>Ryanair</v>
      </c>
      <c r="O591" s="3" t="s">
        <v>1385</v>
      </c>
      <c r="P591" s="20">
        <f t="shared" si="109"/>
        <v>23</v>
      </c>
      <c r="Q591" s="3" t="s">
        <v>1385</v>
      </c>
      <c r="R591" s="23" t="str">
        <f t="shared" si="110"/>
        <v>Friday</v>
      </c>
      <c r="S591" s="3" t="s">
        <v>1385</v>
      </c>
      <c r="T591" s="23" t="s">
        <v>85</v>
      </c>
      <c r="U591" s="3" t="s">
        <v>1385</v>
      </c>
      <c r="AO591" s="15"/>
      <c r="AP591" s="15"/>
      <c r="AQ591" s="15"/>
      <c r="AR591" s="23"/>
      <c r="AS591" s="15"/>
      <c r="AT591" s="15"/>
      <c r="AU591" s="23"/>
      <c r="AV591" s="23"/>
    </row>
    <row r="592" spans="1:48" x14ac:dyDescent="0.25">
      <c r="A592" t="s">
        <v>395</v>
      </c>
      <c r="B592" t="s">
        <v>85</v>
      </c>
      <c r="C592" s="10">
        <v>-10</v>
      </c>
      <c r="D592" t="s">
        <v>846</v>
      </c>
      <c r="E592" s="2">
        <v>46213</v>
      </c>
      <c r="F592" s="3">
        <f t="shared" si="111"/>
        <v>0.99791666666666667</v>
      </c>
      <c r="G592" t="s">
        <v>34</v>
      </c>
      <c r="H592" t="s">
        <v>161</v>
      </c>
      <c r="I592" t="s">
        <v>89</v>
      </c>
      <c r="J592" s="2">
        <v>46214</v>
      </c>
      <c r="K592" s="1">
        <v>6.9444444444444441E-3</v>
      </c>
      <c r="L592" s="10">
        <f t="shared" si="107"/>
        <v>12.999999999999954</v>
      </c>
      <c r="M592" s="1" t="str">
        <f t="shared" si="106"/>
        <v>On Time</v>
      </c>
      <c r="N592" s="27" t="str">
        <f t="shared" si="108"/>
        <v>Ryanair</v>
      </c>
      <c r="O592" s="3" t="s">
        <v>1385</v>
      </c>
      <c r="P592" s="20">
        <f t="shared" si="109"/>
        <v>23</v>
      </c>
      <c r="Q592" s="3" t="s">
        <v>1385</v>
      </c>
      <c r="R592" s="23" t="str">
        <f t="shared" si="110"/>
        <v>Friday</v>
      </c>
      <c r="S592" s="3" t="s">
        <v>1385</v>
      </c>
      <c r="T592" s="23" t="s">
        <v>85</v>
      </c>
      <c r="U592" s="3" t="s">
        <v>1385</v>
      </c>
      <c r="AO592" s="15"/>
      <c r="AP592" s="15"/>
      <c r="AQ592" s="15"/>
      <c r="AR592" s="23"/>
      <c r="AS592" s="15"/>
      <c r="AT592" s="15"/>
      <c r="AU592" s="23"/>
      <c r="AV592" s="23"/>
    </row>
    <row r="593" spans="1:48" x14ac:dyDescent="0.25">
      <c r="A593" t="s">
        <v>6</v>
      </c>
      <c r="B593" t="s">
        <v>7</v>
      </c>
      <c r="C593" s="10">
        <v>-33</v>
      </c>
      <c r="D593" t="s">
        <v>847</v>
      </c>
      <c r="E593" s="2">
        <f t="shared" ref="E593:E648" si="113">J593</f>
        <v>46214</v>
      </c>
      <c r="F593" s="3">
        <f t="shared" si="111"/>
        <v>3.9583333333333331E-2</v>
      </c>
      <c r="G593" t="s">
        <v>9</v>
      </c>
      <c r="H593" t="s">
        <v>10</v>
      </c>
      <c r="I593" t="s">
        <v>11</v>
      </c>
      <c r="J593" s="2">
        <v>46214</v>
      </c>
      <c r="K593" s="1">
        <v>2.0833333333333332E-2</v>
      </c>
      <c r="L593" s="10">
        <f t="shared" si="107"/>
        <v>-27</v>
      </c>
      <c r="M593" s="1" t="str">
        <f t="shared" si="106"/>
        <v>Delayed</v>
      </c>
      <c r="N593" s="27" t="str">
        <f t="shared" si="108"/>
        <v>airBaltic</v>
      </c>
      <c r="O593" s="3" t="s">
        <v>1318</v>
      </c>
      <c r="P593" s="20">
        <f t="shared" si="109"/>
        <v>0</v>
      </c>
      <c r="Q593" s="3" t="s">
        <v>1318</v>
      </c>
      <c r="R593" s="23" t="str">
        <f t="shared" si="110"/>
        <v>Saturday</v>
      </c>
      <c r="S593" s="3" t="s">
        <v>1318</v>
      </c>
      <c r="T593" s="23" t="s">
        <v>7</v>
      </c>
      <c r="U593" s="3" t="s">
        <v>1318</v>
      </c>
      <c r="AO593" s="15"/>
      <c r="AP593" s="15"/>
      <c r="AQ593" s="15"/>
      <c r="AR593" s="23"/>
      <c r="AS593" s="15"/>
      <c r="AT593" s="15"/>
      <c r="AU593" s="23"/>
      <c r="AV593" s="23"/>
    </row>
    <row r="594" spans="1:48" x14ac:dyDescent="0.25">
      <c r="A594" t="s">
        <v>18</v>
      </c>
      <c r="B594" t="s">
        <v>19</v>
      </c>
      <c r="C594" s="10">
        <v>-53</v>
      </c>
      <c r="D594" t="s">
        <v>279</v>
      </c>
      <c r="E594" s="2">
        <f t="shared" si="113"/>
        <v>46214</v>
      </c>
      <c r="F594" s="3">
        <f t="shared" si="111"/>
        <v>4.7916666666666663E-2</v>
      </c>
      <c r="G594" t="s">
        <v>21</v>
      </c>
      <c r="H594" t="s">
        <v>22</v>
      </c>
      <c r="I594" t="s">
        <v>594</v>
      </c>
      <c r="J594" s="2">
        <v>46214</v>
      </c>
      <c r="K594" s="1">
        <v>2.7777777777777776E-2</v>
      </c>
      <c r="L594" s="10">
        <f t="shared" si="107"/>
        <v>-28.999999999999996</v>
      </c>
      <c r="M594" s="1" t="str">
        <f t="shared" si="106"/>
        <v>Delayed</v>
      </c>
      <c r="N594" s="27" t="str">
        <f t="shared" si="108"/>
        <v>LOT</v>
      </c>
      <c r="O594" s="3" t="s">
        <v>1318</v>
      </c>
      <c r="P594" s="20">
        <f t="shared" si="109"/>
        <v>1</v>
      </c>
      <c r="Q594" s="3" t="s">
        <v>1318</v>
      </c>
      <c r="R594" s="23" t="str">
        <f t="shared" si="110"/>
        <v>Saturday</v>
      </c>
      <c r="S594" s="3" t="s">
        <v>1318</v>
      </c>
      <c r="T594" s="23" t="s">
        <v>19</v>
      </c>
      <c r="U594" s="3" t="s">
        <v>1318</v>
      </c>
      <c r="AO594" s="15"/>
      <c r="AP594" s="15"/>
      <c r="AQ594" s="15"/>
      <c r="AR594" s="23"/>
      <c r="AS594" s="15"/>
      <c r="AT594" s="15"/>
      <c r="AU594" s="23"/>
      <c r="AV594" s="23"/>
    </row>
    <row r="595" spans="1:48" x14ac:dyDescent="0.25">
      <c r="A595" t="s">
        <v>163</v>
      </c>
      <c r="B595" t="s">
        <v>13</v>
      </c>
      <c r="C595" s="10">
        <v>-10</v>
      </c>
      <c r="D595" t="s">
        <v>399</v>
      </c>
      <c r="E595" s="2">
        <f t="shared" si="113"/>
        <v>46214</v>
      </c>
      <c r="F595" s="3">
        <f t="shared" si="111"/>
        <v>1.8055555555555557E-2</v>
      </c>
      <c r="G595" t="s">
        <v>165</v>
      </c>
      <c r="H595" t="s">
        <v>166</v>
      </c>
      <c r="I595" t="s">
        <v>17</v>
      </c>
      <c r="J595" s="2">
        <v>46214</v>
      </c>
      <c r="K595" s="1">
        <v>2.7777777777777776E-2</v>
      </c>
      <c r="L595" s="10">
        <f t="shared" si="107"/>
        <v>13.999999999999995</v>
      </c>
      <c r="M595" s="1" t="str">
        <f t="shared" ref="M595:M658" si="114">IF(L595&gt;=-15, "On Time", "Delayed")</f>
        <v>On Time</v>
      </c>
      <c r="N595" s="27" t="str">
        <f t="shared" si="108"/>
        <v>Wizz Air</v>
      </c>
      <c r="O595" s="3" t="s">
        <v>1385</v>
      </c>
      <c r="P595" s="20">
        <f t="shared" si="109"/>
        <v>0</v>
      </c>
      <c r="Q595" s="3" t="s">
        <v>1385</v>
      </c>
      <c r="R595" s="23" t="str">
        <f t="shared" si="110"/>
        <v>Saturday</v>
      </c>
      <c r="S595" s="3" t="s">
        <v>1385</v>
      </c>
      <c r="T595" s="23" t="s">
        <v>13</v>
      </c>
      <c r="U595" s="3" t="s">
        <v>1385</v>
      </c>
      <c r="AO595" s="15"/>
      <c r="AP595" s="15"/>
      <c r="AQ595" s="15"/>
      <c r="AR595" s="23"/>
      <c r="AS595" s="15"/>
      <c r="AT595" s="15"/>
      <c r="AU595" s="23"/>
      <c r="AV595" s="23"/>
    </row>
    <row r="596" spans="1:48" x14ac:dyDescent="0.25">
      <c r="A596" t="s">
        <v>402</v>
      </c>
      <c r="B596" t="s">
        <v>13</v>
      </c>
      <c r="C596" s="10">
        <v>-14</v>
      </c>
      <c r="D596" t="s">
        <v>848</v>
      </c>
      <c r="E596" s="2">
        <f t="shared" si="113"/>
        <v>46214</v>
      </c>
      <c r="F596" s="3">
        <f t="shared" si="111"/>
        <v>3.5416666666666666E-2</v>
      </c>
      <c r="G596" t="s">
        <v>404</v>
      </c>
      <c r="H596" t="s">
        <v>405</v>
      </c>
      <c r="I596" t="s">
        <v>17</v>
      </c>
      <c r="J596" s="2">
        <v>46214</v>
      </c>
      <c r="K596" s="1">
        <v>4.5138888888888888E-2</v>
      </c>
      <c r="L596" s="10">
        <f t="shared" si="107"/>
        <v>14</v>
      </c>
      <c r="M596" s="1" t="str">
        <f t="shared" si="114"/>
        <v>On Time</v>
      </c>
      <c r="N596" s="27" t="str">
        <f t="shared" si="108"/>
        <v>Wizz Air</v>
      </c>
      <c r="O596" s="3" t="s">
        <v>1385</v>
      </c>
      <c r="P596" s="20">
        <f t="shared" si="109"/>
        <v>0</v>
      </c>
      <c r="Q596" s="3" t="s">
        <v>1385</v>
      </c>
      <c r="R596" s="23" t="str">
        <f t="shared" si="110"/>
        <v>Saturday</v>
      </c>
      <c r="S596" s="3" t="s">
        <v>1385</v>
      </c>
      <c r="T596" s="23" t="s">
        <v>13</v>
      </c>
      <c r="U596" s="3" t="s">
        <v>1385</v>
      </c>
      <c r="AO596" s="15"/>
      <c r="AP596" s="15"/>
      <c r="AQ596" s="15"/>
      <c r="AR596" s="23"/>
      <c r="AS596" s="15"/>
      <c r="AT596" s="15"/>
      <c r="AU596" s="23"/>
      <c r="AV596" s="23"/>
    </row>
    <row r="597" spans="1:48" x14ac:dyDescent="0.25">
      <c r="A597" t="s">
        <v>32</v>
      </c>
      <c r="B597" t="s">
        <v>13</v>
      </c>
      <c r="C597" s="10">
        <v>-39</v>
      </c>
      <c r="D597" t="s">
        <v>849</v>
      </c>
      <c r="E597" s="2">
        <f t="shared" si="113"/>
        <v>46214</v>
      </c>
      <c r="F597" s="3">
        <f t="shared" si="111"/>
        <v>7.0833333333333331E-2</v>
      </c>
      <c r="G597" t="s">
        <v>34</v>
      </c>
      <c r="H597" t="s">
        <v>35</v>
      </c>
      <c r="I597" t="s">
        <v>17</v>
      </c>
      <c r="J597" s="2">
        <v>46214</v>
      </c>
      <c r="K597" s="1">
        <v>5.5555555555555552E-2</v>
      </c>
      <c r="L597" s="10">
        <f t="shared" si="107"/>
        <v>-22</v>
      </c>
      <c r="M597" s="1" t="str">
        <f t="shared" si="114"/>
        <v>Delayed</v>
      </c>
      <c r="N597" s="27" t="str">
        <f t="shared" si="108"/>
        <v>Wizz Air</v>
      </c>
      <c r="O597" s="3" t="s">
        <v>1318</v>
      </c>
      <c r="P597" s="20">
        <f t="shared" si="109"/>
        <v>1</v>
      </c>
      <c r="Q597" s="3" t="s">
        <v>1318</v>
      </c>
      <c r="R597" s="23" t="str">
        <f t="shared" si="110"/>
        <v>Saturday</v>
      </c>
      <c r="S597" s="3" t="s">
        <v>1318</v>
      </c>
      <c r="T597" s="23" t="s">
        <v>13</v>
      </c>
      <c r="U597" s="3" t="s">
        <v>1318</v>
      </c>
      <c r="AO597" s="15"/>
      <c r="AP597" s="15"/>
      <c r="AQ597" s="15"/>
      <c r="AR597" s="23"/>
      <c r="AS597" s="15"/>
      <c r="AT597" s="15"/>
      <c r="AU597" s="23"/>
      <c r="AV597" s="23"/>
    </row>
    <row r="598" spans="1:48" x14ac:dyDescent="0.25">
      <c r="A598" t="s">
        <v>36</v>
      </c>
      <c r="B598" t="s">
        <v>7</v>
      </c>
      <c r="C598" s="10">
        <v>-32</v>
      </c>
      <c r="D598" t="s">
        <v>850</v>
      </c>
      <c r="E598" s="2">
        <f t="shared" si="113"/>
        <v>46214</v>
      </c>
      <c r="F598" s="3">
        <f t="shared" si="111"/>
        <v>6.0416666666666667E-2</v>
      </c>
      <c r="G598" t="s">
        <v>38</v>
      </c>
      <c r="H598" t="s">
        <v>39</v>
      </c>
      <c r="I598" t="s">
        <v>11</v>
      </c>
      <c r="J598" s="2">
        <v>46214</v>
      </c>
      <c r="K598" s="1">
        <v>5.9027777777777783E-2</v>
      </c>
      <c r="L598" s="10">
        <f t="shared" si="107"/>
        <v>-1.9999999999999929</v>
      </c>
      <c r="M598" s="1" t="str">
        <f t="shared" si="114"/>
        <v>On Time</v>
      </c>
      <c r="N598" s="27" t="str">
        <f t="shared" si="108"/>
        <v>airBaltic</v>
      </c>
      <c r="O598" s="3" t="s">
        <v>1385</v>
      </c>
      <c r="P598" s="20">
        <f t="shared" si="109"/>
        <v>1</v>
      </c>
      <c r="Q598" s="3" t="s">
        <v>1385</v>
      </c>
      <c r="R598" s="23" t="str">
        <f t="shared" si="110"/>
        <v>Saturday</v>
      </c>
      <c r="S598" s="3" t="s">
        <v>1385</v>
      </c>
      <c r="T598" s="23" t="s">
        <v>7</v>
      </c>
      <c r="U598" s="3" t="s">
        <v>1385</v>
      </c>
      <c r="AO598" s="15"/>
      <c r="AP598" s="15"/>
      <c r="AQ598" s="15"/>
      <c r="AR598" s="23"/>
      <c r="AS598" s="15"/>
      <c r="AT598" s="15"/>
      <c r="AU598" s="23"/>
      <c r="AV598" s="23"/>
    </row>
    <row r="599" spans="1:48" x14ac:dyDescent="0.25">
      <c r="A599" t="s">
        <v>40</v>
      </c>
      <c r="B599" t="s">
        <v>41</v>
      </c>
      <c r="C599" s="10">
        <v>-6</v>
      </c>
      <c r="D599" t="s">
        <v>851</v>
      </c>
      <c r="E599" s="2">
        <f t="shared" si="113"/>
        <v>46214</v>
      </c>
      <c r="F599" s="3">
        <f t="shared" si="111"/>
        <v>5.2083333333333336E-2</v>
      </c>
      <c r="G599" t="s">
        <v>43</v>
      </c>
      <c r="H599" t="s">
        <v>44</v>
      </c>
      <c r="I599" t="s">
        <v>45</v>
      </c>
      <c r="J599" s="2">
        <v>46214</v>
      </c>
      <c r="K599" s="1">
        <v>5.9027777777777783E-2</v>
      </c>
      <c r="L599" s="10">
        <f t="shared" si="107"/>
        <v>10.000000000000004</v>
      </c>
      <c r="M599" s="1" t="str">
        <f t="shared" si="114"/>
        <v>On Time</v>
      </c>
      <c r="N599" s="27" t="str">
        <f t="shared" si="108"/>
        <v>SAS</v>
      </c>
      <c r="O599" s="3" t="s">
        <v>1385</v>
      </c>
      <c r="P599" s="20">
        <f t="shared" si="109"/>
        <v>1</v>
      </c>
      <c r="Q599" s="3" t="s">
        <v>1385</v>
      </c>
      <c r="R599" s="23" t="str">
        <f t="shared" si="110"/>
        <v>Saturday</v>
      </c>
      <c r="S599" s="3" t="s">
        <v>1385</v>
      </c>
      <c r="T599" s="23" t="s">
        <v>41</v>
      </c>
      <c r="U599" s="3" t="s">
        <v>1385</v>
      </c>
      <c r="AO599" s="15"/>
      <c r="AP599" s="15"/>
      <c r="AQ599" s="15"/>
      <c r="AR599" s="23"/>
      <c r="AS599" s="15"/>
      <c r="AT599" s="15"/>
      <c r="AU599" s="23"/>
      <c r="AV599" s="23"/>
    </row>
    <row r="600" spans="1:48" x14ac:dyDescent="0.25">
      <c r="A600" t="s">
        <v>409</v>
      </c>
      <c r="B600" t="s">
        <v>96</v>
      </c>
      <c r="C600" s="10" t="e">
        <f>NA()</f>
        <v>#N/A</v>
      </c>
      <c r="D600" t="s">
        <v>242</v>
      </c>
      <c r="E600" s="2">
        <f t="shared" si="113"/>
        <v>46214</v>
      </c>
      <c r="F600" s="3" t="e">
        <f t="shared" si="111"/>
        <v>#N/A</v>
      </c>
      <c r="G600" t="s">
        <v>98</v>
      </c>
      <c r="H600" t="s">
        <v>99</v>
      </c>
      <c r="I600" t="s">
        <v>123</v>
      </c>
      <c r="J600" s="2">
        <v>46214</v>
      </c>
      <c r="K600" s="1">
        <v>0.31597222222222221</v>
      </c>
      <c r="L600" s="10" t="e">
        <f t="shared" si="107"/>
        <v>#N/A</v>
      </c>
      <c r="M600" s="1" t="e">
        <f t="shared" si="114"/>
        <v>#N/A</v>
      </c>
      <c r="N600" s="27" t="str">
        <f t="shared" si="108"/>
        <v>Turkish Airlines</v>
      </c>
      <c r="O600" s="3" t="e">
        <v>#N/A</v>
      </c>
      <c r="P600" s="20" t="e">
        <f t="shared" si="109"/>
        <v>#N/A</v>
      </c>
      <c r="Q600" s="3" t="e">
        <v>#N/A</v>
      </c>
      <c r="R600" s="23" t="str">
        <f t="shared" si="110"/>
        <v>Saturday</v>
      </c>
      <c r="S600" s="3" t="e">
        <v>#N/A</v>
      </c>
      <c r="T600" s="23" t="s">
        <v>96</v>
      </c>
      <c r="AO600" s="15"/>
      <c r="AP600" s="15"/>
      <c r="AQ600" s="15"/>
      <c r="AR600" s="23"/>
      <c r="AS600" s="15"/>
      <c r="AT600" s="15"/>
      <c r="AU600" s="23"/>
      <c r="AV600" s="23"/>
    </row>
    <row r="601" spans="1:48" x14ac:dyDescent="0.25">
      <c r="A601" t="s">
        <v>60</v>
      </c>
      <c r="B601" t="s">
        <v>7</v>
      </c>
      <c r="C601" s="10">
        <v>-14</v>
      </c>
      <c r="D601" t="s">
        <v>852</v>
      </c>
      <c r="E601" s="2">
        <f t="shared" si="113"/>
        <v>46214</v>
      </c>
      <c r="F601" s="3">
        <f t="shared" si="111"/>
        <v>0.3576388888888889</v>
      </c>
      <c r="G601" t="s">
        <v>9</v>
      </c>
      <c r="H601" t="s">
        <v>10</v>
      </c>
      <c r="I601" t="s">
        <v>11</v>
      </c>
      <c r="J601" s="2">
        <v>46214</v>
      </c>
      <c r="K601" s="1">
        <v>0.3611111111111111</v>
      </c>
      <c r="L601" s="10">
        <f t="shared" si="107"/>
        <v>4.9999999999999822</v>
      </c>
      <c r="M601" s="1" t="str">
        <f t="shared" si="114"/>
        <v>On Time</v>
      </c>
      <c r="N601" s="27" t="str">
        <f t="shared" si="108"/>
        <v>airBaltic</v>
      </c>
      <c r="O601" s="3" t="s">
        <v>1385</v>
      </c>
      <c r="P601" s="20">
        <f t="shared" si="109"/>
        <v>8</v>
      </c>
      <c r="Q601" s="3" t="s">
        <v>1385</v>
      </c>
      <c r="R601" s="23" t="str">
        <f t="shared" si="110"/>
        <v>Saturday</v>
      </c>
      <c r="S601" s="3" t="s">
        <v>1385</v>
      </c>
      <c r="T601" s="23" t="s">
        <v>7</v>
      </c>
      <c r="U601" s="3" t="s">
        <v>1385</v>
      </c>
      <c r="AO601" s="15"/>
      <c r="AP601" s="15"/>
      <c r="AQ601" s="15"/>
      <c r="AR601" s="23"/>
      <c r="AS601" s="15"/>
      <c r="AT601" s="15"/>
      <c r="AU601" s="23"/>
      <c r="AV601" s="23"/>
    </row>
    <row r="602" spans="1:48" x14ac:dyDescent="0.25">
      <c r="A602" t="s">
        <v>68</v>
      </c>
      <c r="B602" t="s">
        <v>69</v>
      </c>
      <c r="C602" s="10">
        <v>-12</v>
      </c>
      <c r="D602" t="s">
        <v>853</v>
      </c>
      <c r="E602" s="2">
        <f t="shared" si="113"/>
        <v>46214</v>
      </c>
      <c r="F602" s="3">
        <f t="shared" si="111"/>
        <v>0.38680555555555557</v>
      </c>
      <c r="G602" t="s">
        <v>71</v>
      </c>
      <c r="H602" t="s">
        <v>72</v>
      </c>
      <c r="I602" t="s">
        <v>73</v>
      </c>
      <c r="J602" s="2">
        <v>46214</v>
      </c>
      <c r="K602" s="1">
        <v>0.3888888888888889</v>
      </c>
      <c r="L602" s="10">
        <f t="shared" si="107"/>
        <v>2.9999999999999893</v>
      </c>
      <c r="M602" s="1" t="str">
        <f t="shared" si="114"/>
        <v>On Time</v>
      </c>
      <c r="N602" s="27" t="str">
        <f t="shared" si="108"/>
        <v>Finnair</v>
      </c>
      <c r="O602" s="3" t="s">
        <v>1385</v>
      </c>
      <c r="P602" s="20">
        <f t="shared" si="109"/>
        <v>9</v>
      </c>
      <c r="Q602" s="3" t="s">
        <v>1385</v>
      </c>
      <c r="R602" s="23" t="str">
        <f t="shared" si="110"/>
        <v>Saturday</v>
      </c>
      <c r="S602" s="3" t="s">
        <v>1385</v>
      </c>
      <c r="T602" s="23" t="s">
        <v>69</v>
      </c>
      <c r="U602" s="3" t="s">
        <v>1385</v>
      </c>
      <c r="AO602" s="15"/>
      <c r="AP602" s="15"/>
      <c r="AQ602" s="15"/>
      <c r="AR602" s="23"/>
      <c r="AS602" s="15"/>
      <c r="AT602" s="15"/>
      <c r="AU602" s="23"/>
      <c r="AV602" s="23"/>
    </row>
    <row r="603" spans="1:48" x14ac:dyDescent="0.25">
      <c r="A603" t="s">
        <v>74</v>
      </c>
      <c r="B603" t="s">
        <v>13</v>
      </c>
      <c r="C603" s="10">
        <v>-4</v>
      </c>
      <c r="D603" t="s">
        <v>854</v>
      </c>
      <c r="E603" s="2">
        <f t="shared" si="113"/>
        <v>46214</v>
      </c>
      <c r="F603" s="3">
        <f t="shared" si="111"/>
        <v>0.3743055555555555</v>
      </c>
      <c r="G603" t="s">
        <v>76</v>
      </c>
      <c r="H603" t="s">
        <v>77</v>
      </c>
      <c r="I603" t="s">
        <v>17</v>
      </c>
      <c r="J603" s="2">
        <v>46214</v>
      </c>
      <c r="K603" s="1">
        <v>0.3888888888888889</v>
      </c>
      <c r="L603" s="10">
        <f t="shared" si="107"/>
        <v>21.000000000000085</v>
      </c>
      <c r="M603" s="1" t="str">
        <f t="shared" si="114"/>
        <v>On Time</v>
      </c>
      <c r="N603" s="27" t="str">
        <f t="shared" si="108"/>
        <v>Wizz Air</v>
      </c>
      <c r="O603" s="3" t="s">
        <v>1385</v>
      </c>
      <c r="P603" s="20">
        <f t="shared" si="109"/>
        <v>8</v>
      </c>
      <c r="Q603" s="3" t="s">
        <v>1385</v>
      </c>
      <c r="R603" s="23" t="str">
        <f t="shared" si="110"/>
        <v>Saturday</v>
      </c>
      <c r="S603" s="3" t="s">
        <v>1385</v>
      </c>
      <c r="T603" s="23" t="s">
        <v>13</v>
      </c>
      <c r="U603" s="3" t="s">
        <v>1385</v>
      </c>
      <c r="AO603" s="15"/>
      <c r="AP603" s="15"/>
      <c r="AQ603" s="15"/>
      <c r="AR603" s="23"/>
      <c r="AS603" s="15"/>
      <c r="AT603" s="15"/>
      <c r="AU603" s="23"/>
      <c r="AV603" s="23"/>
    </row>
    <row r="604" spans="1:48" x14ac:dyDescent="0.25">
      <c r="A604" t="s">
        <v>150</v>
      </c>
      <c r="B604" t="s">
        <v>151</v>
      </c>
      <c r="C604" s="10">
        <v>-12</v>
      </c>
      <c r="D604" t="s">
        <v>574</v>
      </c>
      <c r="E604" s="2">
        <f t="shared" si="113"/>
        <v>46214</v>
      </c>
      <c r="F604" s="3">
        <f t="shared" si="111"/>
        <v>0.39861111111111108</v>
      </c>
      <c r="G604" t="s">
        <v>153</v>
      </c>
      <c r="H604" t="s">
        <v>154</v>
      </c>
      <c r="I604" t="s">
        <v>155</v>
      </c>
      <c r="J604" s="2">
        <v>46214</v>
      </c>
      <c r="K604" s="1">
        <v>0.40277777777777773</v>
      </c>
      <c r="L604" s="10">
        <f t="shared" si="107"/>
        <v>5.9999999999999787</v>
      </c>
      <c r="M604" s="1" t="str">
        <f t="shared" si="114"/>
        <v>On Time</v>
      </c>
      <c r="N604" s="27" t="e">
        <f t="shared" si="108"/>
        <v>#N/A</v>
      </c>
      <c r="O604" s="3" t="s">
        <v>1385</v>
      </c>
      <c r="P604" s="20">
        <f t="shared" si="109"/>
        <v>9</v>
      </c>
      <c r="Q604" s="3" t="s">
        <v>1385</v>
      </c>
      <c r="R604" s="23" t="str">
        <f t="shared" si="110"/>
        <v>Saturday</v>
      </c>
      <c r="S604" s="3" t="s">
        <v>1385</v>
      </c>
      <c r="T604" s="23" t="s">
        <v>151</v>
      </c>
      <c r="U604" s="3" t="s">
        <v>1385</v>
      </c>
      <c r="AO604" s="15"/>
      <c r="AP604" s="15"/>
      <c r="AQ604" s="15"/>
      <c r="AR604" s="23"/>
      <c r="AS604" s="15"/>
      <c r="AT604" s="15"/>
      <c r="AU604" s="23"/>
      <c r="AV604" s="23"/>
    </row>
    <row r="605" spans="1:48" x14ac:dyDescent="0.25">
      <c r="A605" t="s">
        <v>184</v>
      </c>
      <c r="B605" t="s">
        <v>85</v>
      </c>
      <c r="C605" s="10">
        <v>-6</v>
      </c>
      <c r="D605" t="s">
        <v>855</v>
      </c>
      <c r="E605" s="2">
        <f t="shared" si="113"/>
        <v>46214</v>
      </c>
      <c r="F605" s="3">
        <f t="shared" si="111"/>
        <v>0.40416666666666662</v>
      </c>
      <c r="G605" t="s">
        <v>153</v>
      </c>
      <c r="H605" t="s">
        <v>154</v>
      </c>
      <c r="I605" t="s">
        <v>89</v>
      </c>
      <c r="J605" s="2">
        <v>46214</v>
      </c>
      <c r="K605" s="1">
        <v>0.41319444444444442</v>
      </c>
      <c r="L605" s="10">
        <f t="shared" si="107"/>
        <v>13.000000000000034</v>
      </c>
      <c r="M605" s="1" t="str">
        <f t="shared" si="114"/>
        <v>On Time</v>
      </c>
      <c r="N605" s="27" t="str">
        <f t="shared" si="108"/>
        <v>Ryanair</v>
      </c>
      <c r="O605" s="3" t="s">
        <v>1385</v>
      </c>
      <c r="P605" s="20">
        <f t="shared" si="109"/>
        <v>9</v>
      </c>
      <c r="Q605" s="3" t="s">
        <v>1385</v>
      </c>
      <c r="R605" s="23" t="str">
        <f t="shared" si="110"/>
        <v>Saturday</v>
      </c>
      <c r="S605" s="3" t="s">
        <v>1385</v>
      </c>
      <c r="T605" s="23" t="s">
        <v>85</v>
      </c>
      <c r="U605" s="3" t="s">
        <v>1385</v>
      </c>
      <c r="AO605" s="15"/>
      <c r="AP605" s="15"/>
      <c r="AQ605" s="15"/>
      <c r="AR605" s="23"/>
      <c r="AS605" s="15"/>
      <c r="AT605" s="15"/>
      <c r="AU605" s="23"/>
      <c r="AV605" s="23"/>
    </row>
    <row r="606" spans="1:48" x14ac:dyDescent="0.25">
      <c r="A606" t="s">
        <v>90</v>
      </c>
      <c r="B606" t="s">
        <v>19</v>
      </c>
      <c r="C606" s="10">
        <v>-30</v>
      </c>
      <c r="D606" t="s">
        <v>856</v>
      </c>
      <c r="E606" s="2">
        <f t="shared" si="113"/>
        <v>46214</v>
      </c>
      <c r="F606" s="3">
        <f t="shared" si="111"/>
        <v>0.42569444444444443</v>
      </c>
      <c r="G606" t="s">
        <v>21</v>
      </c>
      <c r="H606" t="s">
        <v>22</v>
      </c>
      <c r="I606" t="s">
        <v>143</v>
      </c>
      <c r="J606" s="2">
        <v>46214</v>
      </c>
      <c r="K606" s="1">
        <v>0.4201388888888889</v>
      </c>
      <c r="L606" s="10">
        <f t="shared" si="107"/>
        <v>-7.9999999999999716</v>
      </c>
      <c r="M606" s="1" t="str">
        <f t="shared" si="114"/>
        <v>On Time</v>
      </c>
      <c r="N606" s="27" t="str">
        <f t="shared" si="108"/>
        <v>LOT</v>
      </c>
      <c r="O606" s="3" t="s">
        <v>1385</v>
      </c>
      <c r="P606" s="20">
        <f t="shared" si="109"/>
        <v>10</v>
      </c>
      <c r="Q606" s="3" t="s">
        <v>1385</v>
      </c>
      <c r="R606" s="23" t="str">
        <f t="shared" si="110"/>
        <v>Saturday</v>
      </c>
      <c r="S606" s="3" t="s">
        <v>1385</v>
      </c>
      <c r="T606" s="23" t="s">
        <v>19</v>
      </c>
      <c r="U606" s="3" t="s">
        <v>1385</v>
      </c>
      <c r="AO606" s="15"/>
      <c r="AP606" s="15"/>
      <c r="AQ606" s="15"/>
      <c r="AR606" s="23"/>
      <c r="AS606" s="15"/>
      <c r="AT606" s="15"/>
      <c r="AU606" s="23"/>
      <c r="AV606" s="23"/>
    </row>
    <row r="607" spans="1:48" x14ac:dyDescent="0.25">
      <c r="A607" t="s">
        <v>319</v>
      </c>
      <c r="B607" t="s">
        <v>85</v>
      </c>
      <c r="C607" s="10">
        <v>-15</v>
      </c>
      <c r="D607" t="s">
        <v>857</v>
      </c>
      <c r="E607" s="2">
        <f t="shared" si="113"/>
        <v>46214</v>
      </c>
      <c r="F607" s="3">
        <f t="shared" si="111"/>
        <v>0.4145833333333333</v>
      </c>
      <c r="G607" t="s">
        <v>15</v>
      </c>
      <c r="H607" t="s">
        <v>16</v>
      </c>
      <c r="I607" t="s">
        <v>89</v>
      </c>
      <c r="J607" s="2">
        <v>46214</v>
      </c>
      <c r="K607" s="1">
        <v>0.42708333333333331</v>
      </c>
      <c r="L607" s="10">
        <f t="shared" si="107"/>
        <v>18.000000000000014</v>
      </c>
      <c r="M607" s="1" t="str">
        <f t="shared" si="114"/>
        <v>On Time</v>
      </c>
      <c r="N607" s="27" t="str">
        <f t="shared" si="108"/>
        <v>Ryanair</v>
      </c>
      <c r="O607" s="3" t="s">
        <v>1385</v>
      </c>
      <c r="P607" s="20">
        <f t="shared" si="109"/>
        <v>9</v>
      </c>
      <c r="Q607" s="3" t="s">
        <v>1385</v>
      </c>
      <c r="R607" s="23" t="str">
        <f t="shared" si="110"/>
        <v>Saturday</v>
      </c>
      <c r="S607" s="3" t="s">
        <v>1385</v>
      </c>
      <c r="T607" s="23" t="s">
        <v>85</v>
      </c>
      <c r="U607" s="3" t="s">
        <v>1385</v>
      </c>
      <c r="AO607" s="15"/>
      <c r="AP607" s="15"/>
      <c r="AQ607" s="15"/>
      <c r="AR607" s="23"/>
      <c r="AS607" s="15"/>
      <c r="AT607" s="15"/>
      <c r="AU607" s="23"/>
      <c r="AV607" s="23"/>
    </row>
    <row r="608" spans="1:48" x14ac:dyDescent="0.25">
      <c r="A608" t="s">
        <v>95</v>
      </c>
      <c r="B608" t="s">
        <v>96</v>
      </c>
      <c r="C608" s="10">
        <v>-43</v>
      </c>
      <c r="D608" t="s">
        <v>579</v>
      </c>
      <c r="E608" s="2">
        <f t="shared" si="113"/>
        <v>46214</v>
      </c>
      <c r="F608" s="3">
        <f t="shared" si="111"/>
        <v>0.45416666666666666</v>
      </c>
      <c r="G608" t="s">
        <v>98</v>
      </c>
      <c r="H608" t="s">
        <v>99</v>
      </c>
      <c r="I608" t="s">
        <v>188</v>
      </c>
      <c r="J608" s="2">
        <v>46214</v>
      </c>
      <c r="K608" s="1">
        <v>0.44791666666666669</v>
      </c>
      <c r="L608" s="10">
        <f t="shared" si="107"/>
        <v>-8.999999999999968</v>
      </c>
      <c r="M608" s="1" t="str">
        <f t="shared" si="114"/>
        <v>On Time</v>
      </c>
      <c r="N608" s="27" t="str">
        <f t="shared" si="108"/>
        <v>Turkish Airlines</v>
      </c>
      <c r="O608" s="3" t="s">
        <v>1385</v>
      </c>
      <c r="P608" s="20">
        <f t="shared" si="109"/>
        <v>10</v>
      </c>
      <c r="Q608" s="3" t="s">
        <v>1385</v>
      </c>
      <c r="R608" s="23" t="str">
        <f t="shared" si="110"/>
        <v>Saturday</v>
      </c>
      <c r="S608" s="3" t="s">
        <v>1385</v>
      </c>
      <c r="T608" s="23" t="s">
        <v>96</v>
      </c>
      <c r="U608" s="3" t="s">
        <v>1385</v>
      </c>
      <c r="AO608" s="15"/>
      <c r="AP608" s="15"/>
      <c r="AQ608" s="15"/>
      <c r="AR608" s="23"/>
      <c r="AS608" s="15"/>
      <c r="AT608" s="15"/>
      <c r="AU608" s="23"/>
      <c r="AV608" s="23"/>
    </row>
    <row r="609" spans="1:48" x14ac:dyDescent="0.25">
      <c r="A609" t="s">
        <v>418</v>
      </c>
      <c r="B609" t="s">
        <v>85</v>
      </c>
      <c r="C609" s="10">
        <v>-3</v>
      </c>
      <c r="D609" t="s">
        <v>858</v>
      </c>
      <c r="E609" s="2">
        <f t="shared" si="113"/>
        <v>46214</v>
      </c>
      <c r="F609" s="3">
        <f t="shared" si="111"/>
        <v>0.44722222222222219</v>
      </c>
      <c r="G609" t="s">
        <v>419</v>
      </c>
      <c r="H609" t="s">
        <v>420</v>
      </c>
      <c r="I609" t="s">
        <v>89</v>
      </c>
      <c r="J609" s="2">
        <v>46214</v>
      </c>
      <c r="K609" s="1">
        <v>0.45833333333333331</v>
      </c>
      <c r="L609" s="10">
        <f t="shared" si="107"/>
        <v>16.000000000000021</v>
      </c>
      <c r="M609" s="1" t="str">
        <f t="shared" si="114"/>
        <v>On Time</v>
      </c>
      <c r="N609" s="27" t="str">
        <f t="shared" si="108"/>
        <v>Ryanair</v>
      </c>
      <c r="O609" s="3" t="s">
        <v>1385</v>
      </c>
      <c r="P609" s="20">
        <f t="shared" si="109"/>
        <v>10</v>
      </c>
      <c r="Q609" s="3" t="s">
        <v>1385</v>
      </c>
      <c r="R609" s="23" t="str">
        <f t="shared" si="110"/>
        <v>Saturday</v>
      </c>
      <c r="S609" s="3" t="s">
        <v>1385</v>
      </c>
      <c r="T609" s="23" t="s">
        <v>85</v>
      </c>
      <c r="U609" s="3" t="s">
        <v>1385</v>
      </c>
      <c r="AO609" s="15"/>
      <c r="AP609" s="15"/>
      <c r="AQ609" s="15"/>
      <c r="AR609" s="23"/>
      <c r="AS609" s="15"/>
      <c r="AT609" s="15"/>
      <c r="AU609" s="23"/>
      <c r="AV609" s="23"/>
    </row>
    <row r="610" spans="1:48" x14ac:dyDescent="0.25">
      <c r="A610" t="s">
        <v>178</v>
      </c>
      <c r="B610" t="s">
        <v>85</v>
      </c>
      <c r="C610" s="10">
        <v>0</v>
      </c>
      <c r="D610" t="s">
        <v>91</v>
      </c>
      <c r="E610" s="2">
        <f t="shared" si="113"/>
        <v>46214</v>
      </c>
      <c r="F610" s="3">
        <f t="shared" si="111"/>
        <v>0.44444444444444442</v>
      </c>
      <c r="G610" t="s">
        <v>180</v>
      </c>
      <c r="H610" t="s">
        <v>181</v>
      </c>
      <c r="I610" t="s">
        <v>89</v>
      </c>
      <c r="J610" s="2">
        <v>46214</v>
      </c>
      <c r="K610" s="1">
        <v>0.46180555555555558</v>
      </c>
      <c r="L610" s="10">
        <f t="shared" si="107"/>
        <v>25.000000000000071</v>
      </c>
      <c r="M610" s="1" t="str">
        <f t="shared" si="114"/>
        <v>On Time</v>
      </c>
      <c r="N610" s="27" t="str">
        <f t="shared" si="108"/>
        <v>Ryanair</v>
      </c>
      <c r="O610" s="3" t="s">
        <v>1385</v>
      </c>
      <c r="P610" s="20">
        <f t="shared" si="109"/>
        <v>10</v>
      </c>
      <c r="Q610" s="3" t="s">
        <v>1385</v>
      </c>
      <c r="R610" s="23" t="str">
        <f t="shared" si="110"/>
        <v>Saturday</v>
      </c>
      <c r="S610" s="3" t="s">
        <v>1385</v>
      </c>
      <c r="T610" s="23" t="s">
        <v>85</v>
      </c>
      <c r="U610" s="3" t="s">
        <v>1385</v>
      </c>
      <c r="AO610" s="15"/>
      <c r="AP610" s="15"/>
      <c r="AQ610" s="15"/>
      <c r="AR610" s="23"/>
      <c r="AS610" s="15"/>
      <c r="AT610" s="15"/>
      <c r="AU610" s="23"/>
      <c r="AV610" s="23"/>
    </row>
    <row r="611" spans="1:48" x14ac:dyDescent="0.25">
      <c r="A611" t="s">
        <v>422</v>
      </c>
      <c r="B611" t="s">
        <v>13</v>
      </c>
      <c r="C611" s="10">
        <v>-12</v>
      </c>
      <c r="D611" t="s">
        <v>859</v>
      </c>
      <c r="E611" s="2">
        <f t="shared" si="113"/>
        <v>46214</v>
      </c>
      <c r="F611" s="3">
        <f t="shared" si="111"/>
        <v>0.47152777777777777</v>
      </c>
      <c r="G611" t="s">
        <v>424</v>
      </c>
      <c r="H611" t="s">
        <v>425</v>
      </c>
      <c r="I611" t="s">
        <v>17</v>
      </c>
      <c r="J611" s="2">
        <v>46214</v>
      </c>
      <c r="K611" s="1">
        <v>0.4826388888888889</v>
      </c>
      <c r="L611" s="10">
        <f t="shared" si="107"/>
        <v>16.000000000000021</v>
      </c>
      <c r="M611" s="1" t="str">
        <f t="shared" si="114"/>
        <v>On Time</v>
      </c>
      <c r="N611" s="27" t="str">
        <f t="shared" si="108"/>
        <v>Wizz Air</v>
      </c>
      <c r="O611" s="3" t="s">
        <v>1385</v>
      </c>
      <c r="P611" s="20">
        <f t="shared" si="109"/>
        <v>11</v>
      </c>
      <c r="Q611" s="3" t="s">
        <v>1385</v>
      </c>
      <c r="R611" s="23" t="str">
        <f t="shared" si="110"/>
        <v>Saturday</v>
      </c>
      <c r="S611" s="3" t="s">
        <v>1385</v>
      </c>
      <c r="T611" s="23" t="s">
        <v>13</v>
      </c>
      <c r="U611" s="3" t="s">
        <v>1385</v>
      </c>
      <c r="AO611" s="15"/>
      <c r="AP611" s="15"/>
      <c r="AQ611" s="15"/>
      <c r="AR611" s="23"/>
      <c r="AS611" s="15"/>
      <c r="AT611" s="15"/>
      <c r="AU611" s="23"/>
      <c r="AV611" s="23"/>
    </row>
    <row r="612" spans="1:48" x14ac:dyDescent="0.25">
      <c r="A612" t="s">
        <v>383</v>
      </c>
      <c r="B612" t="s">
        <v>7</v>
      </c>
      <c r="C612" s="10">
        <v>-18</v>
      </c>
      <c r="D612" t="s">
        <v>705</v>
      </c>
      <c r="E612" s="2">
        <f t="shared" si="113"/>
        <v>46214</v>
      </c>
      <c r="F612" s="3">
        <f t="shared" si="111"/>
        <v>0.49861111111111112</v>
      </c>
      <c r="G612" t="s">
        <v>26</v>
      </c>
      <c r="H612" t="s">
        <v>27</v>
      </c>
      <c r="I612" t="s">
        <v>11</v>
      </c>
      <c r="J612" s="2">
        <v>46214</v>
      </c>
      <c r="K612" s="1">
        <v>0.5</v>
      </c>
      <c r="L612" s="10">
        <f t="shared" si="107"/>
        <v>1.9999999999999929</v>
      </c>
      <c r="M612" s="1" t="str">
        <f t="shared" si="114"/>
        <v>On Time</v>
      </c>
      <c r="N612" s="27" t="str">
        <f t="shared" si="108"/>
        <v>airBaltic</v>
      </c>
      <c r="O612" s="3" t="s">
        <v>1385</v>
      </c>
      <c r="P612" s="20">
        <f t="shared" si="109"/>
        <v>11</v>
      </c>
      <c r="Q612" s="3" t="s">
        <v>1385</v>
      </c>
      <c r="R612" s="23" t="str">
        <f t="shared" si="110"/>
        <v>Saturday</v>
      </c>
      <c r="S612" s="3" t="s">
        <v>1385</v>
      </c>
      <c r="T612" s="23" t="s">
        <v>7</v>
      </c>
      <c r="U612" s="3" t="s">
        <v>1385</v>
      </c>
      <c r="AO612" s="15"/>
      <c r="AP612" s="15"/>
      <c r="AQ612" s="15"/>
      <c r="AR612" s="23"/>
      <c r="AS612" s="15"/>
      <c r="AT612" s="15"/>
      <c r="AU612" s="23"/>
      <c r="AV612" s="23"/>
    </row>
    <row r="613" spans="1:48" x14ac:dyDescent="0.25">
      <c r="A613" t="s">
        <v>108</v>
      </c>
      <c r="B613" t="s">
        <v>190</v>
      </c>
      <c r="C613" s="10">
        <v>-16</v>
      </c>
      <c r="D613" t="s">
        <v>860</v>
      </c>
      <c r="E613" s="2">
        <f t="shared" si="113"/>
        <v>46214</v>
      </c>
      <c r="F613" s="3">
        <f t="shared" si="111"/>
        <v>0.52430555555555558</v>
      </c>
      <c r="G613" t="s">
        <v>110</v>
      </c>
      <c r="H613" t="s">
        <v>111</v>
      </c>
      <c r="I613" t="s">
        <v>260</v>
      </c>
      <c r="J613" s="2">
        <v>46214</v>
      </c>
      <c r="K613" s="1">
        <v>0.52777777777777779</v>
      </c>
      <c r="L613" s="10">
        <f t="shared" si="107"/>
        <v>4.9999999999999822</v>
      </c>
      <c r="M613" s="1" t="str">
        <f t="shared" si="114"/>
        <v>On Time</v>
      </c>
      <c r="N613" s="27" t="str">
        <f t="shared" si="108"/>
        <v>Lufthansa</v>
      </c>
      <c r="O613" s="3" t="s">
        <v>1385</v>
      </c>
      <c r="P613" s="20">
        <f t="shared" si="109"/>
        <v>12</v>
      </c>
      <c r="Q613" s="3" t="s">
        <v>1385</v>
      </c>
      <c r="R613" s="23" t="str">
        <f t="shared" si="110"/>
        <v>Saturday</v>
      </c>
      <c r="S613" s="3" t="s">
        <v>1385</v>
      </c>
      <c r="T613" s="23" t="s">
        <v>190</v>
      </c>
      <c r="U613" s="3" t="s">
        <v>1385</v>
      </c>
      <c r="AO613" s="15"/>
      <c r="AP613" s="15"/>
      <c r="AQ613" s="15"/>
      <c r="AR613" s="23"/>
      <c r="AS613" s="15"/>
      <c r="AT613" s="15"/>
      <c r="AU613" s="23"/>
      <c r="AV613" s="23"/>
    </row>
    <row r="614" spans="1:48" x14ac:dyDescent="0.25">
      <c r="A614" t="s">
        <v>123</v>
      </c>
      <c r="B614" t="s">
        <v>124</v>
      </c>
      <c r="D614" t="s">
        <v>587</v>
      </c>
      <c r="E614" s="2">
        <f t="shared" si="113"/>
        <v>46214</v>
      </c>
      <c r="F614" s="3">
        <f t="shared" si="111"/>
        <v>0.51944444444444449</v>
      </c>
      <c r="G614" t="s">
        <v>431</v>
      </c>
      <c r="H614" t="s">
        <v>432</v>
      </c>
      <c r="I614" t="s">
        <v>249</v>
      </c>
      <c r="J614" s="2">
        <v>46214</v>
      </c>
      <c r="K614" s="1">
        <v>0.52986111111111112</v>
      </c>
      <c r="L614" s="10">
        <f t="shared" si="107"/>
        <v>14.999999999999947</v>
      </c>
      <c r="M614" s="1" t="str">
        <f t="shared" si="114"/>
        <v>On Time</v>
      </c>
      <c r="N614" s="27" t="str">
        <f t="shared" si="108"/>
        <v>GetJet Airlines</v>
      </c>
      <c r="O614" s="3" t="s">
        <v>1385</v>
      </c>
      <c r="P614" s="20">
        <f t="shared" si="109"/>
        <v>12</v>
      </c>
      <c r="Q614" s="3" t="s">
        <v>1385</v>
      </c>
      <c r="R614" s="23" t="str">
        <f t="shared" si="110"/>
        <v>Saturday</v>
      </c>
      <c r="S614" s="3" t="s">
        <v>1385</v>
      </c>
      <c r="T614" s="23" t="s">
        <v>124</v>
      </c>
      <c r="U614" s="3" t="s">
        <v>1385</v>
      </c>
      <c r="AO614" s="15"/>
      <c r="AP614" s="15"/>
      <c r="AQ614" s="15"/>
      <c r="AR614" s="23"/>
      <c r="AS614" s="15"/>
      <c r="AT614" s="15"/>
      <c r="AU614" s="23"/>
      <c r="AV614" s="23"/>
    </row>
    <row r="615" spans="1:48" x14ac:dyDescent="0.25">
      <c r="A615" t="s">
        <v>121</v>
      </c>
      <c r="B615" t="s">
        <v>69</v>
      </c>
      <c r="C615" s="10">
        <v>0</v>
      </c>
      <c r="D615" t="s">
        <v>318</v>
      </c>
      <c r="E615" s="2">
        <f t="shared" si="113"/>
        <v>46214</v>
      </c>
      <c r="F615" s="3">
        <f t="shared" si="111"/>
        <v>0.5395833333333333</v>
      </c>
      <c r="G615" t="s">
        <v>71</v>
      </c>
      <c r="H615" t="s">
        <v>72</v>
      </c>
      <c r="I615" t="s">
        <v>73</v>
      </c>
      <c r="J615" s="2">
        <v>46214</v>
      </c>
      <c r="K615" s="1">
        <v>0.54166666666666663</v>
      </c>
      <c r="L615" s="10">
        <f t="shared" si="107"/>
        <v>2.9999999999999893</v>
      </c>
      <c r="M615" s="1" t="str">
        <f t="shared" si="114"/>
        <v>On Time</v>
      </c>
      <c r="N615" s="27" t="str">
        <f t="shared" si="108"/>
        <v>Finnair</v>
      </c>
      <c r="O615" s="3" t="s">
        <v>1385</v>
      </c>
      <c r="P615" s="20">
        <f t="shared" si="109"/>
        <v>12</v>
      </c>
      <c r="Q615" s="3" t="s">
        <v>1385</v>
      </c>
      <c r="R615" s="23" t="str">
        <f t="shared" si="110"/>
        <v>Saturday</v>
      </c>
      <c r="S615" s="3" t="s">
        <v>1385</v>
      </c>
      <c r="T615" s="23" t="s">
        <v>69</v>
      </c>
      <c r="U615" s="3" t="s">
        <v>1385</v>
      </c>
      <c r="AO615" s="15"/>
      <c r="AP615" s="15"/>
      <c r="AQ615" s="15"/>
      <c r="AR615" s="23"/>
      <c r="AS615" s="15"/>
      <c r="AT615" s="15"/>
      <c r="AU615" s="23"/>
      <c r="AV615" s="23"/>
    </row>
    <row r="616" spans="1:48" x14ac:dyDescent="0.25">
      <c r="A616" t="s">
        <v>427</v>
      </c>
      <c r="B616" t="s">
        <v>117</v>
      </c>
      <c r="C616" s="10">
        <v>-55</v>
      </c>
      <c r="D616" t="s">
        <v>861</v>
      </c>
      <c r="E616" s="2">
        <f t="shared" si="113"/>
        <v>46214</v>
      </c>
      <c r="F616" s="3">
        <f t="shared" si="111"/>
        <v>0.56736111111111109</v>
      </c>
      <c r="G616" t="s">
        <v>119</v>
      </c>
      <c r="H616" t="s">
        <v>120</v>
      </c>
      <c r="I616" t="s">
        <v>83</v>
      </c>
      <c r="J616" s="2">
        <v>46214</v>
      </c>
      <c r="K616" s="1">
        <v>0.54305555555555551</v>
      </c>
      <c r="L616" s="10">
        <f t="shared" si="107"/>
        <v>-35.000000000000036</v>
      </c>
      <c r="M616" s="1" t="str">
        <f t="shared" si="114"/>
        <v>Delayed</v>
      </c>
      <c r="N616" s="27" t="str">
        <f t="shared" si="108"/>
        <v>Heston Airlines</v>
      </c>
      <c r="O616" s="3" t="s">
        <v>1318</v>
      </c>
      <c r="P616" s="20">
        <f t="shared" si="109"/>
        <v>13</v>
      </c>
      <c r="Q616" s="3" t="s">
        <v>1318</v>
      </c>
      <c r="R616" s="23" t="str">
        <f t="shared" si="110"/>
        <v>Saturday</v>
      </c>
      <c r="S616" s="3" t="s">
        <v>1318</v>
      </c>
      <c r="T616" s="23" t="s">
        <v>117</v>
      </c>
      <c r="U616" s="3" t="s">
        <v>1318</v>
      </c>
      <c r="AO616" s="15"/>
      <c r="AP616" s="15"/>
      <c r="AQ616" s="15"/>
      <c r="AR616" s="23"/>
      <c r="AS616" s="15"/>
      <c r="AT616" s="15"/>
      <c r="AU616" s="23"/>
      <c r="AV616" s="23"/>
    </row>
    <row r="617" spans="1:48" x14ac:dyDescent="0.25">
      <c r="A617" t="s">
        <v>123</v>
      </c>
      <c r="B617" t="s">
        <v>124</v>
      </c>
      <c r="D617" t="s">
        <v>589</v>
      </c>
      <c r="E617" s="2">
        <f t="shared" si="113"/>
        <v>46214</v>
      </c>
      <c r="F617" s="3">
        <f t="shared" si="111"/>
        <v>0.55138888888888882</v>
      </c>
      <c r="G617" t="s">
        <v>119</v>
      </c>
      <c r="H617" t="s">
        <v>120</v>
      </c>
      <c r="I617" t="s">
        <v>126</v>
      </c>
      <c r="J617" s="2">
        <v>46214</v>
      </c>
      <c r="K617" s="1">
        <v>0.55208333333333337</v>
      </c>
      <c r="L617" s="10">
        <f t="shared" si="107"/>
        <v>1.0000000000001563</v>
      </c>
      <c r="M617" s="1" t="str">
        <f t="shared" si="114"/>
        <v>On Time</v>
      </c>
      <c r="N617" s="27" t="str">
        <f t="shared" si="108"/>
        <v>GetJet Airlines</v>
      </c>
      <c r="O617" s="3" t="s">
        <v>1385</v>
      </c>
      <c r="P617" s="20">
        <f t="shared" si="109"/>
        <v>13</v>
      </c>
      <c r="Q617" s="3" t="s">
        <v>1385</v>
      </c>
      <c r="R617" s="23" t="str">
        <f t="shared" si="110"/>
        <v>Saturday</v>
      </c>
      <c r="S617" s="3" t="s">
        <v>1385</v>
      </c>
      <c r="T617" s="23" t="s">
        <v>124</v>
      </c>
      <c r="U617" s="3" t="s">
        <v>1385</v>
      </c>
      <c r="AO617" s="15"/>
      <c r="AP617" s="15"/>
      <c r="AQ617" s="15"/>
      <c r="AR617" s="23"/>
      <c r="AS617" s="15"/>
      <c r="AT617" s="15"/>
      <c r="AU617" s="23"/>
      <c r="AV617" s="23"/>
    </row>
    <row r="618" spans="1:48" x14ac:dyDescent="0.25">
      <c r="A618" t="s">
        <v>133</v>
      </c>
      <c r="B618" t="s">
        <v>7</v>
      </c>
      <c r="C618" s="10">
        <v>-33</v>
      </c>
      <c r="D618" t="s">
        <v>862</v>
      </c>
      <c r="E618" s="2">
        <f t="shared" si="113"/>
        <v>46214</v>
      </c>
      <c r="F618" s="3">
        <f t="shared" si="111"/>
        <v>0.5708333333333333</v>
      </c>
      <c r="G618" t="s">
        <v>135</v>
      </c>
      <c r="H618" t="s">
        <v>136</v>
      </c>
      <c r="I618" t="s">
        <v>11</v>
      </c>
      <c r="J618" s="2">
        <v>46214</v>
      </c>
      <c r="K618" s="1">
        <v>0.55902777777777779</v>
      </c>
      <c r="L618" s="10">
        <f t="shared" si="107"/>
        <v>-16.99999999999994</v>
      </c>
      <c r="M618" s="1" t="str">
        <f t="shared" si="114"/>
        <v>Delayed</v>
      </c>
      <c r="N618" s="27" t="str">
        <f t="shared" si="108"/>
        <v>airBaltic</v>
      </c>
      <c r="O618" s="3" t="s">
        <v>1318</v>
      </c>
      <c r="P618" s="20">
        <f t="shared" si="109"/>
        <v>13</v>
      </c>
      <c r="Q618" s="3" t="s">
        <v>1318</v>
      </c>
      <c r="R618" s="23" t="str">
        <f t="shared" si="110"/>
        <v>Saturday</v>
      </c>
      <c r="S618" s="3" t="s">
        <v>1318</v>
      </c>
      <c r="T618" s="23" t="s">
        <v>7</v>
      </c>
      <c r="U618" s="3" t="s">
        <v>1318</v>
      </c>
      <c r="AO618" s="15"/>
      <c r="AP618" s="15"/>
      <c r="AQ618" s="15"/>
      <c r="AR618" s="23"/>
      <c r="AS618" s="15"/>
      <c r="AT618" s="15"/>
      <c r="AU618" s="23"/>
      <c r="AV618" s="23"/>
    </row>
    <row r="619" spans="1:48" x14ac:dyDescent="0.25">
      <c r="A619" t="s">
        <v>213</v>
      </c>
      <c r="B619" t="s">
        <v>85</v>
      </c>
      <c r="C619" s="10">
        <v>-22</v>
      </c>
      <c r="D619" t="s">
        <v>863</v>
      </c>
      <c r="E619" s="2">
        <f t="shared" si="113"/>
        <v>46214</v>
      </c>
      <c r="F619" s="3">
        <f t="shared" si="111"/>
        <v>0.56041666666666667</v>
      </c>
      <c r="G619" t="s">
        <v>102</v>
      </c>
      <c r="H619" t="s">
        <v>115</v>
      </c>
      <c r="I619" t="s">
        <v>162</v>
      </c>
      <c r="J619" s="2">
        <v>46214</v>
      </c>
      <c r="K619" s="1">
        <v>0.55902777777777779</v>
      </c>
      <c r="L619" s="10">
        <f t="shared" si="107"/>
        <v>-1.9999999999999929</v>
      </c>
      <c r="M619" s="1" t="str">
        <f t="shared" si="114"/>
        <v>On Time</v>
      </c>
      <c r="N619" s="27" t="str">
        <f t="shared" si="108"/>
        <v>Ryanair</v>
      </c>
      <c r="O619" s="3" t="s">
        <v>1385</v>
      </c>
      <c r="P619" s="20">
        <f t="shared" si="109"/>
        <v>13</v>
      </c>
      <c r="Q619" s="3" t="s">
        <v>1385</v>
      </c>
      <c r="R619" s="23" t="str">
        <f t="shared" si="110"/>
        <v>Saturday</v>
      </c>
      <c r="S619" s="3" t="s">
        <v>1385</v>
      </c>
      <c r="T619" s="23" t="s">
        <v>85</v>
      </c>
      <c r="U619" s="3" t="s">
        <v>1385</v>
      </c>
      <c r="AO619" s="15"/>
      <c r="AP619" s="15"/>
      <c r="AQ619" s="15"/>
      <c r="AR619" s="23"/>
      <c r="AS619" s="15"/>
      <c r="AT619" s="15"/>
      <c r="AU619" s="23"/>
      <c r="AV619" s="23"/>
    </row>
    <row r="620" spans="1:48" x14ac:dyDescent="0.25">
      <c r="A620" t="s">
        <v>254</v>
      </c>
      <c r="B620" t="s">
        <v>85</v>
      </c>
      <c r="C620" s="10">
        <v>-21</v>
      </c>
      <c r="D620" t="s">
        <v>770</v>
      </c>
      <c r="E620" s="2">
        <f t="shared" si="113"/>
        <v>46214</v>
      </c>
      <c r="F620" s="3">
        <f t="shared" si="111"/>
        <v>0.56458333333333333</v>
      </c>
      <c r="G620" t="s">
        <v>256</v>
      </c>
      <c r="H620" t="s">
        <v>257</v>
      </c>
      <c r="I620" t="s">
        <v>162</v>
      </c>
      <c r="J620" s="2">
        <v>46214</v>
      </c>
      <c r="K620" s="1">
        <v>0.56944444444444442</v>
      </c>
      <c r="L620" s="10">
        <f t="shared" si="107"/>
        <v>6.9999999999999751</v>
      </c>
      <c r="M620" s="1" t="str">
        <f t="shared" si="114"/>
        <v>On Time</v>
      </c>
      <c r="N620" s="27" t="str">
        <f t="shared" si="108"/>
        <v>Ryanair</v>
      </c>
      <c r="O620" s="3" t="s">
        <v>1385</v>
      </c>
      <c r="P620" s="20">
        <f t="shared" si="109"/>
        <v>13</v>
      </c>
      <c r="Q620" s="3" t="s">
        <v>1385</v>
      </c>
      <c r="R620" s="23" t="str">
        <f t="shared" si="110"/>
        <v>Saturday</v>
      </c>
      <c r="S620" s="3" t="s">
        <v>1385</v>
      </c>
      <c r="T620" s="23" t="s">
        <v>85</v>
      </c>
      <c r="U620" s="3" t="s">
        <v>1385</v>
      </c>
      <c r="AO620" s="15"/>
      <c r="AP620" s="15"/>
      <c r="AQ620" s="15"/>
      <c r="AR620" s="23"/>
      <c r="AS620" s="15"/>
      <c r="AT620" s="15"/>
      <c r="AU620" s="23"/>
      <c r="AV620" s="23"/>
    </row>
    <row r="621" spans="1:48" x14ac:dyDescent="0.25">
      <c r="A621" t="s">
        <v>436</v>
      </c>
      <c r="B621" t="s">
        <v>239</v>
      </c>
      <c r="C621" s="10">
        <v>-29</v>
      </c>
      <c r="D621" t="s">
        <v>864</v>
      </c>
      <c r="E621" s="2">
        <f t="shared" si="113"/>
        <v>46214</v>
      </c>
      <c r="F621" s="3">
        <f t="shared" si="111"/>
        <v>0.5625</v>
      </c>
      <c r="G621" t="s">
        <v>119</v>
      </c>
      <c r="H621" t="s">
        <v>120</v>
      </c>
      <c r="I621" t="s">
        <v>83</v>
      </c>
      <c r="J621" s="2">
        <v>46214</v>
      </c>
      <c r="K621" s="1">
        <v>0.56944444444444442</v>
      </c>
      <c r="L621" s="10">
        <f t="shared" si="107"/>
        <v>9.9999999999999645</v>
      </c>
      <c r="M621" s="1" t="str">
        <f t="shared" si="114"/>
        <v>On Time</v>
      </c>
      <c r="N621" s="27" t="str">
        <f t="shared" si="108"/>
        <v>Eurowings</v>
      </c>
      <c r="O621" s="3" t="s">
        <v>1385</v>
      </c>
      <c r="P621" s="20">
        <f t="shared" si="109"/>
        <v>13</v>
      </c>
      <c r="Q621" s="3" t="s">
        <v>1385</v>
      </c>
      <c r="R621" s="23" t="str">
        <f t="shared" si="110"/>
        <v>Saturday</v>
      </c>
      <c r="S621" s="3" t="s">
        <v>1385</v>
      </c>
      <c r="T621" s="23" t="s">
        <v>239</v>
      </c>
      <c r="U621" s="3" t="s">
        <v>1385</v>
      </c>
      <c r="AO621" s="15"/>
      <c r="AP621" s="15"/>
      <c r="AQ621" s="15"/>
      <c r="AR621" s="23"/>
      <c r="AS621" s="15"/>
      <c r="AT621" s="15"/>
      <c r="AU621" s="23"/>
      <c r="AV621" s="23"/>
    </row>
    <row r="622" spans="1:48" x14ac:dyDescent="0.25">
      <c r="A622" t="s">
        <v>141</v>
      </c>
      <c r="B622" t="s">
        <v>19</v>
      </c>
      <c r="C622" s="10">
        <v>-26</v>
      </c>
      <c r="D622" t="s">
        <v>326</v>
      </c>
      <c r="E622" s="2">
        <f t="shared" si="113"/>
        <v>46214</v>
      </c>
      <c r="F622" s="3">
        <f t="shared" si="111"/>
        <v>0.57986111111111105</v>
      </c>
      <c r="G622" t="s">
        <v>21</v>
      </c>
      <c r="H622" t="s">
        <v>22</v>
      </c>
      <c r="I622" t="s">
        <v>143</v>
      </c>
      <c r="J622" s="2">
        <v>46214</v>
      </c>
      <c r="K622" s="1">
        <v>0.57638888888888895</v>
      </c>
      <c r="L622" s="10">
        <f t="shared" si="107"/>
        <v>-4.9999999999998224</v>
      </c>
      <c r="M622" s="1" t="str">
        <f t="shared" si="114"/>
        <v>On Time</v>
      </c>
      <c r="N622" s="27" t="str">
        <f t="shared" si="108"/>
        <v>LOT</v>
      </c>
      <c r="O622" s="3" t="s">
        <v>1385</v>
      </c>
      <c r="P622" s="20">
        <f t="shared" si="109"/>
        <v>13</v>
      </c>
      <c r="Q622" s="3" t="s">
        <v>1385</v>
      </c>
      <c r="R622" s="23" t="str">
        <f t="shared" si="110"/>
        <v>Saturday</v>
      </c>
      <c r="S622" s="3" t="s">
        <v>1385</v>
      </c>
      <c r="T622" s="23" t="s">
        <v>19</v>
      </c>
      <c r="U622" s="3" t="s">
        <v>1385</v>
      </c>
      <c r="AO622" s="15"/>
      <c r="AP622" s="15"/>
      <c r="AQ622" s="15"/>
      <c r="AR622" s="23"/>
      <c r="AS622" s="15"/>
      <c r="AT622" s="15"/>
      <c r="AU622" s="23"/>
      <c r="AV622" s="23"/>
    </row>
    <row r="623" spans="1:48" x14ac:dyDescent="0.25">
      <c r="A623" t="s">
        <v>144</v>
      </c>
      <c r="B623" t="s">
        <v>13</v>
      </c>
      <c r="C623" s="10">
        <v>-9</v>
      </c>
      <c r="D623" t="s">
        <v>865</v>
      </c>
      <c r="E623" s="2">
        <f t="shared" si="113"/>
        <v>46214</v>
      </c>
      <c r="F623" s="3">
        <f t="shared" si="111"/>
        <v>0.58750000000000002</v>
      </c>
      <c r="G623" t="s">
        <v>146</v>
      </c>
      <c r="H623" t="s">
        <v>147</v>
      </c>
      <c r="I623" t="s">
        <v>17</v>
      </c>
      <c r="J623" s="2">
        <v>46214</v>
      </c>
      <c r="K623" s="1">
        <v>0.59027777777777779</v>
      </c>
      <c r="L623" s="10">
        <f t="shared" si="107"/>
        <v>3.9999999999999858</v>
      </c>
      <c r="M623" s="1" t="str">
        <f t="shared" si="114"/>
        <v>On Time</v>
      </c>
      <c r="N623" s="27" t="str">
        <f t="shared" si="108"/>
        <v>Wizz Air</v>
      </c>
      <c r="O623" s="3" t="s">
        <v>1385</v>
      </c>
      <c r="P623" s="20">
        <f t="shared" si="109"/>
        <v>14</v>
      </c>
      <c r="Q623" s="3" t="s">
        <v>1385</v>
      </c>
      <c r="R623" s="23" t="str">
        <f t="shared" si="110"/>
        <v>Saturday</v>
      </c>
      <c r="S623" s="3" t="s">
        <v>1385</v>
      </c>
      <c r="T623" s="23" t="s">
        <v>13</v>
      </c>
      <c r="U623" s="3" t="s">
        <v>1385</v>
      </c>
      <c r="AO623" s="15"/>
      <c r="AP623" s="15"/>
      <c r="AQ623" s="15"/>
      <c r="AR623" s="23"/>
      <c r="AS623" s="15"/>
      <c r="AT623" s="15"/>
      <c r="AU623" s="23"/>
      <c r="AV623" s="23"/>
    </row>
    <row r="624" spans="1:48" x14ac:dyDescent="0.25">
      <c r="A624" t="s">
        <v>393</v>
      </c>
      <c r="B624" t="s">
        <v>85</v>
      </c>
      <c r="C624" s="10">
        <v>0</v>
      </c>
      <c r="D624" t="s">
        <v>712</v>
      </c>
      <c r="E624" s="2">
        <f t="shared" si="113"/>
        <v>46214</v>
      </c>
      <c r="F624" s="3">
        <f t="shared" si="111"/>
        <v>0.59166666666666667</v>
      </c>
      <c r="G624" t="s">
        <v>153</v>
      </c>
      <c r="H624" t="s">
        <v>154</v>
      </c>
      <c r="I624" t="s">
        <v>89</v>
      </c>
      <c r="J624" s="2">
        <v>46214</v>
      </c>
      <c r="K624" s="1">
        <v>0.60416666666666663</v>
      </c>
      <c r="L624" s="10">
        <f t="shared" si="107"/>
        <v>17.999999999999936</v>
      </c>
      <c r="M624" s="1" t="str">
        <f t="shared" si="114"/>
        <v>On Time</v>
      </c>
      <c r="N624" s="27" t="str">
        <f t="shared" si="108"/>
        <v>Ryanair</v>
      </c>
      <c r="O624" s="3" t="s">
        <v>1385</v>
      </c>
      <c r="P624" s="20">
        <f t="shared" si="109"/>
        <v>14</v>
      </c>
      <c r="Q624" s="3" t="s">
        <v>1385</v>
      </c>
      <c r="R624" s="23" t="str">
        <f t="shared" si="110"/>
        <v>Saturday</v>
      </c>
      <c r="S624" s="3" t="s">
        <v>1385</v>
      </c>
      <c r="T624" s="23" t="s">
        <v>85</v>
      </c>
      <c r="U624" s="3" t="s">
        <v>1385</v>
      </c>
      <c r="AO624" s="15"/>
      <c r="AP624" s="15"/>
      <c r="AQ624" s="15"/>
      <c r="AR624" s="23"/>
      <c r="AS624" s="15"/>
      <c r="AT624" s="15"/>
      <c r="AU624" s="23"/>
      <c r="AV624" s="23"/>
    </row>
    <row r="625" spans="1:48" x14ac:dyDescent="0.25">
      <c r="A625" t="s">
        <v>148</v>
      </c>
      <c r="B625" t="s">
        <v>7</v>
      </c>
      <c r="C625" s="10">
        <v>-38</v>
      </c>
      <c r="D625" t="s">
        <v>866</v>
      </c>
      <c r="E625" s="2">
        <f t="shared" si="113"/>
        <v>46214</v>
      </c>
      <c r="F625" s="3">
        <f t="shared" si="111"/>
        <v>0.62361111111111112</v>
      </c>
      <c r="G625" t="s">
        <v>9</v>
      </c>
      <c r="H625" t="s">
        <v>10</v>
      </c>
      <c r="I625" t="s">
        <v>11</v>
      </c>
      <c r="J625" s="2">
        <v>46214</v>
      </c>
      <c r="K625" s="1">
        <v>0.60763888888888895</v>
      </c>
      <c r="L625" s="10">
        <f t="shared" si="107"/>
        <v>-22.999999999999918</v>
      </c>
      <c r="M625" s="1" t="str">
        <f t="shared" si="114"/>
        <v>Delayed</v>
      </c>
      <c r="N625" s="27" t="str">
        <f t="shared" si="108"/>
        <v>airBaltic</v>
      </c>
      <c r="O625" s="3" t="s">
        <v>1318</v>
      </c>
      <c r="P625" s="20">
        <f t="shared" si="109"/>
        <v>14</v>
      </c>
      <c r="Q625" s="3" t="s">
        <v>1318</v>
      </c>
      <c r="R625" s="23" t="str">
        <f t="shared" si="110"/>
        <v>Saturday</v>
      </c>
      <c r="S625" s="3" t="s">
        <v>1318</v>
      </c>
      <c r="T625" s="23" t="s">
        <v>7</v>
      </c>
      <c r="U625" s="3" t="s">
        <v>1318</v>
      </c>
      <c r="AO625" s="15"/>
      <c r="AP625" s="15"/>
      <c r="AQ625" s="15"/>
      <c r="AR625" s="23"/>
      <c r="AS625" s="15"/>
      <c r="AT625" s="15"/>
      <c r="AU625" s="23"/>
      <c r="AV625" s="23"/>
    </row>
    <row r="626" spans="1:48" x14ac:dyDescent="0.25">
      <c r="A626" t="s">
        <v>192</v>
      </c>
      <c r="B626" t="s">
        <v>13</v>
      </c>
      <c r="C626" s="10">
        <v>0</v>
      </c>
      <c r="D626" t="s">
        <v>441</v>
      </c>
      <c r="E626" s="2">
        <f t="shared" si="113"/>
        <v>46214</v>
      </c>
      <c r="F626" s="3">
        <f t="shared" si="111"/>
        <v>0.59583333333333333</v>
      </c>
      <c r="G626" t="s">
        <v>194</v>
      </c>
      <c r="H626" t="s">
        <v>195</v>
      </c>
      <c r="I626" t="s">
        <v>17</v>
      </c>
      <c r="J626" s="2">
        <v>46214</v>
      </c>
      <c r="K626" s="1">
        <v>0.60763888888888895</v>
      </c>
      <c r="L626" s="10">
        <f t="shared" si="107"/>
        <v>17.000000000000099</v>
      </c>
      <c r="M626" s="1" t="str">
        <f t="shared" si="114"/>
        <v>On Time</v>
      </c>
      <c r="N626" s="27" t="str">
        <f t="shared" si="108"/>
        <v>Wizz Air</v>
      </c>
      <c r="O626" s="3" t="s">
        <v>1385</v>
      </c>
      <c r="P626" s="20">
        <f t="shared" si="109"/>
        <v>14</v>
      </c>
      <c r="Q626" s="3" t="s">
        <v>1385</v>
      </c>
      <c r="R626" s="23" t="str">
        <f t="shared" si="110"/>
        <v>Saturday</v>
      </c>
      <c r="S626" s="3" t="s">
        <v>1385</v>
      </c>
      <c r="T626" s="23" t="s">
        <v>13</v>
      </c>
      <c r="U626" s="3" t="s">
        <v>1385</v>
      </c>
      <c r="AO626" s="15"/>
      <c r="AP626" s="15"/>
      <c r="AQ626" s="15"/>
      <c r="AR626" s="23"/>
      <c r="AS626" s="15"/>
      <c r="AT626" s="15"/>
      <c r="AU626" s="23"/>
      <c r="AV626" s="23"/>
    </row>
    <row r="627" spans="1:48" x14ac:dyDescent="0.25">
      <c r="A627" t="s">
        <v>156</v>
      </c>
      <c r="B627" t="s">
        <v>41</v>
      </c>
      <c r="C627" s="10">
        <v>-16</v>
      </c>
      <c r="D627" t="s">
        <v>777</v>
      </c>
      <c r="E627" s="2">
        <f t="shared" si="113"/>
        <v>46214</v>
      </c>
      <c r="F627" s="3">
        <f t="shared" si="111"/>
        <v>0.64097222222222217</v>
      </c>
      <c r="G627" t="s">
        <v>43</v>
      </c>
      <c r="H627" t="s">
        <v>44</v>
      </c>
      <c r="I627" t="s">
        <v>158</v>
      </c>
      <c r="J627" s="2">
        <v>46214</v>
      </c>
      <c r="K627" s="1">
        <v>0.63541666666666663</v>
      </c>
      <c r="L627" s="10">
        <f t="shared" si="107"/>
        <v>-7.9999999999999716</v>
      </c>
      <c r="M627" s="1" t="str">
        <f t="shared" si="114"/>
        <v>On Time</v>
      </c>
      <c r="N627" s="27" t="str">
        <f t="shared" si="108"/>
        <v>SAS</v>
      </c>
      <c r="O627" s="3" t="s">
        <v>1385</v>
      </c>
      <c r="P627" s="20">
        <f t="shared" si="109"/>
        <v>15</v>
      </c>
      <c r="Q627" s="3" t="s">
        <v>1385</v>
      </c>
      <c r="R627" s="23" t="str">
        <f t="shared" si="110"/>
        <v>Saturday</v>
      </c>
      <c r="S627" s="3" t="s">
        <v>1385</v>
      </c>
      <c r="T627" s="23" t="s">
        <v>41</v>
      </c>
      <c r="U627" s="3" t="s">
        <v>1385</v>
      </c>
      <c r="AO627" s="15"/>
      <c r="AP627" s="15"/>
      <c r="AQ627" s="15"/>
      <c r="AR627" s="23"/>
      <c r="AS627" s="15"/>
      <c r="AT627" s="15"/>
      <c r="AU627" s="23"/>
      <c r="AV627" s="23"/>
    </row>
    <row r="628" spans="1:48" x14ac:dyDescent="0.25">
      <c r="A628" t="s">
        <v>261</v>
      </c>
      <c r="B628" t="s">
        <v>85</v>
      </c>
      <c r="C628" s="10">
        <v>-16</v>
      </c>
      <c r="D628" t="s">
        <v>336</v>
      </c>
      <c r="E628" s="2">
        <f t="shared" si="113"/>
        <v>46214</v>
      </c>
      <c r="F628" s="3">
        <f t="shared" si="111"/>
        <v>0.63888888888888895</v>
      </c>
      <c r="G628" t="s">
        <v>263</v>
      </c>
      <c r="H628" t="s">
        <v>264</v>
      </c>
      <c r="I628" t="s">
        <v>89</v>
      </c>
      <c r="J628" s="2">
        <v>46214</v>
      </c>
      <c r="K628" s="1">
        <v>0.64236111111111105</v>
      </c>
      <c r="L628" s="10">
        <f t="shared" si="107"/>
        <v>4.9999999999998224</v>
      </c>
      <c r="M628" s="1" t="str">
        <f t="shared" si="114"/>
        <v>On Time</v>
      </c>
      <c r="N628" s="27" t="str">
        <f t="shared" si="108"/>
        <v>Ryanair</v>
      </c>
      <c r="O628" s="3" t="s">
        <v>1385</v>
      </c>
      <c r="P628" s="20">
        <f t="shared" si="109"/>
        <v>15</v>
      </c>
      <c r="Q628" s="3" t="s">
        <v>1385</v>
      </c>
      <c r="R628" s="23" t="str">
        <f t="shared" si="110"/>
        <v>Saturday</v>
      </c>
      <c r="S628" s="3" t="s">
        <v>1385</v>
      </c>
      <c r="T628" s="23" t="s">
        <v>85</v>
      </c>
      <c r="U628" s="3" t="s">
        <v>1385</v>
      </c>
      <c r="AO628" s="15"/>
      <c r="AP628" s="15"/>
      <c r="AQ628" s="15"/>
      <c r="AR628" s="23"/>
      <c r="AS628" s="15"/>
      <c r="AT628" s="15"/>
      <c r="AU628" s="23"/>
      <c r="AV628" s="23"/>
    </row>
    <row r="629" spans="1:48" x14ac:dyDescent="0.25">
      <c r="A629" t="s">
        <v>235</v>
      </c>
      <c r="B629" t="s">
        <v>19</v>
      </c>
      <c r="C629" s="10">
        <v>-27</v>
      </c>
      <c r="D629" t="s">
        <v>867</v>
      </c>
      <c r="E629" s="2">
        <f t="shared" si="113"/>
        <v>46214</v>
      </c>
      <c r="F629" s="3">
        <f t="shared" si="111"/>
        <v>0.68680555555555556</v>
      </c>
      <c r="G629" t="s">
        <v>21</v>
      </c>
      <c r="H629" t="s">
        <v>22</v>
      </c>
      <c r="I629" t="s">
        <v>237</v>
      </c>
      <c r="J629" s="2">
        <v>46214</v>
      </c>
      <c r="K629" s="1">
        <v>0.68055555555555547</v>
      </c>
      <c r="L629" s="10">
        <f t="shared" si="107"/>
        <v>-9.0000000000001279</v>
      </c>
      <c r="M629" s="1" t="str">
        <f t="shared" si="114"/>
        <v>On Time</v>
      </c>
      <c r="N629" s="27" t="str">
        <f t="shared" si="108"/>
        <v>LOT</v>
      </c>
      <c r="O629" s="3" t="s">
        <v>1385</v>
      </c>
      <c r="P629" s="20">
        <f t="shared" si="109"/>
        <v>16</v>
      </c>
      <c r="Q629" s="3" t="s">
        <v>1385</v>
      </c>
      <c r="R629" s="23" t="str">
        <f t="shared" si="110"/>
        <v>Saturday</v>
      </c>
      <c r="S629" s="3" t="s">
        <v>1385</v>
      </c>
      <c r="T629" s="23" t="s">
        <v>19</v>
      </c>
      <c r="U629" s="3" t="s">
        <v>1385</v>
      </c>
      <c r="AO629" s="15"/>
      <c r="AP629" s="15"/>
      <c r="AQ629" s="15"/>
      <c r="AR629" s="23"/>
      <c r="AS629" s="15"/>
      <c r="AT629" s="15"/>
      <c r="AU629" s="23"/>
      <c r="AV629" s="23"/>
    </row>
    <row r="630" spans="1:48" x14ac:dyDescent="0.25">
      <c r="A630" t="s">
        <v>446</v>
      </c>
      <c r="B630" t="s">
        <v>85</v>
      </c>
      <c r="C630" s="10">
        <v>-15</v>
      </c>
      <c r="D630" t="s">
        <v>868</v>
      </c>
      <c r="E630" s="2">
        <f t="shared" si="113"/>
        <v>46214</v>
      </c>
      <c r="F630" s="3">
        <f t="shared" si="111"/>
        <v>0.68888888888888899</v>
      </c>
      <c r="G630" t="s">
        <v>102</v>
      </c>
      <c r="H630" t="s">
        <v>103</v>
      </c>
      <c r="I630" t="s">
        <v>89</v>
      </c>
      <c r="J630" s="2">
        <v>46214</v>
      </c>
      <c r="K630" s="1">
        <v>0.69097222222222221</v>
      </c>
      <c r="L630" s="10">
        <f t="shared" si="107"/>
        <v>2.9999999999998295</v>
      </c>
      <c r="M630" s="1" t="str">
        <f t="shared" si="114"/>
        <v>On Time</v>
      </c>
      <c r="N630" s="27" t="str">
        <f t="shared" si="108"/>
        <v>Ryanair</v>
      </c>
      <c r="O630" s="3" t="s">
        <v>1385</v>
      </c>
      <c r="P630" s="20">
        <f t="shared" si="109"/>
        <v>16</v>
      </c>
      <c r="Q630" s="3" t="s">
        <v>1385</v>
      </c>
      <c r="R630" s="23" t="str">
        <f t="shared" si="110"/>
        <v>Saturday</v>
      </c>
      <c r="S630" s="3" t="s">
        <v>1385</v>
      </c>
      <c r="T630" s="23" t="s">
        <v>85</v>
      </c>
      <c r="U630" s="3" t="s">
        <v>1385</v>
      </c>
      <c r="AO630" s="15"/>
      <c r="AP630" s="15"/>
      <c r="AQ630" s="15"/>
      <c r="AR630" s="23"/>
      <c r="AS630" s="15"/>
      <c r="AT630" s="15"/>
      <c r="AU630" s="23"/>
      <c r="AV630" s="23"/>
    </row>
    <row r="631" spans="1:48" x14ac:dyDescent="0.25">
      <c r="A631" t="s">
        <v>779</v>
      </c>
      <c r="B631" t="s">
        <v>780</v>
      </c>
      <c r="C631" s="10">
        <v>-24</v>
      </c>
      <c r="D631" t="s">
        <v>444</v>
      </c>
      <c r="E631" s="2">
        <f t="shared" si="113"/>
        <v>46214</v>
      </c>
      <c r="F631" s="3">
        <f t="shared" si="111"/>
        <v>0.69444444444444453</v>
      </c>
      <c r="G631" t="s">
        <v>869</v>
      </c>
      <c r="H631" t="s">
        <v>870</v>
      </c>
      <c r="I631" t="s">
        <v>783</v>
      </c>
      <c r="J631" s="2">
        <v>46214</v>
      </c>
      <c r="K631" s="1">
        <v>0.69236111111111109</v>
      </c>
      <c r="L631" s="10">
        <f t="shared" si="107"/>
        <v>-3.0000000000001492</v>
      </c>
      <c r="M631" s="1" t="str">
        <f t="shared" si="114"/>
        <v>On Time</v>
      </c>
      <c r="N631" s="27" t="e">
        <f t="shared" si="108"/>
        <v>#N/A</v>
      </c>
      <c r="O631" s="3" t="s">
        <v>1385</v>
      </c>
      <c r="P631" s="20">
        <f t="shared" si="109"/>
        <v>16</v>
      </c>
      <c r="Q631" s="3" t="s">
        <v>1385</v>
      </c>
      <c r="R631" s="23" t="str">
        <f t="shared" si="110"/>
        <v>Saturday</v>
      </c>
      <c r="S631" s="3" t="s">
        <v>1385</v>
      </c>
      <c r="T631" s="23" t="s">
        <v>780</v>
      </c>
      <c r="U631" s="3" t="s">
        <v>1385</v>
      </c>
      <c r="AO631" s="15"/>
      <c r="AP631" s="15"/>
      <c r="AQ631" s="15"/>
      <c r="AR631" s="23"/>
      <c r="AS631" s="15"/>
      <c r="AT631" s="15"/>
      <c r="AU631" s="23"/>
      <c r="AV631" s="23"/>
    </row>
    <row r="632" spans="1:48" x14ac:dyDescent="0.25">
      <c r="A632" t="s">
        <v>159</v>
      </c>
      <c r="B632" t="s">
        <v>85</v>
      </c>
      <c r="C632" s="10">
        <v>-14</v>
      </c>
      <c r="D632" t="s">
        <v>871</v>
      </c>
      <c r="E632" s="2">
        <f t="shared" si="113"/>
        <v>46214</v>
      </c>
      <c r="F632" s="3">
        <f t="shared" si="111"/>
        <v>0.70277777777777783</v>
      </c>
      <c r="G632" t="s">
        <v>34</v>
      </c>
      <c r="H632" t="s">
        <v>161</v>
      </c>
      <c r="I632" t="s">
        <v>89</v>
      </c>
      <c r="J632" s="2">
        <v>46214</v>
      </c>
      <c r="K632" s="1">
        <v>0.70486111111111116</v>
      </c>
      <c r="L632" s="10">
        <f t="shared" si="107"/>
        <v>2.9999999999999893</v>
      </c>
      <c r="M632" s="1" t="str">
        <f t="shared" si="114"/>
        <v>On Time</v>
      </c>
      <c r="N632" s="27" t="str">
        <f t="shared" si="108"/>
        <v>Ryanair</v>
      </c>
      <c r="O632" s="3" t="s">
        <v>1385</v>
      </c>
      <c r="P632" s="20">
        <f t="shared" si="109"/>
        <v>16</v>
      </c>
      <c r="Q632" s="3" t="s">
        <v>1385</v>
      </c>
      <c r="R632" s="23" t="str">
        <f t="shared" si="110"/>
        <v>Saturday</v>
      </c>
      <c r="S632" s="3" t="s">
        <v>1385</v>
      </c>
      <c r="T632" s="23" t="s">
        <v>85</v>
      </c>
      <c r="U632" s="3" t="s">
        <v>1385</v>
      </c>
      <c r="AO632" s="15"/>
      <c r="AP632" s="15"/>
      <c r="AQ632" s="15"/>
      <c r="AR632" s="23"/>
      <c r="AS632" s="15"/>
      <c r="AT632" s="15"/>
      <c r="AU632" s="23"/>
      <c r="AV632" s="23"/>
    </row>
    <row r="633" spans="1:48" x14ac:dyDescent="0.25">
      <c r="A633" t="s">
        <v>196</v>
      </c>
      <c r="B633" t="s">
        <v>13</v>
      </c>
      <c r="C633" s="10">
        <v>-2</v>
      </c>
      <c r="D633" t="s">
        <v>872</v>
      </c>
      <c r="E633" s="2">
        <f t="shared" si="113"/>
        <v>46214</v>
      </c>
      <c r="F633" s="3">
        <f t="shared" si="111"/>
        <v>0.7006944444444444</v>
      </c>
      <c r="G633" t="s">
        <v>198</v>
      </c>
      <c r="H633" t="s">
        <v>199</v>
      </c>
      <c r="I633" t="s">
        <v>17</v>
      </c>
      <c r="J633" s="2">
        <v>46214</v>
      </c>
      <c r="K633" s="1">
        <v>0.70833333333333337</v>
      </c>
      <c r="L633" s="10">
        <f t="shared" si="107"/>
        <v>11.000000000000121</v>
      </c>
      <c r="M633" s="1" t="str">
        <f t="shared" si="114"/>
        <v>On Time</v>
      </c>
      <c r="N633" s="27" t="str">
        <f t="shared" si="108"/>
        <v>Wizz Air</v>
      </c>
      <c r="O633" s="3" t="s">
        <v>1385</v>
      </c>
      <c r="P633" s="20">
        <f t="shared" si="109"/>
        <v>16</v>
      </c>
      <c r="Q633" s="3" t="s">
        <v>1385</v>
      </c>
      <c r="R633" s="23" t="str">
        <f t="shared" si="110"/>
        <v>Saturday</v>
      </c>
      <c r="S633" s="3" t="s">
        <v>1385</v>
      </c>
      <c r="T633" s="23" t="s">
        <v>13</v>
      </c>
      <c r="U633" s="3" t="s">
        <v>1385</v>
      </c>
      <c r="AO633" s="15"/>
      <c r="AP633" s="15"/>
      <c r="AQ633" s="15"/>
      <c r="AR633" s="23"/>
      <c r="AS633" s="15"/>
      <c r="AT633" s="15"/>
      <c r="AU633" s="23"/>
      <c r="AV633" s="23"/>
    </row>
    <row r="634" spans="1:48" x14ac:dyDescent="0.25">
      <c r="A634" t="s">
        <v>182</v>
      </c>
      <c r="B634" t="s">
        <v>69</v>
      </c>
      <c r="C634" s="10">
        <v>-25</v>
      </c>
      <c r="D634" t="s">
        <v>873</v>
      </c>
      <c r="E634" s="2">
        <f t="shared" si="113"/>
        <v>46214</v>
      </c>
      <c r="F634" s="3">
        <f t="shared" si="111"/>
        <v>0.75555555555555554</v>
      </c>
      <c r="G634" t="s">
        <v>71</v>
      </c>
      <c r="H634" t="s">
        <v>72</v>
      </c>
      <c r="I634" t="s">
        <v>73</v>
      </c>
      <c r="J634" s="2">
        <v>46214</v>
      </c>
      <c r="K634" s="1">
        <v>0.74652777777777779</v>
      </c>
      <c r="L634" s="10">
        <f t="shared" si="107"/>
        <v>-12.999999999999954</v>
      </c>
      <c r="M634" s="1" t="str">
        <f t="shared" si="114"/>
        <v>On Time</v>
      </c>
      <c r="N634" s="27" t="str">
        <f t="shared" si="108"/>
        <v>Finnair</v>
      </c>
      <c r="O634" s="3" t="s">
        <v>1385</v>
      </c>
      <c r="P634" s="20">
        <f t="shared" si="109"/>
        <v>18</v>
      </c>
      <c r="Q634" s="3" t="s">
        <v>1385</v>
      </c>
      <c r="R634" s="23" t="str">
        <f t="shared" si="110"/>
        <v>Saturday</v>
      </c>
      <c r="S634" s="3" t="s">
        <v>1385</v>
      </c>
      <c r="T634" s="23" t="s">
        <v>69</v>
      </c>
      <c r="U634" s="3" t="s">
        <v>1385</v>
      </c>
      <c r="AO634" s="15"/>
      <c r="AP634" s="15"/>
      <c r="AQ634" s="15"/>
      <c r="AR634" s="23"/>
      <c r="AS634" s="15"/>
      <c r="AT634" s="15"/>
      <c r="AU634" s="23"/>
      <c r="AV634" s="23"/>
    </row>
    <row r="635" spans="1:48" x14ac:dyDescent="0.25">
      <c r="A635" t="s">
        <v>200</v>
      </c>
      <c r="B635" t="s">
        <v>13</v>
      </c>
      <c r="C635" s="10">
        <v>-57</v>
      </c>
      <c r="D635" t="s">
        <v>837</v>
      </c>
      <c r="E635" s="2">
        <f t="shared" si="113"/>
        <v>46214</v>
      </c>
      <c r="F635" s="3">
        <f t="shared" si="111"/>
        <v>0.77222222222222225</v>
      </c>
      <c r="G635" t="s">
        <v>202</v>
      </c>
      <c r="H635" t="s">
        <v>203</v>
      </c>
      <c r="I635" t="s">
        <v>17</v>
      </c>
      <c r="J635" s="2">
        <v>46214</v>
      </c>
      <c r="K635" s="1">
        <v>0.75347222222222221</v>
      </c>
      <c r="L635" s="10">
        <f t="shared" si="107"/>
        <v>-27.000000000000064</v>
      </c>
      <c r="M635" s="1" t="str">
        <f t="shared" si="114"/>
        <v>Delayed</v>
      </c>
      <c r="N635" s="27" t="str">
        <f t="shared" si="108"/>
        <v>Wizz Air</v>
      </c>
      <c r="O635" s="3" t="s">
        <v>1318</v>
      </c>
      <c r="P635" s="20">
        <f t="shared" si="109"/>
        <v>18</v>
      </c>
      <c r="Q635" s="3" t="s">
        <v>1318</v>
      </c>
      <c r="R635" s="23" t="str">
        <f t="shared" si="110"/>
        <v>Saturday</v>
      </c>
      <c r="S635" s="3" t="s">
        <v>1318</v>
      </c>
      <c r="T635" s="23" t="s">
        <v>13</v>
      </c>
      <c r="U635" s="3" t="s">
        <v>1318</v>
      </c>
      <c r="AO635" s="15"/>
      <c r="AP635" s="15"/>
      <c r="AQ635" s="15"/>
      <c r="AR635" s="23"/>
      <c r="AS635" s="15"/>
      <c r="AT635" s="15"/>
      <c r="AU635" s="23"/>
      <c r="AV635" s="23"/>
    </row>
    <row r="636" spans="1:48" x14ac:dyDescent="0.25">
      <c r="A636" t="s">
        <v>186</v>
      </c>
      <c r="B636" t="s">
        <v>19</v>
      </c>
      <c r="C636" s="10">
        <v>-22</v>
      </c>
      <c r="D636" t="s">
        <v>874</v>
      </c>
      <c r="E636" s="2">
        <f t="shared" si="113"/>
        <v>46214</v>
      </c>
      <c r="F636" s="3">
        <f t="shared" si="111"/>
        <v>0.77638888888888891</v>
      </c>
      <c r="G636" t="s">
        <v>21</v>
      </c>
      <c r="H636" t="s">
        <v>22</v>
      </c>
      <c r="I636" t="s">
        <v>303</v>
      </c>
      <c r="J636" s="2">
        <v>46214</v>
      </c>
      <c r="K636" s="1">
        <v>0.77430555555555547</v>
      </c>
      <c r="L636" s="10">
        <f t="shared" si="107"/>
        <v>-3.0000000000001492</v>
      </c>
      <c r="M636" s="1" t="str">
        <f t="shared" si="114"/>
        <v>On Time</v>
      </c>
      <c r="N636" s="27" t="str">
        <f t="shared" si="108"/>
        <v>LOT</v>
      </c>
      <c r="O636" s="3" t="s">
        <v>1385</v>
      </c>
      <c r="P636" s="20">
        <f t="shared" si="109"/>
        <v>18</v>
      </c>
      <c r="Q636" s="3" t="s">
        <v>1385</v>
      </c>
      <c r="R636" s="23" t="str">
        <f t="shared" si="110"/>
        <v>Saturday</v>
      </c>
      <c r="S636" s="3" t="s">
        <v>1385</v>
      </c>
      <c r="T636" s="23" t="s">
        <v>19</v>
      </c>
      <c r="U636" s="3" t="s">
        <v>1385</v>
      </c>
      <c r="AO636" s="15"/>
      <c r="AP636" s="15"/>
      <c r="AQ636" s="15"/>
      <c r="AR636" s="23"/>
      <c r="AS636" s="15"/>
      <c r="AT636" s="15"/>
      <c r="AU636" s="23"/>
      <c r="AV636" s="23"/>
    </row>
    <row r="637" spans="1:48" x14ac:dyDescent="0.25">
      <c r="A637" t="s">
        <v>208</v>
      </c>
      <c r="B637" t="s">
        <v>96</v>
      </c>
      <c r="C637" s="10">
        <v>-26</v>
      </c>
      <c r="D637" t="s">
        <v>875</v>
      </c>
      <c r="E637" s="2">
        <f t="shared" si="113"/>
        <v>46214</v>
      </c>
      <c r="F637" s="3">
        <f t="shared" si="111"/>
        <v>0.80902777777777779</v>
      </c>
      <c r="G637" t="s">
        <v>98</v>
      </c>
      <c r="H637" t="s">
        <v>99</v>
      </c>
      <c r="I637" t="s">
        <v>876</v>
      </c>
      <c r="J637" s="2">
        <v>46214</v>
      </c>
      <c r="K637" s="1">
        <v>0.8125</v>
      </c>
      <c r="L637" s="10">
        <f t="shared" si="107"/>
        <v>4.9999999999999822</v>
      </c>
      <c r="M637" s="1" t="str">
        <f t="shared" si="114"/>
        <v>On Time</v>
      </c>
      <c r="N637" s="27" t="str">
        <f t="shared" si="108"/>
        <v>Turkish Airlines</v>
      </c>
      <c r="O637" s="3" t="s">
        <v>1385</v>
      </c>
      <c r="P637" s="20">
        <f t="shared" si="109"/>
        <v>19</v>
      </c>
      <c r="Q637" s="3" t="s">
        <v>1385</v>
      </c>
      <c r="R637" s="23" t="str">
        <f t="shared" si="110"/>
        <v>Saturday</v>
      </c>
      <c r="S637" s="3" t="s">
        <v>1385</v>
      </c>
      <c r="T637" s="23" t="s">
        <v>96</v>
      </c>
      <c r="U637" s="3" t="s">
        <v>1385</v>
      </c>
      <c r="AO637" s="15"/>
      <c r="AP637" s="15"/>
      <c r="AQ637" s="15"/>
      <c r="AR637" s="23"/>
      <c r="AS637" s="15"/>
      <c r="AT637" s="15"/>
      <c r="AU637" s="23"/>
      <c r="AV637" s="23"/>
    </row>
    <row r="638" spans="1:48" x14ac:dyDescent="0.25">
      <c r="A638" t="s">
        <v>211</v>
      </c>
      <c r="B638" t="s">
        <v>7</v>
      </c>
      <c r="C638" s="10">
        <v>-25</v>
      </c>
      <c r="D638" t="s">
        <v>877</v>
      </c>
      <c r="E638" s="2">
        <f t="shared" si="113"/>
        <v>46214</v>
      </c>
      <c r="F638" s="3">
        <f t="shared" si="111"/>
        <v>0.82986111111111116</v>
      </c>
      <c r="G638" t="s">
        <v>135</v>
      </c>
      <c r="H638" t="s">
        <v>136</v>
      </c>
      <c r="I638" t="s">
        <v>11</v>
      </c>
      <c r="J638" s="2">
        <v>46214</v>
      </c>
      <c r="K638" s="1">
        <v>0.82638888888888884</v>
      </c>
      <c r="L638" s="10">
        <f t="shared" si="107"/>
        <v>-5.0000000000001421</v>
      </c>
      <c r="M638" s="1" t="str">
        <f t="shared" si="114"/>
        <v>On Time</v>
      </c>
      <c r="N638" s="27" t="str">
        <f t="shared" si="108"/>
        <v>airBaltic</v>
      </c>
      <c r="O638" s="3" t="s">
        <v>1385</v>
      </c>
      <c r="P638" s="20">
        <f t="shared" si="109"/>
        <v>19</v>
      </c>
      <c r="Q638" s="3" t="s">
        <v>1385</v>
      </c>
      <c r="R638" s="23" t="str">
        <f t="shared" si="110"/>
        <v>Saturday</v>
      </c>
      <c r="S638" s="3" t="s">
        <v>1385</v>
      </c>
      <c r="T638" s="23" t="s">
        <v>7</v>
      </c>
      <c r="U638" s="3" t="s">
        <v>1385</v>
      </c>
      <c r="AO638" s="15"/>
      <c r="AP638" s="15"/>
      <c r="AQ638" s="15"/>
      <c r="AR638" s="23"/>
      <c r="AS638" s="15"/>
      <c r="AT638" s="15"/>
      <c r="AU638" s="23"/>
      <c r="AV638" s="23"/>
    </row>
    <row r="639" spans="1:48" x14ac:dyDescent="0.25">
      <c r="A639" t="s">
        <v>215</v>
      </c>
      <c r="B639" t="s">
        <v>13</v>
      </c>
      <c r="C639" s="10">
        <v>-10</v>
      </c>
      <c r="D639" t="s">
        <v>839</v>
      </c>
      <c r="E639" s="2">
        <f t="shared" si="113"/>
        <v>46214</v>
      </c>
      <c r="F639" s="3">
        <f t="shared" si="111"/>
        <v>0.8354166666666667</v>
      </c>
      <c r="G639" t="s">
        <v>217</v>
      </c>
      <c r="H639" t="s">
        <v>218</v>
      </c>
      <c r="I639" t="s">
        <v>17</v>
      </c>
      <c r="J639" s="2">
        <v>46214</v>
      </c>
      <c r="K639" s="1">
        <v>0.84375</v>
      </c>
      <c r="L639" s="10">
        <f t="shared" si="107"/>
        <v>11.999999999999957</v>
      </c>
      <c r="M639" s="1" t="str">
        <f t="shared" si="114"/>
        <v>On Time</v>
      </c>
      <c r="N639" s="27" t="str">
        <f t="shared" si="108"/>
        <v>Wizz Air</v>
      </c>
      <c r="O639" s="3" t="s">
        <v>1385</v>
      </c>
      <c r="P639" s="20">
        <f t="shared" si="109"/>
        <v>20</v>
      </c>
      <c r="Q639" s="3" t="s">
        <v>1385</v>
      </c>
      <c r="R639" s="23" t="str">
        <f t="shared" si="110"/>
        <v>Saturday</v>
      </c>
      <c r="S639" s="3" t="s">
        <v>1385</v>
      </c>
      <c r="T639" s="23" t="s">
        <v>13</v>
      </c>
      <c r="U639" s="3" t="s">
        <v>1385</v>
      </c>
      <c r="AO639" s="15"/>
      <c r="AP639" s="15"/>
      <c r="AQ639" s="15"/>
      <c r="AR639" s="23"/>
      <c r="AS639" s="15"/>
      <c r="AT639" s="15"/>
      <c r="AU639" s="23"/>
      <c r="AV639" s="23"/>
    </row>
    <row r="640" spans="1:48" x14ac:dyDescent="0.25">
      <c r="A640" t="s">
        <v>219</v>
      </c>
      <c r="B640" t="s">
        <v>7</v>
      </c>
      <c r="C640" s="10">
        <v>-2</v>
      </c>
      <c r="D640" t="s">
        <v>678</v>
      </c>
      <c r="E640" s="2">
        <f t="shared" si="113"/>
        <v>46214</v>
      </c>
      <c r="F640" s="3">
        <f t="shared" si="111"/>
        <v>0.8569444444444444</v>
      </c>
      <c r="G640" t="s">
        <v>9</v>
      </c>
      <c r="H640" t="s">
        <v>10</v>
      </c>
      <c r="I640" t="s">
        <v>11</v>
      </c>
      <c r="J640" s="2">
        <v>46214</v>
      </c>
      <c r="K640" s="1">
        <v>0.86805555555555547</v>
      </c>
      <c r="L640" s="10">
        <f t="shared" si="107"/>
        <v>15.999999999999943</v>
      </c>
      <c r="M640" s="1" t="str">
        <f t="shared" si="114"/>
        <v>On Time</v>
      </c>
      <c r="N640" s="27" t="str">
        <f t="shared" si="108"/>
        <v>airBaltic</v>
      </c>
      <c r="O640" s="3" t="s">
        <v>1385</v>
      </c>
      <c r="P640" s="20">
        <f t="shared" si="109"/>
        <v>20</v>
      </c>
      <c r="Q640" s="3" t="s">
        <v>1385</v>
      </c>
      <c r="R640" s="23" t="str">
        <f t="shared" si="110"/>
        <v>Saturday</v>
      </c>
      <c r="S640" s="3" t="s">
        <v>1385</v>
      </c>
      <c r="T640" s="23" t="s">
        <v>7</v>
      </c>
      <c r="U640" s="3" t="s">
        <v>1385</v>
      </c>
      <c r="AO640" s="15"/>
      <c r="AP640" s="15"/>
      <c r="AQ640" s="15"/>
      <c r="AR640" s="23"/>
      <c r="AS640" s="15"/>
      <c r="AT640" s="15"/>
      <c r="AU640" s="23"/>
      <c r="AV640" s="23"/>
    </row>
    <row r="641" spans="1:48" x14ac:dyDescent="0.25">
      <c r="A641" t="s">
        <v>457</v>
      </c>
      <c r="B641" t="s">
        <v>117</v>
      </c>
      <c r="D641" t="s">
        <v>798</v>
      </c>
      <c r="E641" s="2">
        <f t="shared" si="113"/>
        <v>46214</v>
      </c>
      <c r="F641" s="3">
        <f t="shared" si="111"/>
        <v>0.89444444444444438</v>
      </c>
      <c r="G641" t="s">
        <v>247</v>
      </c>
      <c r="H641" t="s">
        <v>248</v>
      </c>
      <c r="I641" t="s">
        <v>67</v>
      </c>
      <c r="J641" s="2">
        <v>46214</v>
      </c>
      <c r="K641" s="1">
        <v>0.87083333333333324</v>
      </c>
      <c r="L641" s="10">
        <f t="shared" si="107"/>
        <v>-34.000000000000043</v>
      </c>
      <c r="M641" s="1" t="str">
        <f t="shared" si="114"/>
        <v>Delayed</v>
      </c>
      <c r="N641" s="27" t="str">
        <f t="shared" si="108"/>
        <v>Heston Airlines</v>
      </c>
      <c r="O641" s="3" t="s">
        <v>1318</v>
      </c>
      <c r="P641" s="20">
        <f t="shared" si="109"/>
        <v>21</v>
      </c>
      <c r="Q641" s="3" t="s">
        <v>1318</v>
      </c>
      <c r="R641" s="23" t="str">
        <f t="shared" si="110"/>
        <v>Saturday</v>
      </c>
      <c r="S641" s="3" t="s">
        <v>1318</v>
      </c>
      <c r="T641" s="23" t="s">
        <v>117</v>
      </c>
      <c r="U641" s="3" t="s">
        <v>1318</v>
      </c>
      <c r="AO641" s="15"/>
      <c r="AP641" s="15"/>
      <c r="AQ641" s="15"/>
      <c r="AR641" s="23"/>
      <c r="AS641" s="15"/>
      <c r="AT641" s="15"/>
      <c r="AU641" s="23"/>
      <c r="AV641" s="23"/>
    </row>
    <row r="642" spans="1:48" x14ac:dyDescent="0.25">
      <c r="A642" t="s">
        <v>228</v>
      </c>
      <c r="B642" t="s">
        <v>69</v>
      </c>
      <c r="C642" s="10">
        <v>5</v>
      </c>
      <c r="D642" t="s">
        <v>878</v>
      </c>
      <c r="E642" s="2">
        <f t="shared" si="113"/>
        <v>46214</v>
      </c>
      <c r="F642" s="3">
        <f t="shared" si="111"/>
        <v>0.87222222222222223</v>
      </c>
      <c r="G642" t="s">
        <v>71</v>
      </c>
      <c r="H642" t="s">
        <v>72</v>
      </c>
      <c r="I642" t="s">
        <v>73</v>
      </c>
      <c r="J642" s="2">
        <v>46214</v>
      </c>
      <c r="K642" s="1">
        <v>0.88194444444444453</v>
      </c>
      <c r="L642" s="10">
        <f t="shared" ref="L642:L705" si="115">IF(J642&gt;E642,(K642+1-F642)*1440,IF(J642&lt;E642,-(F642+1-K642)*1440,(K642-F642)*1440))</f>
        <v>14.00000000000011</v>
      </c>
      <c r="M642" s="1" t="str">
        <f t="shared" si="114"/>
        <v>On Time</v>
      </c>
      <c r="N642" s="27" t="str">
        <f t="shared" ref="N642:N705" si="116">IF(COUNTIFS($B$2:$B$1553,B642,$M$2:$M$1553,"&lt;&gt;#N/A")&gt;=30,B642,NA())</f>
        <v>Finnair</v>
      </c>
      <c r="O642" s="3" t="s">
        <v>1385</v>
      </c>
      <c r="P642" s="20">
        <f t="shared" ref="P642:P705" si="117">HOUR(F642)</f>
        <v>20</v>
      </c>
      <c r="Q642" s="3" t="s">
        <v>1385</v>
      </c>
      <c r="R642" s="23" t="str">
        <f t="shared" ref="R642:R705" si="118">TEXT(E642, "dddd")</f>
        <v>Saturday</v>
      </c>
      <c r="S642" s="3" t="s">
        <v>1385</v>
      </c>
      <c r="T642" s="23" t="s">
        <v>69</v>
      </c>
      <c r="U642" s="3" t="s">
        <v>1385</v>
      </c>
      <c r="AO642" s="15"/>
      <c r="AP642" s="15"/>
      <c r="AQ642" s="15"/>
      <c r="AR642" s="23"/>
      <c r="AS642" s="15"/>
      <c r="AT642" s="15"/>
      <c r="AU642" s="23"/>
      <c r="AV642" s="23"/>
    </row>
    <row r="643" spans="1:48" x14ac:dyDescent="0.25">
      <c r="A643" t="s">
        <v>62</v>
      </c>
      <c r="B643" t="s">
        <v>85</v>
      </c>
      <c r="C643" s="10">
        <v>-289</v>
      </c>
      <c r="D643" t="s">
        <v>242</v>
      </c>
      <c r="E643" s="2">
        <f t="shared" si="113"/>
        <v>46214</v>
      </c>
      <c r="F643" s="3" t="e">
        <f t="shared" ref="F643:F706" si="119">IF(ISNUMBER(SEARCH("Landed", D643)), TIMEVALUE(_xlfn.TEXTAFTER(D643, " ")), NA())</f>
        <v>#N/A</v>
      </c>
      <c r="G643" t="s">
        <v>65</v>
      </c>
      <c r="H643" t="s">
        <v>66</v>
      </c>
      <c r="I643" t="s">
        <v>89</v>
      </c>
      <c r="J643" s="2">
        <v>46214</v>
      </c>
      <c r="K643" s="1">
        <v>0.90972222222222221</v>
      </c>
      <c r="L643" s="10">
        <v>-263</v>
      </c>
      <c r="M643" s="1" t="str">
        <f t="shared" si="114"/>
        <v>Delayed</v>
      </c>
      <c r="N643" s="27" t="str">
        <f t="shared" si="116"/>
        <v>Ryanair</v>
      </c>
      <c r="O643" s="3" t="e">
        <v>#N/A</v>
      </c>
      <c r="P643" s="20" t="e">
        <f t="shared" si="117"/>
        <v>#N/A</v>
      </c>
      <c r="Q643" s="3" t="e">
        <v>#N/A</v>
      </c>
      <c r="R643" s="23" t="str">
        <f t="shared" si="118"/>
        <v>Saturday</v>
      </c>
      <c r="S643" s="3" t="e">
        <v>#N/A</v>
      </c>
      <c r="T643" s="23" t="s">
        <v>85</v>
      </c>
      <c r="AO643" s="15"/>
      <c r="AP643" s="15"/>
      <c r="AQ643" s="15"/>
      <c r="AR643" s="23"/>
      <c r="AS643" s="15"/>
      <c r="AT643" s="15"/>
      <c r="AU643" s="23"/>
      <c r="AV643" s="23"/>
    </row>
    <row r="644" spans="1:48" x14ac:dyDescent="0.25">
      <c r="A644" t="s">
        <v>245</v>
      </c>
      <c r="B644" t="s">
        <v>124</v>
      </c>
      <c r="D644" t="s">
        <v>804</v>
      </c>
      <c r="E644" s="2">
        <f t="shared" si="113"/>
        <v>46214</v>
      </c>
      <c r="F644" s="3">
        <f t="shared" si="119"/>
        <v>0.90902777777777777</v>
      </c>
      <c r="G644" t="s">
        <v>247</v>
      </c>
      <c r="H644" t="s">
        <v>248</v>
      </c>
      <c r="I644" t="s">
        <v>249</v>
      </c>
      <c r="J644" s="2">
        <v>46214</v>
      </c>
      <c r="K644" s="1">
        <v>0.91111111111111109</v>
      </c>
      <c r="L644" s="10">
        <f t="shared" si="115"/>
        <v>2.9999999999999893</v>
      </c>
      <c r="M644" s="1" t="str">
        <f t="shared" si="114"/>
        <v>On Time</v>
      </c>
      <c r="N644" s="27" t="str">
        <f t="shared" si="116"/>
        <v>GetJet Airlines</v>
      </c>
      <c r="O644" s="3" t="s">
        <v>1385</v>
      </c>
      <c r="P644" s="20">
        <f t="shared" si="117"/>
        <v>21</v>
      </c>
      <c r="Q644" s="3" t="s">
        <v>1385</v>
      </c>
      <c r="R644" s="23" t="str">
        <f t="shared" si="118"/>
        <v>Saturday</v>
      </c>
      <c r="S644" s="3" t="s">
        <v>1385</v>
      </c>
      <c r="T644" s="23" t="s">
        <v>124</v>
      </c>
      <c r="U644" s="3" t="s">
        <v>1385</v>
      </c>
      <c r="AO644" s="15"/>
      <c r="AP644" s="15"/>
      <c r="AQ644" s="15"/>
      <c r="AR644" s="23"/>
      <c r="AS644" s="15"/>
      <c r="AT644" s="15"/>
      <c r="AU644" s="23"/>
      <c r="AV644" s="23"/>
    </row>
    <row r="645" spans="1:48" x14ac:dyDescent="0.25">
      <c r="A645" t="s">
        <v>104</v>
      </c>
      <c r="B645" t="s">
        <v>85</v>
      </c>
      <c r="C645" s="10">
        <v>-11</v>
      </c>
      <c r="D645" t="s">
        <v>879</v>
      </c>
      <c r="E645" s="2">
        <f t="shared" si="113"/>
        <v>46214</v>
      </c>
      <c r="F645" s="3">
        <f t="shared" si="119"/>
        <v>0.8965277777777777</v>
      </c>
      <c r="G645" t="s">
        <v>106</v>
      </c>
      <c r="H645" t="s">
        <v>107</v>
      </c>
      <c r="I645" t="s">
        <v>89</v>
      </c>
      <c r="J645" s="2">
        <v>46214</v>
      </c>
      <c r="K645" s="1">
        <v>0.91319444444444453</v>
      </c>
      <c r="L645" s="10">
        <f t="shared" si="115"/>
        <v>24.000000000000234</v>
      </c>
      <c r="M645" s="1" t="str">
        <f t="shared" si="114"/>
        <v>On Time</v>
      </c>
      <c r="N645" s="27" t="str">
        <f t="shared" si="116"/>
        <v>Ryanair</v>
      </c>
      <c r="O645" s="3" t="s">
        <v>1385</v>
      </c>
      <c r="P645" s="20">
        <f t="shared" si="117"/>
        <v>21</v>
      </c>
      <c r="Q645" s="3" t="s">
        <v>1385</v>
      </c>
      <c r="R645" s="23" t="str">
        <f t="shared" si="118"/>
        <v>Saturday</v>
      </c>
      <c r="S645" s="3" t="s">
        <v>1385</v>
      </c>
      <c r="T645" s="23" t="s">
        <v>85</v>
      </c>
      <c r="U645" s="3" t="s">
        <v>1385</v>
      </c>
      <c r="AO645" s="15"/>
      <c r="AP645" s="15"/>
      <c r="AQ645" s="15"/>
      <c r="AR645" s="23"/>
      <c r="AS645" s="15"/>
      <c r="AT645" s="15"/>
      <c r="AU645" s="23"/>
      <c r="AV645" s="23"/>
    </row>
    <row r="646" spans="1:48" x14ac:dyDescent="0.25">
      <c r="A646" t="s">
        <v>463</v>
      </c>
      <c r="B646" t="s">
        <v>239</v>
      </c>
      <c r="D646" t="s">
        <v>880</v>
      </c>
      <c r="E646" s="2">
        <f t="shared" si="113"/>
        <v>46214</v>
      </c>
      <c r="F646" s="3">
        <f t="shared" si="119"/>
        <v>0.94374999999999998</v>
      </c>
      <c r="G646" t="s">
        <v>247</v>
      </c>
      <c r="H646" t="s">
        <v>248</v>
      </c>
      <c r="I646" t="s">
        <v>83</v>
      </c>
      <c r="J646" s="2">
        <v>46214</v>
      </c>
      <c r="K646" s="1">
        <v>0.92361111111111116</v>
      </c>
      <c r="L646" s="10">
        <f t="shared" si="115"/>
        <v>-28.999999999999897</v>
      </c>
      <c r="M646" s="1" t="str">
        <f t="shared" si="114"/>
        <v>Delayed</v>
      </c>
      <c r="N646" s="27" t="str">
        <f t="shared" si="116"/>
        <v>Eurowings</v>
      </c>
      <c r="O646" s="3" t="s">
        <v>1318</v>
      </c>
      <c r="P646" s="20">
        <f t="shared" si="117"/>
        <v>22</v>
      </c>
      <c r="Q646" s="3" t="s">
        <v>1318</v>
      </c>
      <c r="R646" s="23" t="str">
        <f t="shared" si="118"/>
        <v>Saturday</v>
      </c>
      <c r="S646" s="3" t="s">
        <v>1318</v>
      </c>
      <c r="T646" s="23" t="s">
        <v>239</v>
      </c>
      <c r="U646" s="3" t="s">
        <v>1318</v>
      </c>
      <c r="AO646" s="15"/>
      <c r="AP646" s="15"/>
      <c r="AQ646" s="15"/>
      <c r="AR646" s="23"/>
      <c r="AS646" s="15"/>
      <c r="AT646" s="15"/>
      <c r="AU646" s="23"/>
      <c r="AV646" s="23"/>
    </row>
    <row r="647" spans="1:48" x14ac:dyDescent="0.25">
      <c r="A647" t="s">
        <v>123</v>
      </c>
      <c r="B647" t="s">
        <v>124</v>
      </c>
      <c r="D647" t="s">
        <v>881</v>
      </c>
      <c r="E647" s="2">
        <f t="shared" si="113"/>
        <v>46214</v>
      </c>
      <c r="F647" s="3">
        <f t="shared" si="119"/>
        <v>0.95208333333333339</v>
      </c>
      <c r="G647" t="s">
        <v>466</v>
      </c>
      <c r="H647" t="s">
        <v>467</v>
      </c>
      <c r="I647" t="s">
        <v>126</v>
      </c>
      <c r="J647" s="2">
        <v>46214</v>
      </c>
      <c r="K647" s="1">
        <v>0.94652777777777775</v>
      </c>
      <c r="L647" s="10">
        <f t="shared" si="115"/>
        <v>-8.0000000000001315</v>
      </c>
      <c r="M647" s="1" t="str">
        <f t="shared" si="114"/>
        <v>On Time</v>
      </c>
      <c r="N647" s="27" t="str">
        <f t="shared" si="116"/>
        <v>GetJet Airlines</v>
      </c>
      <c r="O647" s="3" t="s">
        <v>1385</v>
      </c>
      <c r="P647" s="20">
        <f t="shared" si="117"/>
        <v>22</v>
      </c>
      <c r="Q647" s="3" t="s">
        <v>1385</v>
      </c>
      <c r="R647" s="23" t="str">
        <f t="shared" si="118"/>
        <v>Saturday</v>
      </c>
      <c r="S647" s="3" t="s">
        <v>1385</v>
      </c>
      <c r="T647" s="23" t="s">
        <v>124</v>
      </c>
      <c r="U647" s="3" t="s">
        <v>1385</v>
      </c>
      <c r="AO647" s="15"/>
      <c r="AP647" s="15"/>
      <c r="AQ647" s="15"/>
      <c r="AR647" s="23"/>
      <c r="AS647" s="15"/>
      <c r="AT647" s="15"/>
      <c r="AU647" s="23"/>
      <c r="AV647" s="23"/>
    </row>
    <row r="648" spans="1:48" x14ac:dyDescent="0.25">
      <c r="A648" t="s">
        <v>387</v>
      </c>
      <c r="B648" t="s">
        <v>388</v>
      </c>
      <c r="C648" s="10">
        <v>-45</v>
      </c>
      <c r="D648" t="s">
        <v>882</v>
      </c>
      <c r="E648" s="2">
        <f t="shared" si="113"/>
        <v>46214</v>
      </c>
      <c r="F648" s="3">
        <f t="shared" si="119"/>
        <v>0.98402777777777783</v>
      </c>
      <c r="G648" t="s">
        <v>119</v>
      </c>
      <c r="H648" t="s">
        <v>120</v>
      </c>
      <c r="I648" t="s">
        <v>390</v>
      </c>
      <c r="J648" s="2">
        <v>46214</v>
      </c>
      <c r="K648" s="1">
        <v>0.96875</v>
      </c>
      <c r="L648" s="10">
        <f t="shared" si="115"/>
        <v>-22.000000000000082</v>
      </c>
      <c r="M648" s="1" t="str">
        <f t="shared" si="114"/>
        <v>Delayed</v>
      </c>
      <c r="N648" s="27" t="e">
        <f t="shared" si="116"/>
        <v>#N/A</v>
      </c>
      <c r="O648" s="3" t="s">
        <v>1318</v>
      </c>
      <c r="P648" s="20">
        <f t="shared" si="117"/>
        <v>23</v>
      </c>
      <c r="Q648" s="3" t="s">
        <v>1318</v>
      </c>
      <c r="R648" s="23" t="str">
        <f t="shared" si="118"/>
        <v>Saturday</v>
      </c>
      <c r="S648" s="3" t="s">
        <v>1318</v>
      </c>
      <c r="T648" s="23" t="s">
        <v>388</v>
      </c>
      <c r="U648" s="3" t="s">
        <v>1318</v>
      </c>
      <c r="AO648" s="15"/>
      <c r="AP648" s="15"/>
      <c r="AQ648" s="15"/>
      <c r="AR648" s="23"/>
      <c r="AS648" s="15"/>
      <c r="AT648" s="15"/>
      <c r="AU648" s="23"/>
      <c r="AV648" s="23"/>
    </row>
    <row r="649" spans="1:48" x14ac:dyDescent="0.25">
      <c r="A649" t="s">
        <v>258</v>
      </c>
      <c r="B649" t="s">
        <v>190</v>
      </c>
      <c r="C649" s="10">
        <v>-62</v>
      </c>
      <c r="D649" t="s">
        <v>883</v>
      </c>
      <c r="E649" s="2">
        <v>46215</v>
      </c>
      <c r="F649" s="3">
        <f t="shared" si="119"/>
        <v>1.9444444444444445E-2</v>
      </c>
      <c r="G649" t="s">
        <v>110</v>
      </c>
      <c r="H649" t="s">
        <v>111</v>
      </c>
      <c r="I649" t="s">
        <v>67</v>
      </c>
      <c r="J649" s="2">
        <v>46214</v>
      </c>
      <c r="K649" s="1">
        <v>0.98958333333333337</v>
      </c>
      <c r="L649" s="10">
        <f t="shared" si="115"/>
        <v>-42.999999999999844</v>
      </c>
      <c r="M649" s="1" t="str">
        <f t="shared" si="114"/>
        <v>Delayed</v>
      </c>
      <c r="N649" s="27" t="str">
        <f t="shared" si="116"/>
        <v>Lufthansa</v>
      </c>
      <c r="O649" s="3" t="s">
        <v>1318</v>
      </c>
      <c r="P649" s="20">
        <f t="shared" si="117"/>
        <v>0</v>
      </c>
      <c r="Q649" s="3" t="s">
        <v>1318</v>
      </c>
      <c r="R649" s="23" t="str">
        <f t="shared" si="118"/>
        <v>Sunday</v>
      </c>
      <c r="S649" s="3" t="s">
        <v>1318</v>
      </c>
      <c r="T649" s="23" t="s">
        <v>190</v>
      </c>
      <c r="U649" s="3" t="s">
        <v>1318</v>
      </c>
      <c r="AO649" s="15"/>
      <c r="AP649" s="15"/>
      <c r="AQ649" s="15"/>
      <c r="AR649" s="23"/>
      <c r="AS649" s="15"/>
      <c r="AT649" s="15"/>
      <c r="AU649" s="23"/>
      <c r="AV649" s="23"/>
    </row>
    <row r="650" spans="1:48" x14ac:dyDescent="0.25">
      <c r="A650" t="s">
        <v>470</v>
      </c>
      <c r="B650" t="s">
        <v>13</v>
      </c>
      <c r="C650" s="10">
        <v>-30</v>
      </c>
      <c r="D650" t="s">
        <v>884</v>
      </c>
      <c r="E650" s="2">
        <v>46215</v>
      </c>
      <c r="F650" s="3">
        <f t="shared" si="119"/>
        <v>8.3333333333333332E-3</v>
      </c>
      <c r="G650" t="s">
        <v>280</v>
      </c>
      <c r="H650" t="s">
        <v>281</v>
      </c>
      <c r="I650" t="s">
        <v>17</v>
      </c>
      <c r="J650" s="2">
        <v>46214</v>
      </c>
      <c r="K650" s="1">
        <v>0.99652777777777779</v>
      </c>
      <c r="L650" s="10">
        <f t="shared" si="115"/>
        <v>-16.99999999999994</v>
      </c>
      <c r="M650" s="1" t="str">
        <f t="shared" si="114"/>
        <v>Delayed</v>
      </c>
      <c r="N650" s="27" t="str">
        <f t="shared" si="116"/>
        <v>Wizz Air</v>
      </c>
      <c r="O650" s="3" t="s">
        <v>1318</v>
      </c>
      <c r="P650" s="20">
        <f t="shared" si="117"/>
        <v>0</v>
      </c>
      <c r="Q650" s="3" t="s">
        <v>1318</v>
      </c>
      <c r="R650" s="23" t="str">
        <f t="shared" si="118"/>
        <v>Sunday</v>
      </c>
      <c r="S650" s="3" t="s">
        <v>1318</v>
      </c>
      <c r="T650" s="23" t="s">
        <v>13</v>
      </c>
      <c r="U650" s="3" t="s">
        <v>1318</v>
      </c>
      <c r="AO650" s="15"/>
      <c r="AP650" s="15"/>
      <c r="AQ650" s="15"/>
      <c r="AR650" s="23"/>
      <c r="AS650" s="15"/>
      <c r="AT650" s="15"/>
      <c r="AU650" s="23"/>
      <c r="AV650" s="23"/>
    </row>
    <row r="651" spans="1:48" x14ac:dyDescent="0.25">
      <c r="A651" t="s">
        <v>267</v>
      </c>
      <c r="B651" t="s">
        <v>13</v>
      </c>
      <c r="C651" s="10">
        <v>-2</v>
      </c>
      <c r="D651" t="s">
        <v>266</v>
      </c>
      <c r="E651" s="2">
        <v>46214</v>
      </c>
      <c r="F651" s="3">
        <f t="shared" si="119"/>
        <v>0.99444444444444446</v>
      </c>
      <c r="G651" t="s">
        <v>269</v>
      </c>
      <c r="H651" t="s">
        <v>270</v>
      </c>
      <c r="I651" t="s">
        <v>17</v>
      </c>
      <c r="J651" s="2">
        <v>46215</v>
      </c>
      <c r="K651" s="1">
        <v>1.0416666666666666E-2</v>
      </c>
      <c r="L651" s="10">
        <f t="shared" si="115"/>
        <v>23.000000000000078</v>
      </c>
      <c r="M651" s="1" t="str">
        <f t="shared" si="114"/>
        <v>On Time</v>
      </c>
      <c r="N651" s="27" t="str">
        <f t="shared" si="116"/>
        <v>Wizz Air</v>
      </c>
      <c r="O651" s="3" t="s">
        <v>1385</v>
      </c>
      <c r="P651" s="20">
        <f t="shared" si="117"/>
        <v>23</v>
      </c>
      <c r="Q651" s="3" t="s">
        <v>1385</v>
      </c>
      <c r="R651" s="23" t="str">
        <f t="shared" si="118"/>
        <v>Saturday</v>
      </c>
      <c r="S651" s="3" t="s">
        <v>1385</v>
      </c>
      <c r="T651" s="23" t="s">
        <v>13</v>
      </c>
      <c r="U651" s="3" t="s">
        <v>1385</v>
      </c>
      <c r="AO651" s="15"/>
      <c r="AP651" s="15"/>
      <c r="AQ651" s="15"/>
      <c r="AR651" s="23"/>
      <c r="AS651" s="15"/>
      <c r="AT651" s="15"/>
      <c r="AU651" s="23"/>
      <c r="AV651" s="23"/>
    </row>
    <row r="652" spans="1:48" x14ac:dyDescent="0.25">
      <c r="A652" t="s">
        <v>6</v>
      </c>
      <c r="B652" t="s">
        <v>7</v>
      </c>
      <c r="C652" s="10">
        <v>-23</v>
      </c>
      <c r="D652" t="s">
        <v>885</v>
      </c>
      <c r="E652" s="2">
        <f>J652</f>
        <v>46215</v>
      </c>
      <c r="F652" s="3">
        <f t="shared" si="119"/>
        <v>2.5694444444444447E-2</v>
      </c>
      <c r="G652" t="s">
        <v>9</v>
      </c>
      <c r="H652" t="s">
        <v>10</v>
      </c>
      <c r="I652" t="s">
        <v>11</v>
      </c>
      <c r="J652" s="2">
        <v>46215</v>
      </c>
      <c r="K652" s="1">
        <v>2.0833333333333332E-2</v>
      </c>
      <c r="L652" s="10">
        <f t="shared" si="115"/>
        <v>-7.0000000000000053</v>
      </c>
      <c r="M652" s="1" t="str">
        <f t="shared" si="114"/>
        <v>On Time</v>
      </c>
      <c r="N652" s="27" t="str">
        <f t="shared" si="116"/>
        <v>airBaltic</v>
      </c>
      <c r="O652" s="3" t="s">
        <v>1385</v>
      </c>
      <c r="P652" s="20">
        <f t="shared" si="117"/>
        <v>0</v>
      </c>
      <c r="Q652" s="3" t="s">
        <v>1385</v>
      </c>
      <c r="R652" s="23" t="str">
        <f t="shared" si="118"/>
        <v>Sunday</v>
      </c>
      <c r="S652" s="3" t="s">
        <v>1385</v>
      </c>
      <c r="T652" s="23" t="s">
        <v>7</v>
      </c>
      <c r="U652" s="3" t="s">
        <v>1385</v>
      </c>
      <c r="AO652" s="15"/>
      <c r="AP652" s="15"/>
      <c r="AQ652" s="15"/>
      <c r="AR652" s="23"/>
      <c r="AS652" s="15"/>
      <c r="AT652" s="15"/>
      <c r="AU652" s="23"/>
      <c r="AV652" s="23"/>
    </row>
    <row r="653" spans="1:48" x14ac:dyDescent="0.25">
      <c r="A653" t="s">
        <v>12</v>
      </c>
      <c r="B653" t="s">
        <v>13</v>
      </c>
      <c r="C653" s="10">
        <v>-49</v>
      </c>
      <c r="D653" t="s">
        <v>551</v>
      </c>
      <c r="E653" s="2">
        <f t="shared" ref="E653:E716" si="120">J653</f>
        <v>46215</v>
      </c>
      <c r="F653" s="3">
        <f t="shared" si="119"/>
        <v>2.8472222222222222E-2</v>
      </c>
      <c r="G653" t="s">
        <v>15</v>
      </c>
      <c r="H653" t="s">
        <v>16</v>
      </c>
      <c r="I653" t="s">
        <v>17</v>
      </c>
      <c r="J653" s="2">
        <v>46215</v>
      </c>
      <c r="K653" s="1">
        <v>2.0833333333333332E-2</v>
      </c>
      <c r="L653" s="10">
        <f t="shared" si="115"/>
        <v>-11</v>
      </c>
      <c r="M653" s="1" t="str">
        <f t="shared" si="114"/>
        <v>On Time</v>
      </c>
      <c r="N653" s="27" t="str">
        <f t="shared" si="116"/>
        <v>Wizz Air</v>
      </c>
      <c r="O653" s="3" t="s">
        <v>1385</v>
      </c>
      <c r="P653" s="20">
        <f t="shared" si="117"/>
        <v>0</v>
      </c>
      <c r="Q653" s="3" t="s">
        <v>1385</v>
      </c>
      <c r="R653" s="23" t="str">
        <f t="shared" si="118"/>
        <v>Sunday</v>
      </c>
      <c r="S653" s="3" t="s">
        <v>1385</v>
      </c>
      <c r="T653" s="23" t="s">
        <v>13</v>
      </c>
      <c r="U653" s="3" t="s">
        <v>1385</v>
      </c>
      <c r="AO653" s="15"/>
      <c r="AP653" s="15"/>
      <c r="AQ653" s="15"/>
      <c r="AR653" s="23"/>
      <c r="AS653" s="15"/>
      <c r="AT653" s="15"/>
      <c r="AU653" s="23"/>
      <c r="AV653" s="23"/>
    </row>
    <row r="654" spans="1:48" x14ac:dyDescent="0.25">
      <c r="A654" t="s">
        <v>18</v>
      </c>
      <c r="B654" t="s">
        <v>19</v>
      </c>
      <c r="C654" s="10">
        <v>-57</v>
      </c>
      <c r="D654" t="s">
        <v>556</v>
      </c>
      <c r="E654" s="2">
        <f t="shared" si="120"/>
        <v>46215</v>
      </c>
      <c r="F654" s="3">
        <f t="shared" si="119"/>
        <v>4.9999999999999996E-2</v>
      </c>
      <c r="G654" t="s">
        <v>21</v>
      </c>
      <c r="H654" t="s">
        <v>22</v>
      </c>
      <c r="I654" t="s">
        <v>303</v>
      </c>
      <c r="J654" s="2">
        <v>46215</v>
      </c>
      <c r="K654" s="1">
        <v>2.7777777777777776E-2</v>
      </c>
      <c r="L654" s="10">
        <f t="shared" si="115"/>
        <v>-31.999999999999996</v>
      </c>
      <c r="M654" s="1" t="str">
        <f t="shared" si="114"/>
        <v>Delayed</v>
      </c>
      <c r="N654" s="27" t="str">
        <f t="shared" si="116"/>
        <v>LOT</v>
      </c>
      <c r="O654" s="3" t="s">
        <v>1318</v>
      </c>
      <c r="P654" s="20">
        <f t="shared" si="117"/>
        <v>1</v>
      </c>
      <c r="Q654" s="3" t="s">
        <v>1318</v>
      </c>
      <c r="R654" s="23" t="str">
        <f t="shared" si="118"/>
        <v>Sunday</v>
      </c>
      <c r="S654" s="3" t="s">
        <v>1318</v>
      </c>
      <c r="T654" s="23" t="s">
        <v>19</v>
      </c>
      <c r="U654" s="3" t="s">
        <v>1318</v>
      </c>
      <c r="AO654" s="15"/>
      <c r="AP654" s="15"/>
      <c r="AQ654" s="15"/>
      <c r="AR654" s="23"/>
      <c r="AS654" s="15"/>
      <c r="AT654" s="15"/>
      <c r="AU654" s="23"/>
      <c r="AV654" s="23"/>
    </row>
    <row r="655" spans="1:48" x14ac:dyDescent="0.25">
      <c r="A655" t="s">
        <v>36</v>
      </c>
      <c r="B655" t="s">
        <v>7</v>
      </c>
      <c r="C655" s="10">
        <v>-53</v>
      </c>
      <c r="D655" t="s">
        <v>886</v>
      </c>
      <c r="E655" s="2">
        <f t="shared" si="120"/>
        <v>46215</v>
      </c>
      <c r="F655" s="3">
        <f t="shared" si="119"/>
        <v>7.9861111111111105E-2</v>
      </c>
      <c r="G655" t="s">
        <v>38</v>
      </c>
      <c r="H655" t="s">
        <v>39</v>
      </c>
      <c r="I655" t="s">
        <v>11</v>
      </c>
      <c r="J655" s="2">
        <v>46215</v>
      </c>
      <c r="K655" s="1">
        <v>5.9027777777777783E-2</v>
      </c>
      <c r="L655" s="10">
        <f t="shared" si="115"/>
        <v>-29.999999999999982</v>
      </c>
      <c r="M655" s="1" t="str">
        <f t="shared" si="114"/>
        <v>Delayed</v>
      </c>
      <c r="N655" s="27" t="str">
        <f t="shared" si="116"/>
        <v>airBaltic</v>
      </c>
      <c r="O655" s="3" t="s">
        <v>1318</v>
      </c>
      <c r="P655" s="20">
        <f t="shared" si="117"/>
        <v>1</v>
      </c>
      <c r="Q655" s="3" t="s">
        <v>1318</v>
      </c>
      <c r="R655" s="23" t="str">
        <f t="shared" si="118"/>
        <v>Sunday</v>
      </c>
      <c r="S655" s="3" t="s">
        <v>1318</v>
      </c>
      <c r="T655" s="23" t="s">
        <v>7</v>
      </c>
      <c r="U655" s="3" t="s">
        <v>1318</v>
      </c>
      <c r="AO655" s="15"/>
      <c r="AP655" s="15"/>
      <c r="AQ655" s="15"/>
      <c r="AR655" s="23"/>
      <c r="AS655" s="15"/>
      <c r="AT655" s="15"/>
      <c r="AU655" s="23"/>
      <c r="AV655" s="23"/>
    </row>
    <row r="656" spans="1:48" x14ac:dyDescent="0.25">
      <c r="A656" t="s">
        <v>40</v>
      </c>
      <c r="B656" t="s">
        <v>41</v>
      </c>
      <c r="C656" s="10">
        <v>-3</v>
      </c>
      <c r="D656" t="s">
        <v>887</v>
      </c>
      <c r="E656" s="2">
        <f t="shared" si="120"/>
        <v>46215</v>
      </c>
      <c r="F656" s="3">
        <f t="shared" si="119"/>
        <v>5.5555555555555552E-2</v>
      </c>
      <c r="G656" t="s">
        <v>43</v>
      </c>
      <c r="H656" t="s">
        <v>44</v>
      </c>
      <c r="I656" t="s">
        <v>158</v>
      </c>
      <c r="J656" s="2">
        <v>46215</v>
      </c>
      <c r="K656" s="1">
        <v>5.9027777777777783E-2</v>
      </c>
      <c r="L656" s="10">
        <f t="shared" si="115"/>
        <v>5.0000000000000124</v>
      </c>
      <c r="M656" s="1" t="str">
        <f t="shared" si="114"/>
        <v>On Time</v>
      </c>
      <c r="N656" s="27" t="str">
        <f t="shared" si="116"/>
        <v>SAS</v>
      </c>
      <c r="O656" s="3" t="s">
        <v>1385</v>
      </c>
      <c r="P656" s="20">
        <f t="shared" si="117"/>
        <v>1</v>
      </c>
      <c r="Q656" s="3" t="s">
        <v>1385</v>
      </c>
      <c r="R656" s="23" t="str">
        <f t="shared" si="118"/>
        <v>Sunday</v>
      </c>
      <c r="S656" s="3" t="s">
        <v>1385</v>
      </c>
      <c r="T656" s="23" t="s">
        <v>41</v>
      </c>
      <c r="U656" s="3" t="s">
        <v>1385</v>
      </c>
      <c r="AO656" s="15"/>
      <c r="AP656" s="15"/>
      <c r="AQ656" s="15"/>
      <c r="AR656" s="23"/>
      <c r="AS656" s="15"/>
      <c r="AT656" s="15"/>
      <c r="AU656" s="23"/>
      <c r="AV656" s="23"/>
    </row>
    <row r="657" spans="1:48" x14ac:dyDescent="0.25">
      <c r="A657" t="s">
        <v>476</v>
      </c>
      <c r="B657" t="s">
        <v>477</v>
      </c>
      <c r="C657" s="10">
        <v>-31</v>
      </c>
      <c r="D657" t="s">
        <v>888</v>
      </c>
      <c r="E657" s="2">
        <f t="shared" si="120"/>
        <v>46215</v>
      </c>
      <c r="F657" s="3">
        <f t="shared" si="119"/>
        <v>9.4444444444444442E-2</v>
      </c>
      <c r="G657" t="s">
        <v>106</v>
      </c>
      <c r="H657" t="s">
        <v>107</v>
      </c>
      <c r="I657" t="s">
        <v>112</v>
      </c>
      <c r="J657" s="2">
        <v>46215</v>
      </c>
      <c r="K657" s="1">
        <v>9.0277777777777776E-2</v>
      </c>
      <c r="L657" s="10">
        <f t="shared" si="115"/>
        <v>-5.9999999999999982</v>
      </c>
      <c r="M657" s="1" t="str">
        <f t="shared" si="114"/>
        <v>On Time</v>
      </c>
      <c r="N657" s="27" t="e">
        <f t="shared" si="116"/>
        <v>#N/A</v>
      </c>
      <c r="O657" s="3" t="s">
        <v>1385</v>
      </c>
      <c r="P657" s="20">
        <f t="shared" si="117"/>
        <v>2</v>
      </c>
      <c r="Q657" s="3" t="s">
        <v>1385</v>
      </c>
      <c r="R657" s="23" t="str">
        <f t="shared" si="118"/>
        <v>Sunday</v>
      </c>
      <c r="S657" s="3" t="s">
        <v>1385</v>
      </c>
      <c r="T657" s="23" t="s">
        <v>477</v>
      </c>
      <c r="U657" s="3" t="s">
        <v>1385</v>
      </c>
      <c r="AO657" s="15"/>
      <c r="AP657" s="15"/>
      <c r="AQ657" s="15"/>
      <c r="AR657" s="23"/>
      <c r="AS657" s="15"/>
      <c r="AT657" s="15"/>
      <c r="AU657" s="23"/>
      <c r="AV657" s="23"/>
    </row>
    <row r="658" spans="1:48" x14ac:dyDescent="0.25">
      <c r="A658" t="s">
        <v>479</v>
      </c>
      <c r="B658" t="s">
        <v>7</v>
      </c>
      <c r="C658" s="10">
        <v>-16</v>
      </c>
      <c r="D658" t="s">
        <v>37</v>
      </c>
      <c r="E658" s="2">
        <f t="shared" si="120"/>
        <v>46215</v>
      </c>
      <c r="F658" s="3">
        <f t="shared" si="119"/>
        <v>0.11666666666666665</v>
      </c>
      <c r="G658" t="s">
        <v>481</v>
      </c>
      <c r="H658" t="s">
        <v>482</v>
      </c>
      <c r="I658" t="s">
        <v>11</v>
      </c>
      <c r="J658" s="2">
        <v>46215</v>
      </c>
      <c r="K658" s="1">
        <v>0.11805555555555557</v>
      </c>
      <c r="L658" s="10">
        <f t="shared" si="115"/>
        <v>2.0000000000000329</v>
      </c>
      <c r="M658" s="1" t="str">
        <f t="shared" si="114"/>
        <v>On Time</v>
      </c>
      <c r="N658" s="27" t="str">
        <f t="shared" si="116"/>
        <v>airBaltic</v>
      </c>
      <c r="O658" s="3" t="s">
        <v>1385</v>
      </c>
      <c r="P658" s="20">
        <f t="shared" si="117"/>
        <v>2</v>
      </c>
      <c r="Q658" s="3" t="s">
        <v>1385</v>
      </c>
      <c r="R658" s="23" t="str">
        <f t="shared" si="118"/>
        <v>Sunday</v>
      </c>
      <c r="S658" s="3" t="s">
        <v>1385</v>
      </c>
      <c r="T658" s="23" t="s">
        <v>7</v>
      </c>
      <c r="U658" s="3" t="s">
        <v>1385</v>
      </c>
      <c r="AO658" s="15"/>
      <c r="AP658" s="15"/>
      <c r="AQ658" s="15"/>
      <c r="AR658" s="23"/>
      <c r="AS658" s="15"/>
      <c r="AT658" s="15"/>
      <c r="AU658" s="23"/>
      <c r="AV658" s="23"/>
    </row>
    <row r="659" spans="1:48" x14ac:dyDescent="0.25">
      <c r="A659" t="s">
        <v>483</v>
      </c>
      <c r="B659" t="s">
        <v>7</v>
      </c>
      <c r="C659" s="10">
        <v>-25</v>
      </c>
      <c r="D659" t="s">
        <v>889</v>
      </c>
      <c r="E659" s="2">
        <f t="shared" si="120"/>
        <v>46215</v>
      </c>
      <c r="F659" s="3">
        <f t="shared" si="119"/>
        <v>0.14444444444444446</v>
      </c>
      <c r="G659" t="s">
        <v>485</v>
      </c>
      <c r="H659" t="s">
        <v>486</v>
      </c>
      <c r="I659" t="s">
        <v>11</v>
      </c>
      <c r="J659" s="2">
        <v>46215</v>
      </c>
      <c r="K659" s="1">
        <v>0.14930555555555555</v>
      </c>
      <c r="L659" s="10">
        <f t="shared" si="115"/>
        <v>6.9999999999999751</v>
      </c>
      <c r="M659" s="1" t="str">
        <f t="shared" ref="M659:M722" si="121">IF(L659&gt;=-15, "On Time", "Delayed")</f>
        <v>On Time</v>
      </c>
      <c r="N659" s="27" t="str">
        <f t="shared" si="116"/>
        <v>airBaltic</v>
      </c>
      <c r="O659" s="3" t="s">
        <v>1385</v>
      </c>
      <c r="P659" s="20">
        <f t="shared" si="117"/>
        <v>3</v>
      </c>
      <c r="Q659" s="3" t="s">
        <v>1385</v>
      </c>
      <c r="R659" s="23" t="str">
        <f t="shared" si="118"/>
        <v>Sunday</v>
      </c>
      <c r="S659" s="3" t="s">
        <v>1385</v>
      </c>
      <c r="T659" s="23" t="s">
        <v>7</v>
      </c>
      <c r="U659" s="3" t="s">
        <v>1385</v>
      </c>
      <c r="AO659" s="15"/>
      <c r="AP659" s="15"/>
      <c r="AQ659" s="15"/>
      <c r="AR659" s="23"/>
      <c r="AS659" s="15"/>
      <c r="AT659" s="15"/>
      <c r="AU659" s="23"/>
      <c r="AV659" s="23"/>
    </row>
    <row r="660" spans="1:48" x14ac:dyDescent="0.25">
      <c r="A660" t="s">
        <v>68</v>
      </c>
      <c r="B660" t="s">
        <v>69</v>
      </c>
      <c r="C660" s="10">
        <v>-14</v>
      </c>
      <c r="D660" t="s">
        <v>890</v>
      </c>
      <c r="E660" s="2">
        <f t="shared" si="120"/>
        <v>46215</v>
      </c>
      <c r="F660" s="3">
        <f t="shared" si="119"/>
        <v>0.35069444444444442</v>
      </c>
      <c r="G660" t="s">
        <v>71</v>
      </c>
      <c r="H660" t="s">
        <v>72</v>
      </c>
      <c r="I660" t="s">
        <v>295</v>
      </c>
      <c r="J660" s="2">
        <v>46215</v>
      </c>
      <c r="K660" s="1">
        <v>0.35416666666666669</v>
      </c>
      <c r="L660" s="10">
        <f t="shared" si="115"/>
        <v>5.0000000000000622</v>
      </c>
      <c r="M660" s="1" t="str">
        <f t="shared" si="121"/>
        <v>On Time</v>
      </c>
      <c r="N660" s="27" t="str">
        <f t="shared" si="116"/>
        <v>Finnair</v>
      </c>
      <c r="O660" s="3" t="s">
        <v>1385</v>
      </c>
      <c r="P660" s="20">
        <f t="shared" si="117"/>
        <v>8</v>
      </c>
      <c r="Q660" s="3" t="s">
        <v>1385</v>
      </c>
      <c r="R660" s="23" t="str">
        <f t="shared" si="118"/>
        <v>Sunday</v>
      </c>
      <c r="S660" s="3" t="s">
        <v>1385</v>
      </c>
      <c r="T660" s="23" t="s">
        <v>69</v>
      </c>
      <c r="U660" s="3" t="s">
        <v>1385</v>
      </c>
      <c r="AO660" s="15"/>
      <c r="AP660" s="15"/>
      <c r="AQ660" s="15"/>
      <c r="AR660" s="23"/>
      <c r="AS660" s="15"/>
      <c r="AT660" s="15"/>
      <c r="AU660" s="23"/>
      <c r="AV660" s="23"/>
    </row>
    <row r="661" spans="1:48" x14ac:dyDescent="0.25">
      <c r="A661" t="s">
        <v>291</v>
      </c>
      <c r="B661" t="s">
        <v>13</v>
      </c>
      <c r="C661" s="10">
        <v>0</v>
      </c>
      <c r="D661" t="s">
        <v>891</v>
      </c>
      <c r="E661" s="2">
        <f t="shared" si="120"/>
        <v>46215</v>
      </c>
      <c r="F661" s="3">
        <f t="shared" si="119"/>
        <v>0.35694444444444445</v>
      </c>
      <c r="G661" t="s">
        <v>293</v>
      </c>
      <c r="H661" t="s">
        <v>294</v>
      </c>
      <c r="I661" t="s">
        <v>17</v>
      </c>
      <c r="J661" s="2">
        <v>46215</v>
      </c>
      <c r="K661" s="1">
        <v>0.36805555555555558</v>
      </c>
      <c r="L661" s="10">
        <f t="shared" si="115"/>
        <v>16.000000000000021</v>
      </c>
      <c r="M661" s="1" t="str">
        <f t="shared" si="121"/>
        <v>On Time</v>
      </c>
      <c r="N661" s="27" t="str">
        <f t="shared" si="116"/>
        <v>Wizz Air</v>
      </c>
      <c r="O661" s="3" t="s">
        <v>1385</v>
      </c>
      <c r="P661" s="20">
        <f t="shared" si="117"/>
        <v>8</v>
      </c>
      <c r="Q661" s="3" t="s">
        <v>1385</v>
      </c>
      <c r="R661" s="23" t="str">
        <f t="shared" si="118"/>
        <v>Sunday</v>
      </c>
      <c r="S661" s="3" t="s">
        <v>1385</v>
      </c>
      <c r="T661" s="23" t="s">
        <v>13</v>
      </c>
      <c r="U661" s="3" t="s">
        <v>1385</v>
      </c>
      <c r="AO661" s="15"/>
      <c r="AP661" s="15"/>
      <c r="AQ661" s="15"/>
      <c r="AR661" s="23"/>
      <c r="AS661" s="15"/>
      <c r="AT661" s="15"/>
      <c r="AU661" s="23"/>
      <c r="AV661" s="23"/>
    </row>
    <row r="662" spans="1:48" x14ac:dyDescent="0.25">
      <c r="A662" t="s">
        <v>123</v>
      </c>
      <c r="B662" t="s">
        <v>85</v>
      </c>
      <c r="C662" s="10" t="e">
        <f>NA()</f>
        <v>#N/A</v>
      </c>
      <c r="D662" t="s">
        <v>242</v>
      </c>
      <c r="E662" s="2">
        <f t="shared" si="120"/>
        <v>46215</v>
      </c>
      <c r="F662" s="3" t="e">
        <f t="shared" si="119"/>
        <v>#N/A</v>
      </c>
      <c r="G662" t="s">
        <v>892</v>
      </c>
      <c r="H662" t="s">
        <v>893</v>
      </c>
      <c r="I662" t="s">
        <v>89</v>
      </c>
      <c r="J662" s="2">
        <v>46215</v>
      </c>
      <c r="K662" s="1">
        <v>0.37916666666666665</v>
      </c>
      <c r="L662" s="10" t="e">
        <f t="shared" si="115"/>
        <v>#N/A</v>
      </c>
      <c r="M662" s="1" t="e">
        <f t="shared" si="121"/>
        <v>#N/A</v>
      </c>
      <c r="N662" s="27" t="str">
        <f t="shared" si="116"/>
        <v>Ryanair</v>
      </c>
      <c r="O662" s="3" t="e">
        <v>#N/A</v>
      </c>
      <c r="P662" s="20" t="e">
        <f t="shared" si="117"/>
        <v>#N/A</v>
      </c>
      <c r="Q662" s="3" t="e">
        <v>#N/A</v>
      </c>
      <c r="R662" s="23" t="str">
        <f t="shared" si="118"/>
        <v>Sunday</v>
      </c>
      <c r="S662" s="3" t="e">
        <v>#N/A</v>
      </c>
      <c r="T662" s="23" t="s">
        <v>85</v>
      </c>
      <c r="AO662" s="15"/>
      <c r="AP662" s="15"/>
      <c r="AQ662" s="15"/>
      <c r="AR662" s="23"/>
      <c r="AS662" s="15"/>
      <c r="AT662" s="15"/>
      <c r="AU662" s="23"/>
      <c r="AV662" s="23"/>
    </row>
    <row r="663" spans="1:48" x14ac:dyDescent="0.25">
      <c r="A663" t="s">
        <v>123</v>
      </c>
      <c r="B663" t="s">
        <v>85</v>
      </c>
      <c r="D663" t="s">
        <v>894</v>
      </c>
      <c r="E663" s="2">
        <f t="shared" si="120"/>
        <v>46215</v>
      </c>
      <c r="F663" s="3">
        <f t="shared" si="119"/>
        <v>0.39583333333333331</v>
      </c>
      <c r="G663" t="s">
        <v>892</v>
      </c>
      <c r="H663" t="s">
        <v>893</v>
      </c>
      <c r="I663" t="s">
        <v>89</v>
      </c>
      <c r="J663" s="2">
        <v>46215</v>
      </c>
      <c r="K663" s="1">
        <v>0.38263888888888892</v>
      </c>
      <c r="L663" s="10">
        <f t="shared" si="115"/>
        <v>-18.999999999999932</v>
      </c>
      <c r="M663" s="1" t="str">
        <f t="shared" si="121"/>
        <v>Delayed</v>
      </c>
      <c r="N663" s="27" t="str">
        <f t="shared" si="116"/>
        <v>Ryanair</v>
      </c>
      <c r="O663" s="3" t="s">
        <v>1318</v>
      </c>
      <c r="P663" s="20">
        <f t="shared" si="117"/>
        <v>9</v>
      </c>
      <c r="Q663" s="3" t="s">
        <v>1318</v>
      </c>
      <c r="R663" s="23" t="str">
        <f t="shared" si="118"/>
        <v>Sunday</v>
      </c>
      <c r="S663" s="3" t="s">
        <v>1318</v>
      </c>
      <c r="T663" s="23" t="s">
        <v>85</v>
      </c>
      <c r="U663" s="3" t="s">
        <v>1318</v>
      </c>
      <c r="AO663" s="15"/>
      <c r="AP663" s="15"/>
      <c r="AQ663" s="15"/>
      <c r="AR663" s="23"/>
      <c r="AS663" s="15"/>
      <c r="AT663" s="15"/>
      <c r="AU663" s="23"/>
      <c r="AV663" s="23"/>
    </row>
    <row r="664" spans="1:48" x14ac:dyDescent="0.25">
      <c r="A664" t="s">
        <v>74</v>
      </c>
      <c r="B664" t="s">
        <v>13</v>
      </c>
      <c r="C664" s="10">
        <v>-5</v>
      </c>
      <c r="D664" t="s">
        <v>895</v>
      </c>
      <c r="E664" s="2">
        <f t="shared" si="120"/>
        <v>46215</v>
      </c>
      <c r="F664" s="3">
        <f t="shared" si="119"/>
        <v>0.37291666666666662</v>
      </c>
      <c r="G664" t="s">
        <v>76</v>
      </c>
      <c r="H664" t="s">
        <v>77</v>
      </c>
      <c r="I664" t="s">
        <v>17</v>
      </c>
      <c r="J664" s="2">
        <v>46215</v>
      </c>
      <c r="K664" s="1">
        <v>0.3888888888888889</v>
      </c>
      <c r="L664" s="10">
        <f t="shared" si="115"/>
        <v>23.000000000000078</v>
      </c>
      <c r="M664" s="1" t="str">
        <f t="shared" si="121"/>
        <v>On Time</v>
      </c>
      <c r="N664" s="27" t="str">
        <f t="shared" si="116"/>
        <v>Wizz Air</v>
      </c>
      <c r="O664" s="3" t="s">
        <v>1385</v>
      </c>
      <c r="P664" s="20">
        <f t="shared" si="117"/>
        <v>8</v>
      </c>
      <c r="Q664" s="3" t="s">
        <v>1385</v>
      </c>
      <c r="R664" s="23" t="str">
        <f t="shared" si="118"/>
        <v>Sunday</v>
      </c>
      <c r="S664" s="3" t="s">
        <v>1385</v>
      </c>
      <c r="T664" s="23" t="s">
        <v>13</v>
      </c>
      <c r="U664" s="3" t="s">
        <v>1385</v>
      </c>
      <c r="AO664" s="15"/>
      <c r="AP664" s="15"/>
      <c r="AQ664" s="15"/>
      <c r="AR664" s="23"/>
      <c r="AS664" s="15"/>
      <c r="AT664" s="15"/>
      <c r="AU664" s="23"/>
      <c r="AV664" s="23"/>
    </row>
    <row r="665" spans="1:48" x14ac:dyDescent="0.25">
      <c r="A665" t="s">
        <v>123</v>
      </c>
      <c r="B665" t="s">
        <v>85</v>
      </c>
      <c r="D665" t="s">
        <v>242</v>
      </c>
      <c r="E665" s="2">
        <f t="shared" si="120"/>
        <v>46215</v>
      </c>
      <c r="F665" s="3" t="e">
        <f t="shared" si="119"/>
        <v>#N/A</v>
      </c>
      <c r="G665" t="s">
        <v>892</v>
      </c>
      <c r="H665" t="s">
        <v>893</v>
      </c>
      <c r="I665" t="s">
        <v>89</v>
      </c>
      <c r="J665" s="2">
        <v>46215</v>
      </c>
      <c r="K665" s="1">
        <v>0.38958333333333334</v>
      </c>
      <c r="L665" s="10" t="e">
        <f t="shared" si="115"/>
        <v>#N/A</v>
      </c>
      <c r="M665" s="1" t="e">
        <f t="shared" si="121"/>
        <v>#N/A</v>
      </c>
      <c r="N665" s="27" t="str">
        <f t="shared" si="116"/>
        <v>Ryanair</v>
      </c>
      <c r="O665" s="3" t="e">
        <v>#N/A</v>
      </c>
      <c r="P665" s="20" t="e">
        <f t="shared" si="117"/>
        <v>#N/A</v>
      </c>
      <c r="Q665" s="3" t="e">
        <v>#N/A</v>
      </c>
      <c r="R665" s="23" t="str">
        <f t="shared" si="118"/>
        <v>Sunday</v>
      </c>
      <c r="S665" s="3" t="e">
        <v>#N/A</v>
      </c>
      <c r="T665" s="23" t="s">
        <v>85</v>
      </c>
      <c r="AO665" s="15"/>
      <c r="AP665" s="15"/>
      <c r="AQ665" s="15"/>
      <c r="AR665" s="23"/>
      <c r="AS665" s="15"/>
      <c r="AT665" s="15"/>
      <c r="AU665" s="23"/>
      <c r="AV665" s="23"/>
    </row>
    <row r="666" spans="1:48" x14ac:dyDescent="0.25">
      <c r="A666" t="s">
        <v>78</v>
      </c>
      <c r="B666" t="s">
        <v>79</v>
      </c>
      <c r="C666" s="10">
        <v>-42</v>
      </c>
      <c r="D666" t="s">
        <v>644</v>
      </c>
      <c r="E666" s="2">
        <f t="shared" si="120"/>
        <v>46215</v>
      </c>
      <c r="F666" s="3">
        <f t="shared" si="119"/>
        <v>0.42083333333333334</v>
      </c>
      <c r="G666" t="s">
        <v>81</v>
      </c>
      <c r="H666" t="s">
        <v>82</v>
      </c>
      <c r="I666" t="s">
        <v>210</v>
      </c>
      <c r="J666" s="2">
        <v>46215</v>
      </c>
      <c r="K666" s="1">
        <v>0.40972222222222227</v>
      </c>
      <c r="L666" s="10">
        <f t="shared" si="115"/>
        <v>-15.999999999999943</v>
      </c>
      <c r="M666" s="1" t="str">
        <f t="shared" si="121"/>
        <v>Delayed</v>
      </c>
      <c r="N666" s="27" t="e">
        <f t="shared" si="116"/>
        <v>#N/A</v>
      </c>
      <c r="O666" s="3" t="s">
        <v>1318</v>
      </c>
      <c r="P666" s="20">
        <f t="shared" si="117"/>
        <v>10</v>
      </c>
      <c r="Q666" s="3" t="s">
        <v>1318</v>
      </c>
      <c r="R666" s="23" t="str">
        <f t="shared" si="118"/>
        <v>Sunday</v>
      </c>
      <c r="S666" s="3" t="s">
        <v>1318</v>
      </c>
      <c r="T666" s="23" t="s">
        <v>79</v>
      </c>
      <c r="U666" s="3" t="s">
        <v>1318</v>
      </c>
      <c r="AO666" s="15"/>
      <c r="AP666" s="15"/>
      <c r="AQ666" s="15"/>
      <c r="AR666" s="23"/>
      <c r="AS666" s="15"/>
      <c r="AT666" s="15"/>
      <c r="AU666" s="23"/>
      <c r="AV666" s="23"/>
    </row>
    <row r="667" spans="1:48" x14ac:dyDescent="0.25">
      <c r="A667" t="s">
        <v>127</v>
      </c>
      <c r="B667" t="s">
        <v>85</v>
      </c>
      <c r="C667" s="10">
        <v>-6</v>
      </c>
      <c r="D667" t="s">
        <v>896</v>
      </c>
      <c r="E667" s="2">
        <f t="shared" si="120"/>
        <v>46215</v>
      </c>
      <c r="F667" s="3">
        <f t="shared" si="119"/>
        <v>0.40972222222222227</v>
      </c>
      <c r="G667" t="s">
        <v>129</v>
      </c>
      <c r="H667" t="s">
        <v>130</v>
      </c>
      <c r="I667" t="s">
        <v>162</v>
      </c>
      <c r="J667" s="2">
        <v>46215</v>
      </c>
      <c r="K667" s="1">
        <v>0.41666666666666669</v>
      </c>
      <c r="L667" s="10">
        <f t="shared" si="115"/>
        <v>9.9999999999999645</v>
      </c>
      <c r="M667" s="1" t="str">
        <f t="shared" si="121"/>
        <v>On Time</v>
      </c>
      <c r="N667" s="27" t="str">
        <f t="shared" si="116"/>
        <v>Ryanair</v>
      </c>
      <c r="O667" s="3" t="s">
        <v>1385</v>
      </c>
      <c r="P667" s="20">
        <f t="shared" si="117"/>
        <v>9</v>
      </c>
      <c r="Q667" s="3" t="s">
        <v>1385</v>
      </c>
      <c r="R667" s="23" t="str">
        <f t="shared" si="118"/>
        <v>Sunday</v>
      </c>
      <c r="S667" s="3" t="s">
        <v>1385</v>
      </c>
      <c r="T667" s="23" t="s">
        <v>85</v>
      </c>
      <c r="U667" s="3" t="s">
        <v>1385</v>
      </c>
      <c r="AO667" s="15"/>
      <c r="AP667" s="15"/>
      <c r="AQ667" s="15"/>
      <c r="AR667" s="23"/>
      <c r="AS667" s="15"/>
      <c r="AT667" s="15"/>
      <c r="AU667" s="23"/>
      <c r="AV667" s="23"/>
    </row>
    <row r="668" spans="1:48" x14ac:dyDescent="0.25">
      <c r="A668" t="s">
        <v>95</v>
      </c>
      <c r="B668" t="s">
        <v>96</v>
      </c>
      <c r="C668" s="10">
        <v>-20</v>
      </c>
      <c r="D668" t="s">
        <v>897</v>
      </c>
      <c r="E668" s="2">
        <f t="shared" si="120"/>
        <v>46215</v>
      </c>
      <c r="F668" s="3">
        <f t="shared" si="119"/>
        <v>0.44097222222222227</v>
      </c>
      <c r="G668" t="s">
        <v>98</v>
      </c>
      <c r="H668" t="s">
        <v>99</v>
      </c>
      <c r="I668" t="s">
        <v>17</v>
      </c>
      <c r="J668" s="2">
        <v>46215</v>
      </c>
      <c r="K668" s="1">
        <v>0.44791666666666669</v>
      </c>
      <c r="L668" s="10">
        <f t="shared" si="115"/>
        <v>9.9999999999999645</v>
      </c>
      <c r="M668" s="1" t="str">
        <f t="shared" si="121"/>
        <v>On Time</v>
      </c>
      <c r="N668" s="27" t="str">
        <f t="shared" si="116"/>
        <v>Turkish Airlines</v>
      </c>
      <c r="O668" s="3" t="s">
        <v>1385</v>
      </c>
      <c r="P668" s="20">
        <f t="shared" si="117"/>
        <v>10</v>
      </c>
      <c r="Q668" s="3" t="s">
        <v>1385</v>
      </c>
      <c r="R668" s="23" t="str">
        <f t="shared" si="118"/>
        <v>Sunday</v>
      </c>
      <c r="S668" s="3" t="s">
        <v>1385</v>
      </c>
      <c r="T668" s="23" t="s">
        <v>96</v>
      </c>
      <c r="U668" s="3" t="s">
        <v>1385</v>
      </c>
      <c r="AO668" s="15"/>
      <c r="AP668" s="15"/>
      <c r="AQ668" s="15"/>
      <c r="AR668" s="23"/>
      <c r="AS668" s="15"/>
      <c r="AT668" s="15"/>
      <c r="AU668" s="23"/>
      <c r="AV668" s="23"/>
    </row>
    <row r="669" spans="1:48" x14ac:dyDescent="0.25">
      <c r="A669" t="s">
        <v>150</v>
      </c>
      <c r="B669" t="s">
        <v>151</v>
      </c>
      <c r="C669" s="10">
        <v>-3</v>
      </c>
      <c r="D669" t="s">
        <v>765</v>
      </c>
      <c r="E669" s="2">
        <f t="shared" si="120"/>
        <v>46215</v>
      </c>
      <c r="F669" s="3">
        <f t="shared" si="119"/>
        <v>0.46319444444444446</v>
      </c>
      <c r="G669" t="s">
        <v>153</v>
      </c>
      <c r="H669" t="s">
        <v>154</v>
      </c>
      <c r="I669" t="s">
        <v>155</v>
      </c>
      <c r="J669" s="2">
        <v>46215</v>
      </c>
      <c r="K669" s="1">
        <v>0.47569444444444442</v>
      </c>
      <c r="L669" s="10">
        <f t="shared" si="115"/>
        <v>17.999999999999936</v>
      </c>
      <c r="M669" s="1" t="str">
        <f t="shared" si="121"/>
        <v>On Time</v>
      </c>
      <c r="N669" s="27" t="e">
        <f t="shared" si="116"/>
        <v>#N/A</v>
      </c>
      <c r="O669" s="3" t="s">
        <v>1385</v>
      </c>
      <c r="P669" s="20">
        <f t="shared" si="117"/>
        <v>11</v>
      </c>
      <c r="Q669" s="3" t="s">
        <v>1385</v>
      </c>
      <c r="R669" s="23" t="str">
        <f t="shared" si="118"/>
        <v>Sunday</v>
      </c>
      <c r="S669" s="3" t="s">
        <v>1385</v>
      </c>
      <c r="T669" s="23" t="s">
        <v>151</v>
      </c>
      <c r="U669" s="3" t="s">
        <v>1385</v>
      </c>
      <c r="AO669" s="15"/>
      <c r="AP669" s="15"/>
      <c r="AQ669" s="15"/>
      <c r="AR669" s="23"/>
      <c r="AS669" s="15"/>
      <c r="AT669" s="15"/>
      <c r="AU669" s="23"/>
      <c r="AV669" s="23"/>
    </row>
    <row r="670" spans="1:48" x14ac:dyDescent="0.25">
      <c r="A670" t="s">
        <v>28</v>
      </c>
      <c r="B670" t="s">
        <v>7</v>
      </c>
      <c r="C670" s="10">
        <v>-14</v>
      </c>
      <c r="D670" t="s">
        <v>498</v>
      </c>
      <c r="E670" s="2">
        <f t="shared" si="120"/>
        <v>46215</v>
      </c>
      <c r="F670" s="3">
        <f t="shared" si="119"/>
        <v>0.47361111111111115</v>
      </c>
      <c r="G670" t="s">
        <v>30</v>
      </c>
      <c r="H670" t="s">
        <v>31</v>
      </c>
      <c r="I670" t="s">
        <v>11</v>
      </c>
      <c r="J670" s="2">
        <v>46215</v>
      </c>
      <c r="K670" s="1">
        <v>0.4826388888888889</v>
      </c>
      <c r="L670" s="10">
        <f t="shared" si="115"/>
        <v>12.999999999999954</v>
      </c>
      <c r="M670" s="1" t="str">
        <f t="shared" si="121"/>
        <v>On Time</v>
      </c>
      <c r="N670" s="27" t="str">
        <f t="shared" si="116"/>
        <v>airBaltic</v>
      </c>
      <c r="O670" s="3" t="s">
        <v>1385</v>
      </c>
      <c r="P670" s="20">
        <f t="shared" si="117"/>
        <v>11</v>
      </c>
      <c r="Q670" s="3" t="s">
        <v>1385</v>
      </c>
      <c r="R670" s="23" t="str">
        <f t="shared" si="118"/>
        <v>Sunday</v>
      </c>
      <c r="S670" s="3" t="s">
        <v>1385</v>
      </c>
      <c r="T670" s="23" t="s">
        <v>7</v>
      </c>
      <c r="U670" s="3" t="s">
        <v>1385</v>
      </c>
      <c r="AO670" s="15"/>
      <c r="AP670" s="15"/>
      <c r="AQ670" s="15"/>
      <c r="AR670" s="23"/>
      <c r="AS670" s="15"/>
      <c r="AT670" s="15"/>
      <c r="AU670" s="23"/>
      <c r="AV670" s="23"/>
    </row>
    <row r="671" spans="1:48" x14ac:dyDescent="0.25">
      <c r="A671" t="s">
        <v>351</v>
      </c>
      <c r="B671" t="s">
        <v>85</v>
      </c>
      <c r="C671" s="10">
        <v>-12</v>
      </c>
      <c r="D671" t="s">
        <v>500</v>
      </c>
      <c r="E671" s="2">
        <f t="shared" si="120"/>
        <v>46215</v>
      </c>
      <c r="F671" s="3">
        <f t="shared" si="119"/>
        <v>0.48958333333333331</v>
      </c>
      <c r="G671" t="s">
        <v>252</v>
      </c>
      <c r="H671" t="s">
        <v>352</v>
      </c>
      <c r="I671" t="s">
        <v>89</v>
      </c>
      <c r="J671" s="2">
        <v>46215</v>
      </c>
      <c r="K671" s="1">
        <v>0.48958333333333331</v>
      </c>
      <c r="L671" s="10">
        <f t="shared" si="115"/>
        <v>0</v>
      </c>
      <c r="M671" s="1" t="str">
        <f t="shared" si="121"/>
        <v>On Time</v>
      </c>
      <c r="N671" s="27" t="str">
        <f t="shared" si="116"/>
        <v>Ryanair</v>
      </c>
      <c r="O671" s="3" t="s">
        <v>1385</v>
      </c>
      <c r="P671" s="20">
        <f t="shared" si="117"/>
        <v>11</v>
      </c>
      <c r="Q671" s="3" t="s">
        <v>1385</v>
      </c>
      <c r="R671" s="23" t="str">
        <f t="shared" si="118"/>
        <v>Sunday</v>
      </c>
      <c r="S671" s="3" t="s">
        <v>1385</v>
      </c>
      <c r="T671" s="23" t="s">
        <v>85</v>
      </c>
      <c r="U671" s="3" t="s">
        <v>1385</v>
      </c>
      <c r="AO671" s="15"/>
      <c r="AP671" s="15"/>
      <c r="AQ671" s="15"/>
      <c r="AR671" s="23"/>
      <c r="AS671" s="15"/>
      <c r="AT671" s="15"/>
      <c r="AU671" s="23"/>
      <c r="AV671" s="23"/>
    </row>
    <row r="672" spans="1:48" x14ac:dyDescent="0.25">
      <c r="A672" t="s">
        <v>32</v>
      </c>
      <c r="B672" t="s">
        <v>13</v>
      </c>
      <c r="C672" s="10">
        <v>-6</v>
      </c>
      <c r="D672" t="s">
        <v>581</v>
      </c>
      <c r="E672" s="2">
        <f t="shared" si="120"/>
        <v>46215</v>
      </c>
      <c r="F672" s="3">
        <f t="shared" si="119"/>
        <v>0.48541666666666666</v>
      </c>
      <c r="G672" t="s">
        <v>34</v>
      </c>
      <c r="H672" t="s">
        <v>35</v>
      </c>
      <c r="I672" t="s">
        <v>17</v>
      </c>
      <c r="J672" s="2">
        <v>46215</v>
      </c>
      <c r="K672" s="1">
        <v>0.48958333333333331</v>
      </c>
      <c r="L672" s="10">
        <f t="shared" si="115"/>
        <v>5.9999999999999787</v>
      </c>
      <c r="M672" s="1" t="str">
        <f t="shared" si="121"/>
        <v>On Time</v>
      </c>
      <c r="N672" s="27" t="str">
        <f t="shared" si="116"/>
        <v>Wizz Air</v>
      </c>
      <c r="O672" s="3" t="s">
        <v>1385</v>
      </c>
      <c r="P672" s="20">
        <f t="shared" si="117"/>
        <v>11</v>
      </c>
      <c r="Q672" s="3" t="s">
        <v>1385</v>
      </c>
      <c r="R672" s="23" t="str">
        <f t="shared" si="118"/>
        <v>Sunday</v>
      </c>
      <c r="S672" s="3" t="s">
        <v>1385</v>
      </c>
      <c r="T672" s="23" t="s">
        <v>13</v>
      </c>
      <c r="U672" s="3" t="s">
        <v>1385</v>
      </c>
      <c r="AO672" s="15"/>
      <c r="AP672" s="15"/>
      <c r="AQ672" s="15"/>
      <c r="AR672" s="23"/>
      <c r="AS672" s="15"/>
      <c r="AT672" s="15"/>
      <c r="AU672" s="23"/>
      <c r="AV672" s="23"/>
    </row>
    <row r="673" spans="1:48" x14ac:dyDescent="0.25">
      <c r="A673" t="s">
        <v>184</v>
      </c>
      <c r="B673" t="s">
        <v>85</v>
      </c>
      <c r="C673" s="10">
        <v>-129</v>
      </c>
      <c r="D673" t="s">
        <v>145</v>
      </c>
      <c r="E673" s="2">
        <f t="shared" si="120"/>
        <v>46215</v>
      </c>
      <c r="F673" s="3">
        <f t="shared" si="119"/>
        <v>0.58194444444444449</v>
      </c>
      <c r="G673" t="s">
        <v>153</v>
      </c>
      <c r="H673" t="s">
        <v>154</v>
      </c>
      <c r="I673" t="s">
        <v>89</v>
      </c>
      <c r="J673" s="2">
        <v>46215</v>
      </c>
      <c r="K673" s="1">
        <v>0.50694444444444442</v>
      </c>
      <c r="L673" s="10">
        <f t="shared" si="115"/>
        <v>-108.0000000000001</v>
      </c>
      <c r="M673" s="1" t="str">
        <f t="shared" si="121"/>
        <v>Delayed</v>
      </c>
      <c r="N673" s="27" t="str">
        <f t="shared" si="116"/>
        <v>Ryanair</v>
      </c>
      <c r="O673" s="3" t="s">
        <v>1318</v>
      </c>
      <c r="P673" s="20">
        <f t="shared" si="117"/>
        <v>13</v>
      </c>
      <c r="Q673" s="3" t="s">
        <v>1318</v>
      </c>
      <c r="R673" s="23" t="str">
        <f t="shared" si="118"/>
        <v>Sunday</v>
      </c>
      <c r="S673" s="3" t="s">
        <v>1318</v>
      </c>
      <c r="T673" s="23" t="s">
        <v>85</v>
      </c>
      <c r="U673" s="3" t="s">
        <v>1318</v>
      </c>
      <c r="AO673" s="15"/>
      <c r="AP673" s="15"/>
      <c r="AQ673" s="15"/>
      <c r="AR673" s="23"/>
      <c r="AS673" s="15"/>
      <c r="AT673" s="15"/>
      <c r="AU673" s="23"/>
      <c r="AV673" s="23"/>
    </row>
    <row r="674" spans="1:48" x14ac:dyDescent="0.25">
      <c r="A674" t="s">
        <v>306</v>
      </c>
      <c r="B674" t="s">
        <v>239</v>
      </c>
      <c r="D674" t="s">
        <v>898</v>
      </c>
      <c r="E674" s="2">
        <f t="shared" si="120"/>
        <v>46215</v>
      </c>
      <c r="F674" s="3">
        <f t="shared" si="119"/>
        <v>0.52361111111111114</v>
      </c>
      <c r="G674" t="s">
        <v>308</v>
      </c>
      <c r="H674" t="s">
        <v>309</v>
      </c>
      <c r="I674" t="s">
        <v>83</v>
      </c>
      <c r="J674" s="2">
        <v>46215</v>
      </c>
      <c r="K674" s="1">
        <v>0.50694444444444442</v>
      </c>
      <c r="L674" s="10">
        <f t="shared" si="115"/>
        <v>-24.000000000000075</v>
      </c>
      <c r="M674" s="1" t="str">
        <f t="shared" si="121"/>
        <v>Delayed</v>
      </c>
      <c r="N674" s="27" t="str">
        <f t="shared" si="116"/>
        <v>Eurowings</v>
      </c>
      <c r="O674" s="3" t="s">
        <v>1318</v>
      </c>
      <c r="P674" s="20">
        <f t="shared" si="117"/>
        <v>12</v>
      </c>
      <c r="Q674" s="3" t="s">
        <v>1318</v>
      </c>
      <c r="R674" s="23" t="str">
        <f t="shared" si="118"/>
        <v>Sunday</v>
      </c>
      <c r="S674" s="3" t="s">
        <v>1318</v>
      </c>
      <c r="T674" s="23" t="s">
        <v>239</v>
      </c>
      <c r="U674" s="3" t="s">
        <v>1318</v>
      </c>
      <c r="AO674" s="15"/>
      <c r="AP674" s="15"/>
      <c r="AQ674" s="15"/>
      <c r="AR674" s="23"/>
      <c r="AS674" s="15"/>
      <c r="AT674" s="15"/>
      <c r="AU674" s="23"/>
      <c r="AV674" s="23"/>
    </row>
    <row r="675" spans="1:48" x14ac:dyDescent="0.25">
      <c r="A675" t="s">
        <v>204</v>
      </c>
      <c r="B675" t="s">
        <v>7</v>
      </c>
      <c r="C675" s="10">
        <v>-57</v>
      </c>
      <c r="D675" t="s">
        <v>590</v>
      </c>
      <c r="E675" s="2">
        <f t="shared" si="120"/>
        <v>46215</v>
      </c>
      <c r="F675" s="3">
        <f t="shared" si="119"/>
        <v>0.54999999999999993</v>
      </c>
      <c r="G675" t="s">
        <v>206</v>
      </c>
      <c r="H675" t="s">
        <v>207</v>
      </c>
      <c r="I675" t="s">
        <v>11</v>
      </c>
      <c r="J675" s="2">
        <v>46215</v>
      </c>
      <c r="K675" s="1">
        <v>0.52777777777777779</v>
      </c>
      <c r="L675" s="10">
        <f t="shared" si="115"/>
        <v>-31.999999999999886</v>
      </c>
      <c r="M675" s="1" t="str">
        <f t="shared" si="121"/>
        <v>Delayed</v>
      </c>
      <c r="N675" s="27" t="str">
        <f t="shared" si="116"/>
        <v>airBaltic</v>
      </c>
      <c r="O675" s="3" t="s">
        <v>1318</v>
      </c>
      <c r="P675" s="20">
        <f t="shared" si="117"/>
        <v>13</v>
      </c>
      <c r="Q675" s="3" t="s">
        <v>1318</v>
      </c>
      <c r="R675" s="23" t="str">
        <f t="shared" si="118"/>
        <v>Sunday</v>
      </c>
      <c r="S675" s="3" t="s">
        <v>1318</v>
      </c>
      <c r="T675" s="23" t="s">
        <v>7</v>
      </c>
      <c r="U675" s="3" t="s">
        <v>1318</v>
      </c>
      <c r="AO675" s="15"/>
      <c r="AP675" s="15"/>
      <c r="AQ675" s="15"/>
      <c r="AR675" s="23"/>
      <c r="AS675" s="15"/>
      <c r="AT675" s="15"/>
      <c r="AU675" s="23"/>
      <c r="AV675" s="23"/>
    </row>
    <row r="676" spans="1:48" x14ac:dyDescent="0.25">
      <c r="A676" t="s">
        <v>108</v>
      </c>
      <c r="B676" t="s">
        <v>190</v>
      </c>
      <c r="C676" s="10">
        <v>-22</v>
      </c>
      <c r="D676" t="s">
        <v>899</v>
      </c>
      <c r="E676" s="2">
        <f t="shared" si="120"/>
        <v>46215</v>
      </c>
      <c r="F676" s="3">
        <f t="shared" si="119"/>
        <v>0.52986111111111112</v>
      </c>
      <c r="G676" t="s">
        <v>110</v>
      </c>
      <c r="H676" t="s">
        <v>111</v>
      </c>
      <c r="I676" t="s">
        <v>112</v>
      </c>
      <c r="J676" s="2">
        <v>46215</v>
      </c>
      <c r="K676" s="1">
        <v>0.52777777777777779</v>
      </c>
      <c r="L676" s="10">
        <f t="shared" si="115"/>
        <v>-2.9999999999999893</v>
      </c>
      <c r="M676" s="1" t="str">
        <f t="shared" si="121"/>
        <v>On Time</v>
      </c>
      <c r="N676" s="27" t="str">
        <f t="shared" si="116"/>
        <v>Lufthansa</v>
      </c>
      <c r="O676" s="3" t="s">
        <v>1385</v>
      </c>
      <c r="P676" s="20">
        <f t="shared" si="117"/>
        <v>12</v>
      </c>
      <c r="Q676" s="3" t="s">
        <v>1385</v>
      </c>
      <c r="R676" s="23" t="str">
        <f t="shared" si="118"/>
        <v>Sunday</v>
      </c>
      <c r="S676" s="3" t="s">
        <v>1385</v>
      </c>
      <c r="T676" s="23" t="s">
        <v>190</v>
      </c>
      <c r="U676" s="3" t="s">
        <v>1385</v>
      </c>
      <c r="AO676" s="15"/>
      <c r="AP676" s="15"/>
      <c r="AQ676" s="15"/>
      <c r="AR676" s="23"/>
      <c r="AS676" s="15"/>
      <c r="AT676" s="15"/>
      <c r="AU676" s="23"/>
      <c r="AV676" s="23"/>
    </row>
    <row r="677" spans="1:48" x14ac:dyDescent="0.25">
      <c r="A677" t="s">
        <v>113</v>
      </c>
      <c r="B677" t="s">
        <v>13</v>
      </c>
      <c r="C677" s="10">
        <v>-31</v>
      </c>
      <c r="D677" t="s">
        <v>505</v>
      </c>
      <c r="E677" s="2">
        <f t="shared" si="120"/>
        <v>46215</v>
      </c>
      <c r="F677" s="3">
        <f t="shared" si="119"/>
        <v>0.54097222222222219</v>
      </c>
      <c r="G677" t="s">
        <v>102</v>
      </c>
      <c r="H677" t="s">
        <v>115</v>
      </c>
      <c r="I677" t="s">
        <v>17</v>
      </c>
      <c r="J677" s="2">
        <v>46215</v>
      </c>
      <c r="K677" s="1">
        <v>0.53472222222222221</v>
      </c>
      <c r="L677" s="10">
        <f t="shared" si="115"/>
        <v>-8.999999999999968</v>
      </c>
      <c r="M677" s="1" t="str">
        <f t="shared" si="121"/>
        <v>On Time</v>
      </c>
      <c r="N677" s="27" t="str">
        <f t="shared" si="116"/>
        <v>Wizz Air</v>
      </c>
      <c r="O677" s="3" t="s">
        <v>1385</v>
      </c>
      <c r="P677" s="20">
        <f t="shared" si="117"/>
        <v>12</v>
      </c>
      <c r="Q677" s="3" t="s">
        <v>1385</v>
      </c>
      <c r="R677" s="23" t="str">
        <f t="shared" si="118"/>
        <v>Sunday</v>
      </c>
      <c r="S677" s="3" t="s">
        <v>1385</v>
      </c>
      <c r="T677" s="23" t="s">
        <v>13</v>
      </c>
      <c r="U677" s="3" t="s">
        <v>1385</v>
      </c>
      <c r="AO677" s="15"/>
      <c r="AP677" s="15"/>
      <c r="AQ677" s="15"/>
      <c r="AR677" s="23"/>
      <c r="AS677" s="15"/>
      <c r="AT677" s="15"/>
      <c r="AU677" s="23"/>
      <c r="AV677" s="23"/>
    </row>
    <row r="678" spans="1:48" x14ac:dyDescent="0.25">
      <c r="A678" t="s">
        <v>506</v>
      </c>
      <c r="B678" t="s">
        <v>117</v>
      </c>
      <c r="C678" s="10">
        <v>-8</v>
      </c>
      <c r="D678" t="s">
        <v>900</v>
      </c>
      <c r="E678" s="2">
        <f t="shared" si="120"/>
        <v>46215</v>
      </c>
      <c r="F678" s="3">
        <f t="shared" si="119"/>
        <v>0.53749999999999998</v>
      </c>
      <c r="G678" t="s">
        <v>119</v>
      </c>
      <c r="H678" t="s">
        <v>120</v>
      </c>
      <c r="I678" t="s">
        <v>67</v>
      </c>
      <c r="J678" s="2">
        <v>46215</v>
      </c>
      <c r="K678" s="1">
        <v>0.53819444444444442</v>
      </c>
      <c r="L678" s="10">
        <f t="shared" si="115"/>
        <v>0.99999999999999645</v>
      </c>
      <c r="M678" s="1" t="str">
        <f t="shared" si="121"/>
        <v>On Time</v>
      </c>
      <c r="N678" s="27" t="str">
        <f t="shared" si="116"/>
        <v>Heston Airlines</v>
      </c>
      <c r="O678" s="3" t="s">
        <v>1385</v>
      </c>
      <c r="P678" s="20">
        <f t="shared" si="117"/>
        <v>12</v>
      </c>
      <c r="Q678" s="3" t="s">
        <v>1385</v>
      </c>
      <c r="R678" s="23" t="str">
        <f t="shared" si="118"/>
        <v>Sunday</v>
      </c>
      <c r="S678" s="3" t="s">
        <v>1385</v>
      </c>
      <c r="T678" s="23" t="s">
        <v>117</v>
      </c>
      <c r="U678" s="3" t="s">
        <v>1385</v>
      </c>
      <c r="AO678" s="15"/>
      <c r="AP678" s="15"/>
      <c r="AQ678" s="15"/>
      <c r="AR678" s="23"/>
      <c r="AS678" s="15"/>
      <c r="AT678" s="15"/>
      <c r="AU678" s="23"/>
      <c r="AV678" s="23"/>
    </row>
    <row r="679" spans="1:48" x14ac:dyDescent="0.25">
      <c r="A679" t="s">
        <v>121</v>
      </c>
      <c r="B679" t="s">
        <v>69</v>
      </c>
      <c r="C679" s="10">
        <v>-22</v>
      </c>
      <c r="D679" t="s">
        <v>109</v>
      </c>
      <c r="E679" s="2">
        <f t="shared" si="120"/>
        <v>46215</v>
      </c>
      <c r="F679" s="3">
        <f t="shared" si="119"/>
        <v>0.55208333333333337</v>
      </c>
      <c r="G679" t="s">
        <v>71</v>
      </c>
      <c r="H679" t="s">
        <v>72</v>
      </c>
      <c r="I679" t="s">
        <v>73</v>
      </c>
      <c r="J679" s="2">
        <v>46215</v>
      </c>
      <c r="K679" s="1">
        <v>0.54166666666666663</v>
      </c>
      <c r="L679" s="10">
        <f t="shared" si="115"/>
        <v>-15.000000000000107</v>
      </c>
      <c r="M679" s="1" t="str">
        <f t="shared" si="121"/>
        <v>Delayed</v>
      </c>
      <c r="N679" s="27" t="str">
        <f t="shared" si="116"/>
        <v>Finnair</v>
      </c>
      <c r="O679" s="3" t="s">
        <v>1318</v>
      </c>
      <c r="P679" s="20">
        <f t="shared" si="117"/>
        <v>13</v>
      </c>
      <c r="Q679" s="3" t="s">
        <v>1318</v>
      </c>
      <c r="R679" s="23" t="str">
        <f t="shared" si="118"/>
        <v>Sunday</v>
      </c>
      <c r="S679" s="3" t="s">
        <v>1318</v>
      </c>
      <c r="T679" s="23" t="s">
        <v>69</v>
      </c>
      <c r="U679" s="3" t="s">
        <v>1318</v>
      </c>
      <c r="AO679" s="15"/>
      <c r="AP679" s="15"/>
      <c r="AQ679" s="15"/>
      <c r="AR679" s="23"/>
      <c r="AS679" s="15"/>
      <c r="AT679" s="15"/>
      <c r="AU679" s="23"/>
      <c r="AV679" s="23"/>
    </row>
    <row r="680" spans="1:48" x14ac:dyDescent="0.25">
      <c r="A680" t="s">
        <v>62</v>
      </c>
      <c r="B680" t="s">
        <v>63</v>
      </c>
      <c r="C680" s="10">
        <v>-9</v>
      </c>
      <c r="D680" t="s">
        <v>429</v>
      </c>
      <c r="E680" s="2">
        <f t="shared" si="120"/>
        <v>46215</v>
      </c>
      <c r="F680" s="3">
        <f t="shared" si="119"/>
        <v>0.53402777777777777</v>
      </c>
      <c r="G680" t="s">
        <v>65</v>
      </c>
      <c r="H680" t="s">
        <v>66</v>
      </c>
      <c r="I680" t="s">
        <v>67</v>
      </c>
      <c r="J680" s="2">
        <v>46215</v>
      </c>
      <c r="K680" s="1">
        <v>0.54166666666666663</v>
      </c>
      <c r="L680" s="10">
        <f t="shared" si="115"/>
        <v>10.999999999999961</v>
      </c>
      <c r="M680" s="1" t="str">
        <f t="shared" si="121"/>
        <v>On Time</v>
      </c>
      <c r="N680" s="27" t="e">
        <f t="shared" si="116"/>
        <v>#N/A</v>
      </c>
      <c r="O680" s="3" t="s">
        <v>1385</v>
      </c>
      <c r="P680" s="20">
        <f t="shared" si="117"/>
        <v>12</v>
      </c>
      <c r="Q680" s="3" t="s">
        <v>1385</v>
      </c>
      <c r="R680" s="23" t="str">
        <f t="shared" si="118"/>
        <v>Sunday</v>
      </c>
      <c r="S680" s="3" t="s">
        <v>1385</v>
      </c>
      <c r="T680" s="23" t="s">
        <v>63</v>
      </c>
      <c r="U680" s="3" t="s">
        <v>1385</v>
      </c>
      <c r="AO680" s="15"/>
      <c r="AP680" s="15"/>
      <c r="AQ680" s="15"/>
      <c r="AR680" s="23"/>
      <c r="AS680" s="15"/>
      <c r="AT680" s="15"/>
      <c r="AU680" s="23"/>
      <c r="AV680" s="23"/>
    </row>
    <row r="681" spans="1:48" x14ac:dyDescent="0.25">
      <c r="A681" t="s">
        <v>123</v>
      </c>
      <c r="B681" t="s">
        <v>124</v>
      </c>
      <c r="D681" t="s">
        <v>901</v>
      </c>
      <c r="E681" s="2">
        <f t="shared" si="120"/>
        <v>46215</v>
      </c>
      <c r="F681" s="3">
        <f t="shared" si="119"/>
        <v>0.52847222222222223</v>
      </c>
      <c r="G681" t="s">
        <v>508</v>
      </c>
      <c r="H681" t="s">
        <v>509</v>
      </c>
      <c r="I681" t="s">
        <v>249</v>
      </c>
      <c r="J681" s="2">
        <v>46215</v>
      </c>
      <c r="K681" s="1">
        <v>0.55277777777777781</v>
      </c>
      <c r="L681" s="10">
        <f t="shared" si="115"/>
        <v>35.000000000000036</v>
      </c>
      <c r="M681" s="1" t="str">
        <f t="shared" si="121"/>
        <v>On Time</v>
      </c>
      <c r="N681" s="27" t="str">
        <f t="shared" si="116"/>
        <v>GetJet Airlines</v>
      </c>
      <c r="O681" s="3" t="s">
        <v>1385</v>
      </c>
      <c r="P681" s="20">
        <f t="shared" si="117"/>
        <v>12</v>
      </c>
      <c r="Q681" s="3" t="s">
        <v>1385</v>
      </c>
      <c r="R681" s="23" t="str">
        <f t="shared" si="118"/>
        <v>Sunday</v>
      </c>
      <c r="S681" s="3" t="s">
        <v>1385</v>
      </c>
      <c r="T681" s="23" t="s">
        <v>124</v>
      </c>
      <c r="U681" s="3" t="s">
        <v>1385</v>
      </c>
      <c r="AO681" s="15"/>
      <c r="AP681" s="15"/>
      <c r="AQ681" s="15"/>
      <c r="AR681" s="23"/>
      <c r="AS681" s="15"/>
      <c r="AT681" s="15"/>
      <c r="AU681" s="23"/>
      <c r="AV681" s="23"/>
    </row>
    <row r="682" spans="1:48" x14ac:dyDescent="0.25">
      <c r="A682" t="s">
        <v>133</v>
      </c>
      <c r="B682" t="s">
        <v>7</v>
      </c>
      <c r="C682" s="10">
        <v>-47</v>
      </c>
      <c r="D682" t="s">
        <v>326</v>
      </c>
      <c r="E682" s="2">
        <f t="shared" si="120"/>
        <v>46215</v>
      </c>
      <c r="F682" s="3">
        <f t="shared" si="119"/>
        <v>0.57986111111111105</v>
      </c>
      <c r="G682" t="s">
        <v>135</v>
      </c>
      <c r="H682" t="s">
        <v>136</v>
      </c>
      <c r="I682" t="s">
        <v>11</v>
      </c>
      <c r="J682" s="2">
        <v>46215</v>
      </c>
      <c r="K682" s="1">
        <v>0.55902777777777779</v>
      </c>
      <c r="L682" s="10">
        <f t="shared" si="115"/>
        <v>-29.999999999999893</v>
      </c>
      <c r="M682" s="1" t="str">
        <f t="shared" si="121"/>
        <v>Delayed</v>
      </c>
      <c r="N682" s="27" t="str">
        <f t="shared" si="116"/>
        <v>airBaltic</v>
      </c>
      <c r="O682" s="3" t="s">
        <v>1318</v>
      </c>
      <c r="P682" s="20">
        <f t="shared" si="117"/>
        <v>13</v>
      </c>
      <c r="Q682" s="3" t="s">
        <v>1318</v>
      </c>
      <c r="R682" s="23" t="str">
        <f t="shared" si="118"/>
        <v>Sunday</v>
      </c>
      <c r="S682" s="3" t="s">
        <v>1318</v>
      </c>
      <c r="T682" s="23" t="s">
        <v>7</v>
      </c>
      <c r="U682" s="3" t="s">
        <v>1318</v>
      </c>
      <c r="AO682" s="15"/>
      <c r="AP682" s="15"/>
      <c r="AQ682" s="15"/>
      <c r="AR682" s="23"/>
      <c r="AS682" s="15"/>
      <c r="AT682" s="15"/>
      <c r="AU682" s="23"/>
      <c r="AV682" s="23"/>
    </row>
    <row r="683" spans="1:48" x14ac:dyDescent="0.25">
      <c r="A683" t="s">
        <v>123</v>
      </c>
      <c r="B683" t="s">
        <v>124</v>
      </c>
      <c r="D683" t="s">
        <v>435</v>
      </c>
      <c r="E683" s="2">
        <f t="shared" si="120"/>
        <v>46215</v>
      </c>
      <c r="F683" s="3">
        <f t="shared" si="119"/>
        <v>0.5444444444444444</v>
      </c>
      <c r="G683" t="s">
        <v>119</v>
      </c>
      <c r="H683" t="s">
        <v>120</v>
      </c>
      <c r="I683" t="s">
        <v>126</v>
      </c>
      <c r="J683" s="2">
        <v>46215</v>
      </c>
      <c r="K683" s="1">
        <v>0.5625</v>
      </c>
      <c r="L683" s="10">
        <f t="shared" si="115"/>
        <v>26.000000000000068</v>
      </c>
      <c r="M683" s="1" t="str">
        <f t="shared" si="121"/>
        <v>On Time</v>
      </c>
      <c r="N683" s="27" t="str">
        <f t="shared" si="116"/>
        <v>GetJet Airlines</v>
      </c>
      <c r="O683" s="3" t="s">
        <v>1385</v>
      </c>
      <c r="P683" s="20">
        <f t="shared" si="117"/>
        <v>13</v>
      </c>
      <c r="Q683" s="3" t="s">
        <v>1385</v>
      </c>
      <c r="R683" s="23" t="str">
        <f t="shared" si="118"/>
        <v>Sunday</v>
      </c>
      <c r="S683" s="3" t="s">
        <v>1385</v>
      </c>
      <c r="T683" s="23" t="s">
        <v>124</v>
      </c>
      <c r="U683" s="3" t="s">
        <v>1385</v>
      </c>
      <c r="AO683" s="15"/>
      <c r="AP683" s="15"/>
      <c r="AQ683" s="15"/>
      <c r="AR683" s="23"/>
      <c r="AS683" s="15"/>
      <c r="AT683" s="15"/>
      <c r="AU683" s="23"/>
      <c r="AV683" s="23"/>
    </row>
    <row r="684" spans="1:48" x14ac:dyDescent="0.25">
      <c r="A684" t="s">
        <v>141</v>
      </c>
      <c r="B684" t="s">
        <v>19</v>
      </c>
      <c r="C684" s="10">
        <v>-22</v>
      </c>
      <c r="D684" t="s">
        <v>595</v>
      </c>
      <c r="E684" s="2">
        <f t="shared" si="120"/>
        <v>46215</v>
      </c>
      <c r="F684" s="3">
        <f t="shared" si="119"/>
        <v>0.57847222222222217</v>
      </c>
      <c r="G684" t="s">
        <v>21</v>
      </c>
      <c r="H684" t="s">
        <v>22</v>
      </c>
      <c r="I684" t="s">
        <v>143</v>
      </c>
      <c r="J684" s="2">
        <v>46215</v>
      </c>
      <c r="K684" s="1">
        <v>0.57638888888888895</v>
      </c>
      <c r="L684" s="10">
        <f t="shared" si="115"/>
        <v>-2.9999999999998295</v>
      </c>
      <c r="M684" s="1" t="str">
        <f t="shared" si="121"/>
        <v>On Time</v>
      </c>
      <c r="N684" s="27" t="str">
        <f t="shared" si="116"/>
        <v>LOT</v>
      </c>
      <c r="O684" s="3" t="s">
        <v>1385</v>
      </c>
      <c r="P684" s="20">
        <f t="shared" si="117"/>
        <v>13</v>
      </c>
      <c r="Q684" s="3" t="s">
        <v>1385</v>
      </c>
      <c r="R684" s="23" t="str">
        <f t="shared" si="118"/>
        <v>Sunday</v>
      </c>
      <c r="S684" s="3" t="s">
        <v>1385</v>
      </c>
      <c r="T684" s="23" t="s">
        <v>19</v>
      </c>
      <c r="U684" s="3" t="s">
        <v>1385</v>
      </c>
      <c r="AO684" s="15"/>
      <c r="AP684" s="15"/>
      <c r="AQ684" s="15"/>
      <c r="AR684" s="23"/>
      <c r="AS684" s="15"/>
      <c r="AT684" s="15"/>
      <c r="AU684" s="23"/>
      <c r="AV684" s="23"/>
    </row>
    <row r="685" spans="1:48" x14ac:dyDescent="0.25">
      <c r="A685" t="s">
        <v>327</v>
      </c>
      <c r="B685" t="s">
        <v>13</v>
      </c>
      <c r="C685" s="10">
        <v>-7</v>
      </c>
      <c r="D685" t="s">
        <v>827</v>
      </c>
      <c r="E685" s="2">
        <f t="shared" si="120"/>
        <v>46215</v>
      </c>
      <c r="F685" s="3">
        <f t="shared" si="119"/>
        <v>0.58402777777777781</v>
      </c>
      <c r="G685" t="s">
        <v>329</v>
      </c>
      <c r="H685" t="s">
        <v>330</v>
      </c>
      <c r="I685" t="s">
        <v>17</v>
      </c>
      <c r="J685" s="2">
        <v>46215</v>
      </c>
      <c r="K685" s="1">
        <v>0.59027777777777779</v>
      </c>
      <c r="L685" s="10">
        <f t="shared" si="115"/>
        <v>8.999999999999968</v>
      </c>
      <c r="M685" s="1" t="str">
        <f t="shared" si="121"/>
        <v>On Time</v>
      </c>
      <c r="N685" s="27" t="str">
        <f t="shared" si="116"/>
        <v>Wizz Air</v>
      </c>
      <c r="O685" s="3" t="s">
        <v>1385</v>
      </c>
      <c r="P685" s="20">
        <f t="shared" si="117"/>
        <v>14</v>
      </c>
      <c r="Q685" s="3" t="s">
        <v>1385</v>
      </c>
      <c r="R685" s="23" t="str">
        <f t="shared" si="118"/>
        <v>Sunday</v>
      </c>
      <c r="S685" s="3" t="s">
        <v>1385</v>
      </c>
      <c r="T685" s="23" t="s">
        <v>13</v>
      </c>
      <c r="U685" s="3" t="s">
        <v>1385</v>
      </c>
      <c r="AO685" s="15"/>
      <c r="AP685" s="15"/>
      <c r="AQ685" s="15"/>
      <c r="AR685" s="23"/>
      <c r="AS685" s="15"/>
      <c r="AT685" s="15"/>
      <c r="AU685" s="23"/>
      <c r="AV685" s="23"/>
    </row>
    <row r="686" spans="1:48" x14ac:dyDescent="0.25">
      <c r="A686" t="s">
        <v>512</v>
      </c>
      <c r="B686" t="s">
        <v>513</v>
      </c>
      <c r="C686" s="10">
        <v>-35</v>
      </c>
      <c r="D686" t="s">
        <v>774</v>
      </c>
      <c r="E686" s="2">
        <f t="shared" si="120"/>
        <v>46215</v>
      </c>
      <c r="F686" s="3">
        <f t="shared" si="119"/>
        <v>0.64652777777777781</v>
      </c>
      <c r="G686" t="s">
        <v>65</v>
      </c>
      <c r="H686" t="s">
        <v>66</v>
      </c>
      <c r="I686" t="s">
        <v>276</v>
      </c>
      <c r="J686" s="2">
        <v>46215</v>
      </c>
      <c r="K686" s="1">
        <v>0.63194444444444442</v>
      </c>
      <c r="L686" s="10">
        <f t="shared" si="115"/>
        <v>-21.000000000000085</v>
      </c>
      <c r="M686" s="1" t="str">
        <f t="shared" si="121"/>
        <v>Delayed</v>
      </c>
      <c r="N686" s="27" t="e">
        <f t="shared" si="116"/>
        <v>#N/A</v>
      </c>
      <c r="O686" s="3" t="s">
        <v>1318</v>
      </c>
      <c r="P686" s="20">
        <f t="shared" si="117"/>
        <v>15</v>
      </c>
      <c r="Q686" s="3" t="s">
        <v>1318</v>
      </c>
      <c r="R686" s="23" t="str">
        <f t="shared" si="118"/>
        <v>Sunday</v>
      </c>
      <c r="S686" s="3" t="s">
        <v>1318</v>
      </c>
      <c r="T686" s="23" t="s">
        <v>513</v>
      </c>
      <c r="U686" s="3" t="s">
        <v>1318</v>
      </c>
      <c r="AO686" s="15"/>
      <c r="AP686" s="15"/>
      <c r="AQ686" s="15"/>
      <c r="AR686" s="23"/>
      <c r="AS686" s="15"/>
      <c r="AT686" s="15"/>
      <c r="AU686" s="23"/>
      <c r="AV686" s="23"/>
    </row>
    <row r="687" spans="1:48" x14ac:dyDescent="0.25">
      <c r="A687" t="s">
        <v>148</v>
      </c>
      <c r="B687" t="s">
        <v>7</v>
      </c>
      <c r="C687" s="10">
        <v>-14</v>
      </c>
      <c r="D687" t="s">
        <v>443</v>
      </c>
      <c r="E687" s="2">
        <f t="shared" si="120"/>
        <v>46215</v>
      </c>
      <c r="F687" s="3">
        <f t="shared" si="119"/>
        <v>0.63472222222222219</v>
      </c>
      <c r="G687" t="s">
        <v>9</v>
      </c>
      <c r="H687" t="s">
        <v>10</v>
      </c>
      <c r="I687" t="s">
        <v>11</v>
      </c>
      <c r="J687" s="2">
        <v>46215</v>
      </c>
      <c r="K687" s="1">
        <v>0.63541666666666663</v>
      </c>
      <c r="L687" s="10">
        <f t="shared" si="115"/>
        <v>0.99999999999999645</v>
      </c>
      <c r="M687" s="1" t="str">
        <f t="shared" si="121"/>
        <v>On Time</v>
      </c>
      <c r="N687" s="27" t="str">
        <f t="shared" si="116"/>
        <v>airBaltic</v>
      </c>
      <c r="O687" s="3" t="s">
        <v>1385</v>
      </c>
      <c r="P687" s="20">
        <f t="shared" si="117"/>
        <v>15</v>
      </c>
      <c r="Q687" s="3" t="s">
        <v>1385</v>
      </c>
      <c r="R687" s="23" t="str">
        <f t="shared" si="118"/>
        <v>Sunday</v>
      </c>
      <c r="S687" s="3" t="s">
        <v>1385</v>
      </c>
      <c r="T687" s="23" t="s">
        <v>7</v>
      </c>
      <c r="U687" s="3" t="s">
        <v>1385</v>
      </c>
      <c r="AO687" s="15"/>
      <c r="AP687" s="15"/>
      <c r="AQ687" s="15"/>
      <c r="AR687" s="23"/>
      <c r="AS687" s="15"/>
      <c r="AT687" s="15"/>
      <c r="AU687" s="23"/>
      <c r="AV687" s="23"/>
    </row>
    <row r="688" spans="1:48" x14ac:dyDescent="0.25">
      <c r="A688" t="s">
        <v>156</v>
      </c>
      <c r="B688" t="s">
        <v>41</v>
      </c>
      <c r="C688" s="10">
        <v>-32</v>
      </c>
      <c r="D688" t="s">
        <v>902</v>
      </c>
      <c r="E688" s="2">
        <f t="shared" si="120"/>
        <v>46215</v>
      </c>
      <c r="F688" s="3">
        <f t="shared" si="119"/>
        <v>0.64861111111111114</v>
      </c>
      <c r="G688" t="s">
        <v>43</v>
      </c>
      <c r="H688" t="s">
        <v>44</v>
      </c>
      <c r="I688" t="s">
        <v>158</v>
      </c>
      <c r="J688" s="2">
        <v>46215</v>
      </c>
      <c r="K688" s="1">
        <v>0.63541666666666663</v>
      </c>
      <c r="L688" s="10">
        <f t="shared" si="115"/>
        <v>-19.000000000000092</v>
      </c>
      <c r="M688" s="1" t="str">
        <f t="shared" si="121"/>
        <v>Delayed</v>
      </c>
      <c r="N688" s="27" t="str">
        <f t="shared" si="116"/>
        <v>SAS</v>
      </c>
      <c r="O688" s="3" t="s">
        <v>1318</v>
      </c>
      <c r="P688" s="20">
        <f t="shared" si="117"/>
        <v>15</v>
      </c>
      <c r="Q688" s="3" t="s">
        <v>1318</v>
      </c>
      <c r="R688" s="23" t="str">
        <f t="shared" si="118"/>
        <v>Sunday</v>
      </c>
      <c r="S688" s="3" t="s">
        <v>1318</v>
      </c>
      <c r="T688" s="23" t="s">
        <v>41</v>
      </c>
      <c r="U688" s="3" t="s">
        <v>1318</v>
      </c>
      <c r="AO688" s="15"/>
      <c r="AP688" s="15"/>
      <c r="AQ688" s="15"/>
      <c r="AR688" s="23"/>
      <c r="AS688" s="15"/>
      <c r="AT688" s="15"/>
      <c r="AU688" s="23"/>
      <c r="AV688" s="23"/>
    </row>
    <row r="689" spans="1:48" x14ac:dyDescent="0.25">
      <c r="A689" t="s">
        <v>159</v>
      </c>
      <c r="B689" t="s">
        <v>85</v>
      </c>
      <c r="C689" s="10">
        <v>-11</v>
      </c>
      <c r="D689" t="s">
        <v>903</v>
      </c>
      <c r="E689" s="2">
        <f t="shared" si="120"/>
        <v>46215</v>
      </c>
      <c r="F689" s="3">
        <f t="shared" si="119"/>
        <v>0.66180555555555554</v>
      </c>
      <c r="G689" t="s">
        <v>34</v>
      </c>
      <c r="H689" t="s">
        <v>161</v>
      </c>
      <c r="I689" t="s">
        <v>89</v>
      </c>
      <c r="J689" s="2">
        <v>46215</v>
      </c>
      <c r="K689" s="1">
        <v>0.66666666666666663</v>
      </c>
      <c r="L689" s="10">
        <f t="shared" si="115"/>
        <v>6.9999999999999751</v>
      </c>
      <c r="M689" s="1" t="str">
        <f t="shared" si="121"/>
        <v>On Time</v>
      </c>
      <c r="N689" s="27" t="str">
        <f t="shared" si="116"/>
        <v>Ryanair</v>
      </c>
      <c r="O689" s="3" t="s">
        <v>1385</v>
      </c>
      <c r="P689" s="20">
        <f t="shared" si="117"/>
        <v>15</v>
      </c>
      <c r="Q689" s="3" t="s">
        <v>1385</v>
      </c>
      <c r="R689" s="23" t="str">
        <f t="shared" si="118"/>
        <v>Sunday</v>
      </c>
      <c r="S689" s="3" t="s">
        <v>1385</v>
      </c>
      <c r="T689" s="23" t="s">
        <v>85</v>
      </c>
      <c r="U689" s="3" t="s">
        <v>1385</v>
      </c>
      <c r="AO689" s="15"/>
      <c r="AP689" s="15"/>
      <c r="AQ689" s="15"/>
      <c r="AR689" s="23"/>
      <c r="AS689" s="15"/>
      <c r="AT689" s="15"/>
      <c r="AU689" s="23"/>
      <c r="AV689" s="23"/>
    </row>
    <row r="690" spans="1:48" x14ac:dyDescent="0.25">
      <c r="A690" t="s">
        <v>175</v>
      </c>
      <c r="B690" t="s">
        <v>19</v>
      </c>
      <c r="C690" s="10">
        <v>-14</v>
      </c>
      <c r="D690" t="s">
        <v>904</v>
      </c>
      <c r="E690" s="2">
        <f t="shared" si="120"/>
        <v>46215</v>
      </c>
      <c r="F690" s="3">
        <f t="shared" si="119"/>
        <v>0.6743055555555556</v>
      </c>
      <c r="G690" t="s">
        <v>21</v>
      </c>
      <c r="H690" t="s">
        <v>22</v>
      </c>
      <c r="I690" t="s">
        <v>836</v>
      </c>
      <c r="J690" s="2">
        <v>46215</v>
      </c>
      <c r="K690" s="1">
        <v>0.68055555555555547</v>
      </c>
      <c r="L690" s="10">
        <f t="shared" si="115"/>
        <v>8.9999999999998082</v>
      </c>
      <c r="M690" s="1" t="str">
        <f t="shared" si="121"/>
        <v>On Time</v>
      </c>
      <c r="N690" s="27" t="str">
        <f t="shared" si="116"/>
        <v>LOT</v>
      </c>
      <c r="O690" s="3" t="s">
        <v>1385</v>
      </c>
      <c r="P690" s="20">
        <f t="shared" si="117"/>
        <v>16</v>
      </c>
      <c r="Q690" s="3" t="s">
        <v>1385</v>
      </c>
      <c r="R690" s="23" t="str">
        <f t="shared" si="118"/>
        <v>Sunday</v>
      </c>
      <c r="S690" s="3" t="s">
        <v>1385</v>
      </c>
      <c r="T690" s="23" t="s">
        <v>19</v>
      </c>
      <c r="U690" s="3" t="s">
        <v>1385</v>
      </c>
      <c r="AO690" s="15"/>
      <c r="AP690" s="15"/>
      <c r="AQ690" s="15"/>
      <c r="AR690" s="23"/>
      <c r="AS690" s="15"/>
      <c r="AT690" s="15"/>
      <c r="AU690" s="23"/>
      <c r="AV690" s="23"/>
    </row>
    <row r="691" spans="1:48" x14ac:dyDescent="0.25">
      <c r="A691" t="s">
        <v>178</v>
      </c>
      <c r="B691" t="s">
        <v>85</v>
      </c>
      <c r="C691" s="10">
        <v>-10</v>
      </c>
      <c r="D691" t="s">
        <v>905</v>
      </c>
      <c r="E691" s="2">
        <f t="shared" si="120"/>
        <v>46215</v>
      </c>
      <c r="F691" s="3">
        <f t="shared" si="119"/>
        <v>0.68611111111111101</v>
      </c>
      <c r="G691" t="s">
        <v>180</v>
      </c>
      <c r="H691" t="s">
        <v>181</v>
      </c>
      <c r="I691" t="s">
        <v>89</v>
      </c>
      <c r="J691" s="2">
        <v>46215</v>
      </c>
      <c r="K691" s="1">
        <v>0.69444444444444453</v>
      </c>
      <c r="L691" s="10">
        <f t="shared" si="115"/>
        <v>12.000000000000277</v>
      </c>
      <c r="M691" s="1" t="str">
        <f t="shared" si="121"/>
        <v>On Time</v>
      </c>
      <c r="N691" s="27" t="str">
        <f t="shared" si="116"/>
        <v>Ryanair</v>
      </c>
      <c r="O691" s="3" t="s">
        <v>1385</v>
      </c>
      <c r="P691" s="20">
        <f t="shared" si="117"/>
        <v>16</v>
      </c>
      <c r="Q691" s="3" t="s">
        <v>1385</v>
      </c>
      <c r="R691" s="23" t="str">
        <f t="shared" si="118"/>
        <v>Sunday</v>
      </c>
      <c r="S691" s="3" t="s">
        <v>1385</v>
      </c>
      <c r="T691" s="23" t="s">
        <v>85</v>
      </c>
      <c r="U691" s="3" t="s">
        <v>1385</v>
      </c>
      <c r="AO691" s="15"/>
      <c r="AP691" s="15"/>
      <c r="AQ691" s="15"/>
      <c r="AR691" s="23"/>
      <c r="AS691" s="15"/>
      <c r="AT691" s="15"/>
      <c r="AU691" s="23"/>
      <c r="AV691" s="23"/>
    </row>
    <row r="692" spans="1:48" x14ac:dyDescent="0.25">
      <c r="A692" t="s">
        <v>519</v>
      </c>
      <c r="B692" t="s">
        <v>85</v>
      </c>
      <c r="C692" s="10">
        <v>0</v>
      </c>
      <c r="D692" t="s">
        <v>517</v>
      </c>
      <c r="E692" s="2">
        <f t="shared" si="120"/>
        <v>46215</v>
      </c>
      <c r="F692" s="3">
        <f t="shared" si="119"/>
        <v>0.68819444444444444</v>
      </c>
      <c r="G692" t="s">
        <v>110</v>
      </c>
      <c r="H692" t="s">
        <v>521</v>
      </c>
      <c r="I692" t="s">
        <v>89</v>
      </c>
      <c r="J692" s="2">
        <v>46215</v>
      </c>
      <c r="K692" s="1">
        <v>0.70138888888888884</v>
      </c>
      <c r="L692" s="10">
        <f t="shared" si="115"/>
        <v>18.999999999999932</v>
      </c>
      <c r="M692" s="1" t="str">
        <f t="shared" si="121"/>
        <v>On Time</v>
      </c>
      <c r="N692" s="27" t="str">
        <f t="shared" si="116"/>
        <v>Ryanair</v>
      </c>
      <c r="O692" s="3" t="s">
        <v>1385</v>
      </c>
      <c r="P692" s="20">
        <f t="shared" si="117"/>
        <v>16</v>
      </c>
      <c r="Q692" s="3" t="s">
        <v>1385</v>
      </c>
      <c r="R692" s="23" t="str">
        <f t="shared" si="118"/>
        <v>Sunday</v>
      </c>
      <c r="S692" s="3" t="s">
        <v>1385</v>
      </c>
      <c r="T692" s="23" t="s">
        <v>85</v>
      </c>
      <c r="U692" s="3" t="s">
        <v>1385</v>
      </c>
      <c r="AO692" s="15"/>
      <c r="AP692" s="15"/>
      <c r="AQ692" s="15"/>
      <c r="AR692" s="23"/>
      <c r="AS692" s="15"/>
      <c r="AT692" s="15"/>
      <c r="AU692" s="23"/>
      <c r="AV692" s="23"/>
    </row>
    <row r="693" spans="1:48" x14ac:dyDescent="0.25">
      <c r="A693" t="s">
        <v>167</v>
      </c>
      <c r="B693" t="s">
        <v>7</v>
      </c>
      <c r="C693" s="10">
        <v>-7</v>
      </c>
      <c r="D693" t="s">
        <v>448</v>
      </c>
      <c r="E693" s="2">
        <f t="shared" si="120"/>
        <v>46215</v>
      </c>
      <c r="F693" s="3">
        <f t="shared" si="119"/>
        <v>0.6958333333333333</v>
      </c>
      <c r="G693" t="s">
        <v>169</v>
      </c>
      <c r="H693" t="s">
        <v>170</v>
      </c>
      <c r="I693" t="s">
        <v>11</v>
      </c>
      <c r="J693" s="2">
        <v>46215</v>
      </c>
      <c r="K693" s="1">
        <v>0.70486111111111116</v>
      </c>
      <c r="L693" s="10">
        <f t="shared" si="115"/>
        <v>13.000000000000114</v>
      </c>
      <c r="M693" s="1" t="str">
        <f t="shared" si="121"/>
        <v>On Time</v>
      </c>
      <c r="N693" s="27" t="str">
        <f t="shared" si="116"/>
        <v>airBaltic</v>
      </c>
      <c r="O693" s="3" t="s">
        <v>1385</v>
      </c>
      <c r="P693" s="20">
        <f t="shared" si="117"/>
        <v>16</v>
      </c>
      <c r="Q693" s="3" t="s">
        <v>1385</v>
      </c>
      <c r="R693" s="23" t="str">
        <f t="shared" si="118"/>
        <v>Sunday</v>
      </c>
      <c r="S693" s="3" t="s">
        <v>1385</v>
      </c>
      <c r="T693" s="23" t="s">
        <v>7</v>
      </c>
      <c r="U693" s="3" t="s">
        <v>1385</v>
      </c>
      <c r="AO693" s="15"/>
      <c r="AP693" s="15"/>
      <c r="AQ693" s="15"/>
      <c r="AR693" s="23"/>
      <c r="AS693" s="15"/>
      <c r="AT693" s="15"/>
      <c r="AU693" s="23"/>
      <c r="AV693" s="23"/>
    </row>
    <row r="694" spans="1:48" x14ac:dyDescent="0.25">
      <c r="A694" t="s">
        <v>224</v>
      </c>
      <c r="B694" t="s">
        <v>151</v>
      </c>
      <c r="C694" s="10">
        <v>-8</v>
      </c>
      <c r="D694" t="s">
        <v>718</v>
      </c>
      <c r="E694" s="2">
        <f t="shared" si="120"/>
        <v>46215</v>
      </c>
      <c r="F694" s="3">
        <f t="shared" si="119"/>
        <v>0.7090277777777777</v>
      </c>
      <c r="G694" t="s">
        <v>226</v>
      </c>
      <c r="H694" t="s">
        <v>227</v>
      </c>
      <c r="I694" t="s">
        <v>155</v>
      </c>
      <c r="J694" s="2">
        <v>46215</v>
      </c>
      <c r="K694" s="1">
        <v>0.71180555555555547</v>
      </c>
      <c r="L694" s="10">
        <f t="shared" si="115"/>
        <v>3.9999999999999858</v>
      </c>
      <c r="M694" s="1" t="str">
        <f t="shared" si="121"/>
        <v>On Time</v>
      </c>
      <c r="N694" s="27" t="e">
        <f t="shared" si="116"/>
        <v>#N/A</v>
      </c>
      <c r="O694" s="3" t="s">
        <v>1385</v>
      </c>
      <c r="P694" s="20">
        <f t="shared" si="117"/>
        <v>17</v>
      </c>
      <c r="Q694" s="3" t="s">
        <v>1385</v>
      </c>
      <c r="R694" s="23" t="str">
        <f t="shared" si="118"/>
        <v>Sunday</v>
      </c>
      <c r="S694" s="3" t="s">
        <v>1385</v>
      </c>
      <c r="T694" s="23" t="s">
        <v>151</v>
      </c>
      <c r="U694" s="3" t="s">
        <v>1385</v>
      </c>
      <c r="AO694" s="15"/>
      <c r="AP694" s="15"/>
      <c r="AQ694" s="15"/>
      <c r="AR694" s="23"/>
      <c r="AS694" s="15"/>
      <c r="AT694" s="15"/>
      <c r="AU694" s="23"/>
      <c r="AV694" s="23"/>
    </row>
    <row r="695" spans="1:48" x14ac:dyDescent="0.25">
      <c r="A695" t="s">
        <v>123</v>
      </c>
      <c r="B695" t="s">
        <v>123</v>
      </c>
      <c r="D695" t="s">
        <v>522</v>
      </c>
      <c r="E695" s="2">
        <f t="shared" si="120"/>
        <v>46215</v>
      </c>
      <c r="F695" s="3">
        <f t="shared" si="119"/>
        <v>0.72361111111111109</v>
      </c>
      <c r="G695" t="s">
        <v>299</v>
      </c>
      <c r="H695" t="s">
        <v>300</v>
      </c>
      <c r="I695" t="s">
        <v>301</v>
      </c>
      <c r="J695" s="2">
        <v>46215</v>
      </c>
      <c r="K695" s="1">
        <v>0.71597222222222223</v>
      </c>
      <c r="L695" s="10">
        <f t="shared" si="115"/>
        <v>-10.999999999999961</v>
      </c>
      <c r="M695" s="1" t="str">
        <f t="shared" si="121"/>
        <v>On Time</v>
      </c>
      <c r="N695" s="27" t="e">
        <f t="shared" si="116"/>
        <v>#N/A</v>
      </c>
      <c r="O695" s="3" t="s">
        <v>1385</v>
      </c>
      <c r="P695" s="20">
        <f t="shared" si="117"/>
        <v>17</v>
      </c>
      <c r="Q695" s="3" t="s">
        <v>1385</v>
      </c>
      <c r="R695" s="23" t="str">
        <f t="shared" si="118"/>
        <v>Sunday</v>
      </c>
      <c r="S695" s="3" t="s">
        <v>1385</v>
      </c>
      <c r="T695" s="23" t="s">
        <v>123</v>
      </c>
      <c r="U695" s="3" t="s">
        <v>1385</v>
      </c>
      <c r="AO695" s="15"/>
      <c r="AP695" s="15"/>
      <c r="AQ695" s="15"/>
      <c r="AR695" s="23"/>
      <c r="AS695" s="15"/>
      <c r="AT695" s="15"/>
      <c r="AU695" s="23"/>
      <c r="AV695" s="23"/>
    </row>
    <row r="696" spans="1:48" x14ac:dyDescent="0.25">
      <c r="A696" t="s">
        <v>261</v>
      </c>
      <c r="B696" t="s">
        <v>85</v>
      </c>
      <c r="C696" s="10">
        <v>-122</v>
      </c>
      <c r="D696" t="s">
        <v>608</v>
      </c>
      <c r="E696" s="2">
        <f t="shared" si="120"/>
        <v>46215</v>
      </c>
      <c r="F696" s="3">
        <f t="shared" si="119"/>
        <v>0.8041666666666667</v>
      </c>
      <c r="G696" t="s">
        <v>263</v>
      </c>
      <c r="H696" t="s">
        <v>264</v>
      </c>
      <c r="I696" t="s">
        <v>89</v>
      </c>
      <c r="J696" s="2">
        <v>46215</v>
      </c>
      <c r="K696" s="1">
        <v>0.73263888888888884</v>
      </c>
      <c r="L696" s="10">
        <f t="shared" si="115"/>
        <v>-103.00000000000011</v>
      </c>
      <c r="M696" s="1" t="str">
        <f t="shared" si="121"/>
        <v>Delayed</v>
      </c>
      <c r="N696" s="27" t="str">
        <f t="shared" si="116"/>
        <v>Ryanair</v>
      </c>
      <c r="O696" s="3" t="s">
        <v>1318</v>
      </c>
      <c r="P696" s="20">
        <f t="shared" si="117"/>
        <v>19</v>
      </c>
      <c r="Q696" s="3" t="s">
        <v>1318</v>
      </c>
      <c r="R696" s="23" t="str">
        <f t="shared" si="118"/>
        <v>Sunday</v>
      </c>
      <c r="S696" s="3" t="s">
        <v>1318</v>
      </c>
      <c r="T696" s="23" t="s">
        <v>85</v>
      </c>
      <c r="U696" s="3" t="s">
        <v>1318</v>
      </c>
      <c r="AO696" s="15"/>
      <c r="AP696" s="15"/>
      <c r="AQ696" s="15"/>
      <c r="AR696" s="23"/>
      <c r="AS696" s="15"/>
      <c r="AT696" s="15"/>
      <c r="AU696" s="23"/>
      <c r="AV696" s="23"/>
    </row>
    <row r="697" spans="1:48" x14ac:dyDescent="0.25">
      <c r="A697" t="s">
        <v>524</v>
      </c>
      <c r="B697" t="s">
        <v>96</v>
      </c>
      <c r="C697" s="10" t="e">
        <f>NA()</f>
        <v>#N/A</v>
      </c>
      <c r="D697" t="s">
        <v>242</v>
      </c>
      <c r="E697" s="2">
        <f t="shared" si="120"/>
        <v>46215</v>
      </c>
      <c r="F697" s="3" t="e">
        <f t="shared" si="119"/>
        <v>#N/A</v>
      </c>
      <c r="G697" t="s">
        <v>98</v>
      </c>
      <c r="H697" t="s">
        <v>99</v>
      </c>
      <c r="I697" t="s">
        <v>123</v>
      </c>
      <c r="J697" s="2">
        <v>46215</v>
      </c>
      <c r="K697" s="1">
        <v>0.73958333333333337</v>
      </c>
      <c r="L697" s="10" t="e">
        <f t="shared" si="115"/>
        <v>#N/A</v>
      </c>
      <c r="M697" s="1" t="e">
        <f t="shared" si="121"/>
        <v>#N/A</v>
      </c>
      <c r="N697" s="27" t="str">
        <f t="shared" si="116"/>
        <v>Turkish Airlines</v>
      </c>
      <c r="O697" s="3" t="e">
        <v>#N/A</v>
      </c>
      <c r="P697" s="20" t="e">
        <f t="shared" si="117"/>
        <v>#N/A</v>
      </c>
      <c r="Q697" s="3" t="e">
        <v>#N/A</v>
      </c>
      <c r="R697" s="23" t="str">
        <f t="shared" si="118"/>
        <v>Sunday</v>
      </c>
      <c r="S697" s="3" t="e">
        <v>#N/A</v>
      </c>
      <c r="T697" s="23" t="s">
        <v>96</v>
      </c>
      <c r="AO697" s="15"/>
      <c r="AP697" s="15"/>
      <c r="AQ697" s="15"/>
      <c r="AR697" s="23"/>
      <c r="AS697" s="15"/>
      <c r="AT697" s="15"/>
      <c r="AU697" s="23"/>
      <c r="AV697" s="23"/>
    </row>
    <row r="698" spans="1:48" x14ac:dyDescent="0.25">
      <c r="A698" t="s">
        <v>182</v>
      </c>
      <c r="B698" t="s">
        <v>69</v>
      </c>
      <c r="C698" s="10">
        <v>-19</v>
      </c>
      <c r="D698" t="s">
        <v>833</v>
      </c>
      <c r="E698" s="2">
        <f t="shared" si="120"/>
        <v>46215</v>
      </c>
      <c r="F698" s="3">
        <f t="shared" si="119"/>
        <v>0.75</v>
      </c>
      <c r="G698" t="s">
        <v>71</v>
      </c>
      <c r="H698" t="s">
        <v>72</v>
      </c>
      <c r="I698" t="s">
        <v>73</v>
      </c>
      <c r="J698" s="2">
        <v>46215</v>
      </c>
      <c r="K698" s="1">
        <v>0.74305555555555547</v>
      </c>
      <c r="L698" s="10">
        <f t="shared" si="115"/>
        <v>-10.000000000000124</v>
      </c>
      <c r="M698" s="1" t="str">
        <f t="shared" si="121"/>
        <v>On Time</v>
      </c>
      <c r="N698" s="27" t="str">
        <f t="shared" si="116"/>
        <v>Finnair</v>
      </c>
      <c r="O698" s="3" t="s">
        <v>1385</v>
      </c>
      <c r="P698" s="20">
        <f t="shared" si="117"/>
        <v>18</v>
      </c>
      <c r="Q698" s="3" t="s">
        <v>1385</v>
      </c>
      <c r="R698" s="23" t="str">
        <f t="shared" si="118"/>
        <v>Sunday</v>
      </c>
      <c r="S698" s="3" t="s">
        <v>1385</v>
      </c>
      <c r="T698" s="23" t="s">
        <v>69</v>
      </c>
      <c r="U698" s="3" t="s">
        <v>1385</v>
      </c>
      <c r="AO698" s="15"/>
      <c r="AP698" s="15"/>
      <c r="AQ698" s="15"/>
      <c r="AR698" s="23"/>
      <c r="AS698" s="15"/>
      <c r="AT698" s="15"/>
      <c r="AU698" s="23"/>
      <c r="AV698" s="23"/>
    </row>
    <row r="699" spans="1:48" x14ac:dyDescent="0.25">
      <c r="A699" t="s">
        <v>335</v>
      </c>
      <c r="B699" t="s">
        <v>7</v>
      </c>
      <c r="C699" s="10">
        <v>-64</v>
      </c>
      <c r="D699" t="s">
        <v>668</v>
      </c>
      <c r="E699" s="2">
        <f t="shared" si="120"/>
        <v>46215</v>
      </c>
      <c r="F699" s="3">
        <f t="shared" si="119"/>
        <v>0.77847222222222223</v>
      </c>
      <c r="G699" t="s">
        <v>337</v>
      </c>
      <c r="H699" t="s">
        <v>338</v>
      </c>
      <c r="I699" t="s">
        <v>11</v>
      </c>
      <c r="J699" s="2">
        <v>46215</v>
      </c>
      <c r="K699" s="1">
        <v>0.75</v>
      </c>
      <c r="L699" s="10">
        <f t="shared" si="115"/>
        <v>-41.000000000000014</v>
      </c>
      <c r="M699" s="1" t="str">
        <f t="shared" si="121"/>
        <v>Delayed</v>
      </c>
      <c r="N699" s="27" t="str">
        <f t="shared" si="116"/>
        <v>airBaltic</v>
      </c>
      <c r="O699" s="3" t="s">
        <v>1318</v>
      </c>
      <c r="P699" s="20">
        <f t="shared" si="117"/>
        <v>18</v>
      </c>
      <c r="Q699" s="3" t="s">
        <v>1318</v>
      </c>
      <c r="R699" s="23" t="str">
        <f t="shared" si="118"/>
        <v>Sunday</v>
      </c>
      <c r="S699" s="3" t="s">
        <v>1318</v>
      </c>
      <c r="T699" s="23" t="s">
        <v>7</v>
      </c>
      <c r="U699" s="3" t="s">
        <v>1318</v>
      </c>
      <c r="AO699" s="15"/>
      <c r="AP699" s="15"/>
      <c r="AQ699" s="15"/>
      <c r="AR699" s="23"/>
      <c r="AS699" s="15"/>
      <c r="AT699" s="15"/>
      <c r="AU699" s="23"/>
      <c r="AV699" s="23"/>
    </row>
    <row r="700" spans="1:48" x14ac:dyDescent="0.25">
      <c r="A700" t="s">
        <v>186</v>
      </c>
      <c r="B700" t="s">
        <v>19</v>
      </c>
      <c r="C700" s="10">
        <v>-87</v>
      </c>
      <c r="D700" t="s">
        <v>791</v>
      </c>
      <c r="E700" s="2">
        <f t="shared" si="120"/>
        <v>46215</v>
      </c>
      <c r="F700" s="3">
        <f t="shared" si="119"/>
        <v>0.81944444444444453</v>
      </c>
      <c r="G700" t="s">
        <v>21</v>
      </c>
      <c r="H700" t="s">
        <v>22</v>
      </c>
      <c r="I700" t="s">
        <v>276</v>
      </c>
      <c r="J700" s="2">
        <v>46215</v>
      </c>
      <c r="K700" s="1">
        <v>0.77430555555555547</v>
      </c>
      <c r="L700" s="10">
        <f t="shared" si="115"/>
        <v>-65.000000000000256</v>
      </c>
      <c r="M700" s="1" t="str">
        <f t="shared" si="121"/>
        <v>Delayed</v>
      </c>
      <c r="N700" s="27" t="str">
        <f t="shared" si="116"/>
        <v>LOT</v>
      </c>
      <c r="O700" s="3" t="s">
        <v>1318</v>
      </c>
      <c r="P700" s="20">
        <f t="shared" si="117"/>
        <v>19</v>
      </c>
      <c r="Q700" s="3" t="s">
        <v>1318</v>
      </c>
      <c r="R700" s="23" t="str">
        <f t="shared" si="118"/>
        <v>Sunday</v>
      </c>
      <c r="S700" s="3" t="s">
        <v>1318</v>
      </c>
      <c r="T700" s="23" t="s">
        <v>19</v>
      </c>
      <c r="U700" s="3" t="s">
        <v>1318</v>
      </c>
      <c r="AO700" s="15"/>
      <c r="AP700" s="15"/>
      <c r="AQ700" s="15"/>
      <c r="AR700" s="23"/>
      <c r="AS700" s="15"/>
      <c r="AT700" s="15"/>
      <c r="AU700" s="23"/>
      <c r="AV700" s="23"/>
    </row>
    <row r="701" spans="1:48" x14ac:dyDescent="0.25">
      <c r="A701" t="s">
        <v>215</v>
      </c>
      <c r="B701" t="s">
        <v>13</v>
      </c>
      <c r="C701" s="10">
        <v>-15</v>
      </c>
      <c r="D701" t="s">
        <v>906</v>
      </c>
      <c r="E701" s="2">
        <f t="shared" si="120"/>
        <v>46215</v>
      </c>
      <c r="F701" s="3">
        <f t="shared" si="119"/>
        <v>0.76944444444444438</v>
      </c>
      <c r="G701" t="s">
        <v>217</v>
      </c>
      <c r="H701" t="s">
        <v>218</v>
      </c>
      <c r="I701" t="s">
        <v>17</v>
      </c>
      <c r="J701" s="2">
        <v>46215</v>
      </c>
      <c r="K701" s="1">
        <v>0.77430555555555547</v>
      </c>
      <c r="L701" s="10">
        <f t="shared" si="115"/>
        <v>6.9999999999999751</v>
      </c>
      <c r="M701" s="1" t="str">
        <f t="shared" si="121"/>
        <v>On Time</v>
      </c>
      <c r="N701" s="27" t="str">
        <f t="shared" si="116"/>
        <v>Wizz Air</v>
      </c>
      <c r="O701" s="3" t="s">
        <v>1385</v>
      </c>
      <c r="P701" s="20">
        <f t="shared" si="117"/>
        <v>18</v>
      </c>
      <c r="Q701" s="3" t="s">
        <v>1385</v>
      </c>
      <c r="R701" s="23" t="str">
        <f t="shared" si="118"/>
        <v>Sunday</v>
      </c>
      <c r="S701" s="3" t="s">
        <v>1385</v>
      </c>
      <c r="T701" s="23" t="s">
        <v>13</v>
      </c>
      <c r="U701" s="3" t="s">
        <v>1385</v>
      </c>
      <c r="AO701" s="15"/>
      <c r="AP701" s="15"/>
      <c r="AQ701" s="15"/>
      <c r="AR701" s="23"/>
      <c r="AS701" s="15"/>
      <c r="AT701" s="15"/>
      <c r="AU701" s="23"/>
      <c r="AV701" s="23"/>
    </row>
    <row r="702" spans="1:48" x14ac:dyDescent="0.25">
      <c r="A702" t="s">
        <v>192</v>
      </c>
      <c r="B702" t="s">
        <v>13</v>
      </c>
      <c r="C702" s="10">
        <v>-106</v>
      </c>
      <c r="D702" t="s">
        <v>907</v>
      </c>
      <c r="E702" s="2">
        <f t="shared" si="120"/>
        <v>46215</v>
      </c>
      <c r="F702" s="3">
        <f t="shared" si="119"/>
        <v>0.78611111111111109</v>
      </c>
      <c r="G702" t="s">
        <v>194</v>
      </c>
      <c r="H702" t="s">
        <v>195</v>
      </c>
      <c r="I702" t="s">
        <v>17</v>
      </c>
      <c r="J702" s="2">
        <v>46215</v>
      </c>
      <c r="K702" s="1">
        <v>0.78472222222222221</v>
      </c>
      <c r="L702" s="10">
        <f t="shared" si="115"/>
        <v>-1.9999999999999929</v>
      </c>
      <c r="M702" s="1" t="str">
        <f t="shared" si="121"/>
        <v>On Time</v>
      </c>
      <c r="N702" s="27" t="str">
        <f t="shared" si="116"/>
        <v>Wizz Air</v>
      </c>
      <c r="O702" s="3" t="s">
        <v>1385</v>
      </c>
      <c r="P702" s="20">
        <f t="shared" si="117"/>
        <v>18</v>
      </c>
      <c r="Q702" s="3" t="s">
        <v>1385</v>
      </c>
      <c r="R702" s="23" t="str">
        <f t="shared" si="118"/>
        <v>Sunday</v>
      </c>
      <c r="S702" s="3" t="s">
        <v>1385</v>
      </c>
      <c r="T702" s="23" t="s">
        <v>13</v>
      </c>
      <c r="U702" s="3" t="s">
        <v>1385</v>
      </c>
      <c r="AO702" s="15"/>
      <c r="AP702" s="15"/>
      <c r="AQ702" s="15"/>
      <c r="AR702" s="23"/>
      <c r="AS702" s="15"/>
      <c r="AT702" s="15"/>
      <c r="AU702" s="23"/>
      <c r="AV702" s="23"/>
    </row>
    <row r="703" spans="1:48" x14ac:dyDescent="0.25">
      <c r="A703" t="s">
        <v>131</v>
      </c>
      <c r="B703" t="s">
        <v>7</v>
      </c>
      <c r="C703" s="10">
        <v>-47</v>
      </c>
      <c r="D703" t="s">
        <v>908</v>
      </c>
      <c r="E703" s="2">
        <f t="shared" si="120"/>
        <v>46215</v>
      </c>
      <c r="F703" s="3">
        <f t="shared" si="119"/>
        <v>0.80625000000000002</v>
      </c>
      <c r="G703" t="s">
        <v>38</v>
      </c>
      <c r="H703" t="s">
        <v>39</v>
      </c>
      <c r="I703" t="s">
        <v>11</v>
      </c>
      <c r="J703" s="2">
        <v>46215</v>
      </c>
      <c r="K703" s="1">
        <v>0.79513888888888884</v>
      </c>
      <c r="L703" s="10">
        <f t="shared" si="115"/>
        <v>-16.000000000000103</v>
      </c>
      <c r="M703" s="1" t="str">
        <f t="shared" si="121"/>
        <v>Delayed</v>
      </c>
      <c r="N703" s="27" t="str">
        <f t="shared" si="116"/>
        <v>airBaltic</v>
      </c>
      <c r="O703" s="3" t="s">
        <v>1318</v>
      </c>
      <c r="P703" s="20">
        <f t="shared" si="117"/>
        <v>19</v>
      </c>
      <c r="Q703" s="3" t="s">
        <v>1318</v>
      </c>
      <c r="R703" s="23" t="str">
        <f t="shared" si="118"/>
        <v>Sunday</v>
      </c>
      <c r="S703" s="3" t="s">
        <v>1318</v>
      </c>
      <c r="T703" s="23" t="s">
        <v>7</v>
      </c>
      <c r="U703" s="3" t="s">
        <v>1318</v>
      </c>
      <c r="AO703" s="15"/>
      <c r="AP703" s="15"/>
      <c r="AQ703" s="15"/>
      <c r="AR703" s="23"/>
      <c r="AS703" s="15"/>
      <c r="AT703" s="15"/>
      <c r="AU703" s="23"/>
      <c r="AV703" s="23"/>
    </row>
    <row r="704" spans="1:48" x14ac:dyDescent="0.25">
      <c r="A704" t="s">
        <v>196</v>
      </c>
      <c r="B704" t="s">
        <v>13</v>
      </c>
      <c r="C704" s="10">
        <v>2</v>
      </c>
      <c r="D704" t="s">
        <v>191</v>
      </c>
      <c r="E704" s="2">
        <f t="shared" si="120"/>
        <v>46215</v>
      </c>
      <c r="F704" s="3">
        <f t="shared" si="119"/>
        <v>0.78402777777777777</v>
      </c>
      <c r="G704" t="s">
        <v>198</v>
      </c>
      <c r="H704" t="s">
        <v>199</v>
      </c>
      <c r="I704" t="s">
        <v>17</v>
      </c>
      <c r="J704" s="2">
        <v>46215</v>
      </c>
      <c r="K704" s="1">
        <v>0.79861111111111116</v>
      </c>
      <c r="L704" s="10">
        <f t="shared" si="115"/>
        <v>21.000000000000085</v>
      </c>
      <c r="M704" s="1" t="str">
        <f t="shared" si="121"/>
        <v>On Time</v>
      </c>
      <c r="N704" s="27" t="str">
        <f t="shared" si="116"/>
        <v>Wizz Air</v>
      </c>
      <c r="O704" s="3" t="s">
        <v>1385</v>
      </c>
      <c r="P704" s="20">
        <f t="shared" si="117"/>
        <v>18</v>
      </c>
      <c r="Q704" s="3" t="s">
        <v>1385</v>
      </c>
      <c r="R704" s="23" t="str">
        <f t="shared" si="118"/>
        <v>Sunday</v>
      </c>
      <c r="S704" s="3" t="s">
        <v>1385</v>
      </c>
      <c r="T704" s="23" t="s">
        <v>13</v>
      </c>
      <c r="U704" s="3" t="s">
        <v>1385</v>
      </c>
      <c r="AO704" s="15"/>
      <c r="AP704" s="15"/>
      <c r="AQ704" s="15"/>
      <c r="AR704" s="23"/>
      <c r="AS704" s="15"/>
      <c r="AT704" s="15"/>
      <c r="AU704" s="23"/>
      <c r="AV704" s="23"/>
    </row>
    <row r="705" spans="1:48" x14ac:dyDescent="0.25">
      <c r="A705" t="s">
        <v>208</v>
      </c>
      <c r="B705" t="s">
        <v>96</v>
      </c>
      <c r="C705" s="10">
        <v>-17</v>
      </c>
      <c r="D705" t="s">
        <v>209</v>
      </c>
      <c r="E705" s="2">
        <f t="shared" si="120"/>
        <v>46215</v>
      </c>
      <c r="F705" s="3">
        <f t="shared" si="119"/>
        <v>0.79999999999999993</v>
      </c>
      <c r="G705" t="s">
        <v>98</v>
      </c>
      <c r="H705" t="s">
        <v>99</v>
      </c>
      <c r="I705" t="s">
        <v>17</v>
      </c>
      <c r="J705" s="2">
        <v>46215</v>
      </c>
      <c r="K705" s="1">
        <v>0.8125</v>
      </c>
      <c r="L705" s="10">
        <f t="shared" si="115"/>
        <v>18.000000000000096</v>
      </c>
      <c r="M705" s="1" t="str">
        <f t="shared" si="121"/>
        <v>On Time</v>
      </c>
      <c r="N705" s="27" t="str">
        <f t="shared" si="116"/>
        <v>Turkish Airlines</v>
      </c>
      <c r="O705" s="3" t="s">
        <v>1385</v>
      </c>
      <c r="P705" s="20">
        <f t="shared" si="117"/>
        <v>19</v>
      </c>
      <c r="Q705" s="3" t="s">
        <v>1385</v>
      </c>
      <c r="R705" s="23" t="str">
        <f t="shared" si="118"/>
        <v>Sunday</v>
      </c>
      <c r="S705" s="3" t="s">
        <v>1385</v>
      </c>
      <c r="T705" s="23" t="s">
        <v>96</v>
      </c>
      <c r="U705" s="3" t="s">
        <v>1385</v>
      </c>
      <c r="AO705" s="15"/>
      <c r="AP705" s="15"/>
      <c r="AQ705" s="15"/>
      <c r="AR705" s="23"/>
      <c r="AS705" s="15"/>
      <c r="AT705" s="15"/>
      <c r="AU705" s="23"/>
      <c r="AV705" s="23"/>
    </row>
    <row r="706" spans="1:48" x14ac:dyDescent="0.25">
      <c r="A706" t="s">
        <v>211</v>
      </c>
      <c r="B706" t="s">
        <v>7</v>
      </c>
      <c r="C706" s="10">
        <v>-28</v>
      </c>
      <c r="D706" t="s">
        <v>909</v>
      </c>
      <c r="E706" s="2">
        <f t="shared" si="120"/>
        <v>46215</v>
      </c>
      <c r="F706" s="3">
        <f t="shared" si="119"/>
        <v>0.83472222222222225</v>
      </c>
      <c r="G706" t="s">
        <v>135</v>
      </c>
      <c r="H706" t="s">
        <v>136</v>
      </c>
      <c r="I706" t="s">
        <v>11</v>
      </c>
      <c r="J706" s="2">
        <v>46215</v>
      </c>
      <c r="K706" s="1">
        <v>0.82638888888888884</v>
      </c>
      <c r="L706" s="10">
        <f t="shared" ref="L706:L769" si="122">IF(J706&gt;E706,(K706+1-F706)*1440,IF(J706&lt;E706,-(F706+1-K706)*1440,(K706-F706)*1440))</f>
        <v>-12.000000000000117</v>
      </c>
      <c r="M706" s="1" t="str">
        <f t="shared" si="121"/>
        <v>On Time</v>
      </c>
      <c r="N706" s="27" t="str">
        <f t="shared" ref="N706:N769" si="123">IF(COUNTIFS($B$2:$B$1553,B706,$M$2:$M$1553,"&lt;&gt;#N/A")&gt;=30,B706,NA())</f>
        <v>airBaltic</v>
      </c>
      <c r="O706" s="3" t="s">
        <v>1385</v>
      </c>
      <c r="P706" s="20">
        <f t="shared" ref="P706:P769" si="124">HOUR(F706)</f>
        <v>20</v>
      </c>
      <c r="Q706" s="3" t="s">
        <v>1385</v>
      </c>
      <c r="R706" s="23" t="str">
        <f t="shared" ref="R706:R769" si="125">TEXT(E706, "dddd")</f>
        <v>Sunday</v>
      </c>
      <c r="S706" s="3" t="s">
        <v>1385</v>
      </c>
      <c r="T706" s="23" t="s">
        <v>7</v>
      </c>
      <c r="U706" s="3" t="s">
        <v>1385</v>
      </c>
      <c r="AO706" s="15"/>
      <c r="AP706" s="15"/>
      <c r="AQ706" s="15"/>
      <c r="AR706" s="23"/>
      <c r="AS706" s="15"/>
      <c r="AT706" s="15"/>
      <c r="AU706" s="23"/>
      <c r="AV706" s="23"/>
    </row>
    <row r="707" spans="1:48" x14ac:dyDescent="0.25">
      <c r="A707" t="s">
        <v>533</v>
      </c>
      <c r="B707" t="s">
        <v>117</v>
      </c>
      <c r="D707" t="s">
        <v>735</v>
      </c>
      <c r="E707" s="2">
        <f t="shared" si="120"/>
        <v>46215</v>
      </c>
      <c r="F707" s="3">
        <f t="shared" ref="F707:F770" si="126">IF(ISNUMBER(SEARCH("Landed", D707)), TIMEVALUE(_xlfn.TEXTAFTER(D707, " ")), NA())</f>
        <v>0.83333333333333337</v>
      </c>
      <c r="G707" t="s">
        <v>308</v>
      </c>
      <c r="H707" t="s">
        <v>309</v>
      </c>
      <c r="I707" t="s">
        <v>67</v>
      </c>
      <c r="J707" s="2">
        <v>46215</v>
      </c>
      <c r="K707" s="1">
        <v>0.83888888888888891</v>
      </c>
      <c r="L707" s="10">
        <f t="shared" si="122"/>
        <v>7.9999999999999716</v>
      </c>
      <c r="M707" s="1" t="str">
        <f t="shared" si="121"/>
        <v>On Time</v>
      </c>
      <c r="N707" s="27" t="str">
        <f t="shared" si="123"/>
        <v>Heston Airlines</v>
      </c>
      <c r="O707" s="3" t="s">
        <v>1385</v>
      </c>
      <c r="P707" s="20">
        <f t="shared" si="124"/>
        <v>20</v>
      </c>
      <c r="Q707" s="3" t="s">
        <v>1385</v>
      </c>
      <c r="R707" s="23" t="str">
        <f t="shared" si="125"/>
        <v>Sunday</v>
      </c>
      <c r="S707" s="3" t="s">
        <v>1385</v>
      </c>
      <c r="T707" s="23" t="s">
        <v>117</v>
      </c>
      <c r="U707" s="3" t="s">
        <v>1385</v>
      </c>
      <c r="AO707" s="15"/>
      <c r="AP707" s="15"/>
      <c r="AQ707" s="15"/>
      <c r="AR707" s="23"/>
      <c r="AS707" s="15"/>
      <c r="AT707" s="15"/>
      <c r="AU707" s="23"/>
      <c r="AV707" s="23"/>
    </row>
    <row r="708" spans="1:48" x14ac:dyDescent="0.25">
      <c r="A708" t="s">
        <v>213</v>
      </c>
      <c r="B708" t="s">
        <v>85</v>
      </c>
      <c r="C708" s="10">
        <v>-36</v>
      </c>
      <c r="D708" t="s">
        <v>910</v>
      </c>
      <c r="E708" s="2">
        <f t="shared" si="120"/>
        <v>46215</v>
      </c>
      <c r="F708" s="3">
        <f t="shared" si="126"/>
        <v>0.85486111111111107</v>
      </c>
      <c r="G708" t="s">
        <v>102</v>
      </c>
      <c r="H708" t="s">
        <v>115</v>
      </c>
      <c r="I708" t="s">
        <v>162</v>
      </c>
      <c r="J708" s="2">
        <v>46215</v>
      </c>
      <c r="K708" s="1">
        <v>0.84722222222222221</v>
      </c>
      <c r="L708" s="10">
        <f t="shared" si="122"/>
        <v>-10.999999999999961</v>
      </c>
      <c r="M708" s="1" t="str">
        <f t="shared" si="121"/>
        <v>On Time</v>
      </c>
      <c r="N708" s="27" t="str">
        <f t="shared" si="123"/>
        <v>Ryanair</v>
      </c>
      <c r="O708" s="3" t="s">
        <v>1385</v>
      </c>
      <c r="P708" s="20">
        <f t="shared" si="124"/>
        <v>20</v>
      </c>
      <c r="Q708" s="3" t="s">
        <v>1385</v>
      </c>
      <c r="R708" s="23" t="str">
        <f t="shared" si="125"/>
        <v>Sunday</v>
      </c>
      <c r="S708" s="3" t="s">
        <v>1385</v>
      </c>
      <c r="T708" s="23" t="s">
        <v>85</v>
      </c>
      <c r="U708" s="3" t="s">
        <v>1385</v>
      </c>
      <c r="AO708" s="15"/>
      <c r="AP708" s="15"/>
      <c r="AQ708" s="15"/>
      <c r="AR708" s="23"/>
      <c r="AS708" s="15"/>
      <c r="AT708" s="15"/>
      <c r="AU708" s="23"/>
      <c r="AV708" s="23"/>
    </row>
    <row r="709" spans="1:48" x14ac:dyDescent="0.25">
      <c r="A709" t="s">
        <v>536</v>
      </c>
      <c r="B709" t="s">
        <v>239</v>
      </c>
      <c r="D709" t="s">
        <v>911</v>
      </c>
      <c r="E709" s="2">
        <f t="shared" si="120"/>
        <v>46215</v>
      </c>
      <c r="F709" s="3">
        <f t="shared" si="126"/>
        <v>0.84097222222222223</v>
      </c>
      <c r="G709" t="s">
        <v>222</v>
      </c>
      <c r="H709" t="s">
        <v>223</v>
      </c>
      <c r="I709" t="s">
        <v>83</v>
      </c>
      <c r="J709" s="2">
        <v>46215</v>
      </c>
      <c r="K709" s="1">
        <v>0.85763888888888884</v>
      </c>
      <c r="L709" s="10">
        <f t="shared" si="122"/>
        <v>23.999999999999915</v>
      </c>
      <c r="M709" s="1" t="str">
        <f t="shared" si="121"/>
        <v>On Time</v>
      </c>
      <c r="N709" s="27" t="str">
        <f t="shared" si="123"/>
        <v>Eurowings</v>
      </c>
      <c r="O709" s="3" t="s">
        <v>1385</v>
      </c>
      <c r="P709" s="20">
        <f t="shared" si="124"/>
        <v>20</v>
      </c>
      <c r="Q709" s="3" t="s">
        <v>1385</v>
      </c>
      <c r="R709" s="23" t="str">
        <f t="shared" si="125"/>
        <v>Sunday</v>
      </c>
      <c r="S709" s="3" t="s">
        <v>1385</v>
      </c>
      <c r="T709" s="23" t="s">
        <v>239</v>
      </c>
      <c r="U709" s="3" t="s">
        <v>1385</v>
      </c>
      <c r="AO709" s="15"/>
      <c r="AP709" s="15"/>
      <c r="AQ709" s="15"/>
      <c r="AR709" s="23"/>
      <c r="AS709" s="15"/>
      <c r="AT709" s="15"/>
      <c r="AU709" s="23"/>
      <c r="AV709" s="23"/>
    </row>
    <row r="710" spans="1:48" x14ac:dyDescent="0.25">
      <c r="A710" t="s">
        <v>123</v>
      </c>
      <c r="B710" t="s">
        <v>123</v>
      </c>
      <c r="D710" t="s">
        <v>912</v>
      </c>
      <c r="E710" s="2">
        <f t="shared" si="120"/>
        <v>46215</v>
      </c>
      <c r="F710" s="3">
        <f t="shared" si="126"/>
        <v>0.87638888888888899</v>
      </c>
      <c r="G710" t="s">
        <v>913</v>
      </c>
      <c r="H710" t="s">
        <v>914</v>
      </c>
      <c r="I710" t="s">
        <v>614</v>
      </c>
      <c r="J710" s="2">
        <v>46215</v>
      </c>
      <c r="K710" s="1">
        <v>0.86041666666666661</v>
      </c>
      <c r="L710" s="10">
        <f t="shared" si="122"/>
        <v>-23.000000000000238</v>
      </c>
      <c r="M710" s="1" t="str">
        <f t="shared" si="121"/>
        <v>Delayed</v>
      </c>
      <c r="N710" s="27" t="e">
        <f t="shared" si="123"/>
        <v>#N/A</v>
      </c>
      <c r="O710" s="3" t="s">
        <v>1318</v>
      </c>
      <c r="P710" s="20">
        <f t="shared" si="124"/>
        <v>21</v>
      </c>
      <c r="Q710" s="3" t="s">
        <v>1318</v>
      </c>
      <c r="R710" s="23" t="str">
        <f t="shared" si="125"/>
        <v>Sunday</v>
      </c>
      <c r="S710" s="3" t="s">
        <v>1318</v>
      </c>
      <c r="T710" s="23" t="s">
        <v>123</v>
      </c>
      <c r="U710" s="3" t="s">
        <v>1318</v>
      </c>
      <c r="AO710" s="15"/>
      <c r="AP710" s="15"/>
      <c r="AQ710" s="15"/>
      <c r="AR710" s="23"/>
      <c r="AS710" s="15"/>
      <c r="AT710" s="15"/>
      <c r="AU710" s="23"/>
      <c r="AV710" s="23"/>
    </row>
    <row r="711" spans="1:48" x14ac:dyDescent="0.25">
      <c r="A711" t="s">
        <v>123</v>
      </c>
      <c r="B711" t="s">
        <v>799</v>
      </c>
      <c r="D711" t="s">
        <v>459</v>
      </c>
      <c r="E711" s="2">
        <f t="shared" si="120"/>
        <v>46215</v>
      </c>
      <c r="F711" s="3">
        <f t="shared" si="126"/>
        <v>0.87986111111111109</v>
      </c>
      <c r="G711" t="s">
        <v>252</v>
      </c>
      <c r="H711" t="s">
        <v>915</v>
      </c>
      <c r="I711" t="s">
        <v>802</v>
      </c>
      <c r="J711" s="2">
        <v>46215</v>
      </c>
      <c r="K711" s="1">
        <v>0.87708333333333333</v>
      </c>
      <c r="L711" s="10">
        <f t="shared" si="122"/>
        <v>-3.9999999999999858</v>
      </c>
      <c r="M711" s="1" t="str">
        <f t="shared" si="121"/>
        <v>On Time</v>
      </c>
      <c r="N711" s="27" t="e">
        <f t="shared" si="123"/>
        <v>#N/A</v>
      </c>
      <c r="O711" s="3" t="s">
        <v>1385</v>
      </c>
      <c r="P711" s="20">
        <f t="shared" si="124"/>
        <v>21</v>
      </c>
      <c r="Q711" s="3" t="s">
        <v>1385</v>
      </c>
      <c r="R711" s="23" t="str">
        <f t="shared" si="125"/>
        <v>Sunday</v>
      </c>
      <c r="S711" s="3" t="s">
        <v>1385</v>
      </c>
      <c r="T711" s="23" t="s">
        <v>799</v>
      </c>
      <c r="U711" s="3" t="s">
        <v>1385</v>
      </c>
      <c r="AO711" s="15"/>
      <c r="AP711" s="15"/>
      <c r="AQ711" s="15"/>
      <c r="AR711" s="23"/>
      <c r="AS711" s="15"/>
      <c r="AT711" s="15"/>
      <c r="AU711" s="23"/>
      <c r="AV711" s="23"/>
    </row>
    <row r="712" spans="1:48" x14ac:dyDescent="0.25">
      <c r="A712" t="s">
        <v>123</v>
      </c>
      <c r="B712" t="s">
        <v>124</v>
      </c>
      <c r="D712" t="s">
        <v>916</v>
      </c>
      <c r="E712" s="2">
        <f t="shared" si="120"/>
        <v>46215</v>
      </c>
      <c r="F712" s="3">
        <f t="shared" si="126"/>
        <v>0.8666666666666667</v>
      </c>
      <c r="G712" t="s">
        <v>222</v>
      </c>
      <c r="H712" t="s">
        <v>223</v>
      </c>
      <c r="I712" t="s">
        <v>126</v>
      </c>
      <c r="J712" s="2">
        <v>46215</v>
      </c>
      <c r="K712" s="1">
        <v>0.87986111111111109</v>
      </c>
      <c r="L712" s="10">
        <f t="shared" si="122"/>
        <v>18.999999999999932</v>
      </c>
      <c r="M712" s="1" t="str">
        <f t="shared" si="121"/>
        <v>On Time</v>
      </c>
      <c r="N712" s="27" t="str">
        <f t="shared" si="123"/>
        <v>GetJet Airlines</v>
      </c>
      <c r="O712" s="3" t="s">
        <v>1385</v>
      </c>
      <c r="P712" s="20">
        <f t="shared" si="124"/>
        <v>20</v>
      </c>
      <c r="Q712" s="3" t="s">
        <v>1385</v>
      </c>
      <c r="R712" s="23" t="str">
        <f t="shared" si="125"/>
        <v>Sunday</v>
      </c>
      <c r="S712" s="3" t="s">
        <v>1385</v>
      </c>
      <c r="T712" s="23" t="s">
        <v>124</v>
      </c>
      <c r="U712" s="3" t="s">
        <v>1385</v>
      </c>
      <c r="AO712" s="15"/>
      <c r="AP712" s="15"/>
      <c r="AQ712" s="15"/>
      <c r="AR712" s="23"/>
      <c r="AS712" s="15"/>
      <c r="AT712" s="15"/>
      <c r="AU712" s="23"/>
      <c r="AV712" s="23"/>
    </row>
    <row r="713" spans="1:48" x14ac:dyDescent="0.25">
      <c r="A713" t="s">
        <v>228</v>
      </c>
      <c r="B713" t="s">
        <v>69</v>
      </c>
      <c r="C713" s="10">
        <v>-41</v>
      </c>
      <c r="D713" t="s">
        <v>800</v>
      </c>
      <c r="E713" s="2">
        <f t="shared" si="120"/>
        <v>46215</v>
      </c>
      <c r="F713" s="3">
        <f t="shared" si="126"/>
        <v>0.90138888888888891</v>
      </c>
      <c r="G713" t="s">
        <v>71</v>
      </c>
      <c r="H713" t="s">
        <v>72</v>
      </c>
      <c r="I713" t="s">
        <v>73</v>
      </c>
      <c r="J713" s="2">
        <v>46215</v>
      </c>
      <c r="K713" s="1">
        <v>0.88194444444444453</v>
      </c>
      <c r="L713" s="10">
        <f t="shared" si="122"/>
        <v>-27.999999999999901</v>
      </c>
      <c r="M713" s="1" t="str">
        <f t="shared" si="121"/>
        <v>Delayed</v>
      </c>
      <c r="N713" s="27" t="str">
        <f t="shared" si="123"/>
        <v>Finnair</v>
      </c>
      <c r="O713" s="3" t="s">
        <v>1318</v>
      </c>
      <c r="P713" s="20">
        <f t="shared" si="124"/>
        <v>21</v>
      </c>
      <c r="Q713" s="3" t="s">
        <v>1318</v>
      </c>
      <c r="R713" s="23" t="str">
        <f t="shared" si="125"/>
        <v>Sunday</v>
      </c>
      <c r="S713" s="3" t="s">
        <v>1318</v>
      </c>
      <c r="T713" s="23" t="s">
        <v>69</v>
      </c>
      <c r="U713" s="3" t="s">
        <v>1318</v>
      </c>
      <c r="AO713" s="15"/>
      <c r="AP713" s="15"/>
      <c r="AQ713" s="15"/>
      <c r="AR713" s="23"/>
      <c r="AS713" s="15"/>
      <c r="AT713" s="15"/>
      <c r="AU713" s="23"/>
      <c r="AV713" s="23"/>
    </row>
    <row r="714" spans="1:48" x14ac:dyDescent="0.25">
      <c r="A714" t="s">
        <v>230</v>
      </c>
      <c r="B714" t="s">
        <v>231</v>
      </c>
      <c r="C714" s="10">
        <v>-77</v>
      </c>
      <c r="D714" t="s">
        <v>462</v>
      </c>
      <c r="E714" s="2">
        <f t="shared" si="120"/>
        <v>46215</v>
      </c>
      <c r="F714" s="3">
        <f t="shared" si="126"/>
        <v>0.91736111111111107</v>
      </c>
      <c r="G714" t="s">
        <v>81</v>
      </c>
      <c r="H714" t="s">
        <v>82</v>
      </c>
      <c r="I714" t="s">
        <v>83</v>
      </c>
      <c r="J714" s="2">
        <v>46215</v>
      </c>
      <c r="K714" s="1">
        <v>0.88541666666666663</v>
      </c>
      <c r="L714" s="10">
        <f t="shared" si="122"/>
        <v>-46</v>
      </c>
      <c r="M714" s="1" t="str">
        <f t="shared" si="121"/>
        <v>Delayed</v>
      </c>
      <c r="N714" s="27" t="e">
        <f t="shared" si="123"/>
        <v>#N/A</v>
      </c>
      <c r="O714" s="3" t="s">
        <v>1318</v>
      </c>
      <c r="P714" s="20">
        <f t="shared" si="124"/>
        <v>22</v>
      </c>
      <c r="Q714" s="3" t="s">
        <v>1318</v>
      </c>
      <c r="R714" s="23" t="str">
        <f t="shared" si="125"/>
        <v>Sunday</v>
      </c>
      <c r="S714" s="3" t="s">
        <v>1318</v>
      </c>
      <c r="T714" s="23" t="s">
        <v>231</v>
      </c>
      <c r="U714" s="3" t="s">
        <v>1318</v>
      </c>
      <c r="AO714" s="15"/>
      <c r="AP714" s="15"/>
      <c r="AQ714" s="15"/>
      <c r="AR714" s="23"/>
      <c r="AS714" s="15"/>
      <c r="AT714" s="15"/>
      <c r="AU714" s="23"/>
      <c r="AV714" s="23"/>
    </row>
    <row r="715" spans="1:48" x14ac:dyDescent="0.25">
      <c r="A715" t="s">
        <v>540</v>
      </c>
      <c r="B715" t="s">
        <v>13</v>
      </c>
      <c r="C715" s="10">
        <v>-15</v>
      </c>
      <c r="D715" t="s">
        <v>917</v>
      </c>
      <c r="E715" s="2">
        <f t="shared" si="120"/>
        <v>46215</v>
      </c>
      <c r="F715" s="3">
        <f t="shared" si="126"/>
        <v>0.89374999999999993</v>
      </c>
      <c r="G715" t="s">
        <v>481</v>
      </c>
      <c r="H715" t="s">
        <v>482</v>
      </c>
      <c r="I715" t="s">
        <v>17</v>
      </c>
      <c r="J715" s="2">
        <v>46215</v>
      </c>
      <c r="K715" s="1">
        <v>0.89583333333333337</v>
      </c>
      <c r="L715" s="10">
        <f t="shared" si="122"/>
        <v>3.0000000000001492</v>
      </c>
      <c r="M715" s="1" t="str">
        <f t="shared" si="121"/>
        <v>On Time</v>
      </c>
      <c r="N715" s="27" t="str">
        <f t="shared" si="123"/>
        <v>Wizz Air</v>
      </c>
      <c r="O715" s="3" t="s">
        <v>1385</v>
      </c>
      <c r="P715" s="20">
        <f t="shared" si="124"/>
        <v>21</v>
      </c>
      <c r="Q715" s="3" t="s">
        <v>1385</v>
      </c>
      <c r="R715" s="23" t="str">
        <f t="shared" si="125"/>
        <v>Sunday</v>
      </c>
      <c r="S715" s="3" t="s">
        <v>1385</v>
      </c>
      <c r="T715" s="23" t="s">
        <v>13</v>
      </c>
      <c r="U715" s="3" t="s">
        <v>1385</v>
      </c>
      <c r="AO715" s="15"/>
      <c r="AP715" s="15"/>
      <c r="AQ715" s="15"/>
      <c r="AR715" s="23"/>
      <c r="AS715" s="15"/>
      <c r="AT715" s="15"/>
      <c r="AU715" s="23"/>
      <c r="AV715" s="23"/>
    </row>
    <row r="716" spans="1:48" x14ac:dyDescent="0.25">
      <c r="A716" t="s">
        <v>245</v>
      </c>
      <c r="B716" t="s">
        <v>124</v>
      </c>
      <c r="D716" t="s">
        <v>918</v>
      </c>
      <c r="E716" s="2">
        <f t="shared" si="120"/>
        <v>46215</v>
      </c>
      <c r="F716" s="3">
        <f t="shared" si="126"/>
        <v>0.91875000000000007</v>
      </c>
      <c r="G716" t="s">
        <v>247</v>
      </c>
      <c r="H716" t="s">
        <v>248</v>
      </c>
      <c r="I716" t="s">
        <v>249</v>
      </c>
      <c r="J716" s="2">
        <v>46215</v>
      </c>
      <c r="K716" s="1">
        <v>0.92361111111111116</v>
      </c>
      <c r="L716" s="10">
        <f t="shared" si="122"/>
        <v>6.9999999999999751</v>
      </c>
      <c r="M716" s="1" t="str">
        <f t="shared" si="121"/>
        <v>On Time</v>
      </c>
      <c r="N716" s="27" t="str">
        <f t="shared" si="123"/>
        <v>GetJet Airlines</v>
      </c>
      <c r="O716" s="3" t="s">
        <v>1385</v>
      </c>
      <c r="P716" s="20">
        <f t="shared" si="124"/>
        <v>22</v>
      </c>
      <c r="Q716" s="3" t="s">
        <v>1385</v>
      </c>
      <c r="R716" s="23" t="str">
        <f t="shared" si="125"/>
        <v>Sunday</v>
      </c>
      <c r="S716" s="3" t="s">
        <v>1385</v>
      </c>
      <c r="T716" s="23" t="s">
        <v>124</v>
      </c>
      <c r="U716" s="3" t="s">
        <v>1385</v>
      </c>
      <c r="AO716" s="15"/>
      <c r="AP716" s="15"/>
      <c r="AQ716" s="15"/>
      <c r="AR716" s="23"/>
      <c r="AS716" s="15"/>
      <c r="AT716" s="15"/>
      <c r="AU716" s="23"/>
      <c r="AV716" s="23"/>
    </row>
    <row r="717" spans="1:48" x14ac:dyDescent="0.25">
      <c r="A717" t="s">
        <v>233</v>
      </c>
      <c r="B717" t="s">
        <v>7</v>
      </c>
      <c r="C717" s="10">
        <v>-14</v>
      </c>
      <c r="D717" t="s">
        <v>919</v>
      </c>
      <c r="E717" s="2">
        <f t="shared" ref="E717:E780" si="127">J717</f>
        <v>46215</v>
      </c>
      <c r="F717" s="3">
        <f t="shared" si="126"/>
        <v>0.92638888888888893</v>
      </c>
      <c r="G717" t="s">
        <v>76</v>
      </c>
      <c r="H717" t="s">
        <v>77</v>
      </c>
      <c r="I717" t="s">
        <v>11</v>
      </c>
      <c r="J717" s="2">
        <v>46215</v>
      </c>
      <c r="K717" s="1">
        <v>0.93055555555555547</v>
      </c>
      <c r="L717" s="10">
        <f t="shared" si="122"/>
        <v>5.9999999999998188</v>
      </c>
      <c r="M717" s="1" t="str">
        <f t="shared" si="121"/>
        <v>On Time</v>
      </c>
      <c r="N717" s="27" t="str">
        <f t="shared" si="123"/>
        <v>airBaltic</v>
      </c>
      <c r="O717" s="3" t="s">
        <v>1385</v>
      </c>
      <c r="P717" s="20">
        <f t="shared" si="124"/>
        <v>22</v>
      </c>
      <c r="Q717" s="3" t="s">
        <v>1385</v>
      </c>
      <c r="R717" s="23" t="str">
        <f t="shared" si="125"/>
        <v>Sunday</v>
      </c>
      <c r="S717" s="3" t="s">
        <v>1385</v>
      </c>
      <c r="T717" s="23" t="s">
        <v>7</v>
      </c>
      <c r="U717" s="3" t="s">
        <v>1385</v>
      </c>
      <c r="AO717" s="15"/>
      <c r="AP717" s="15"/>
      <c r="AQ717" s="15"/>
      <c r="AR717" s="23"/>
      <c r="AS717" s="15"/>
      <c r="AT717" s="15"/>
      <c r="AU717" s="23"/>
      <c r="AV717" s="23"/>
    </row>
    <row r="718" spans="1:48" x14ac:dyDescent="0.25">
      <c r="A718" t="s">
        <v>235</v>
      </c>
      <c r="B718" t="s">
        <v>19</v>
      </c>
      <c r="C718" s="10">
        <v>-62</v>
      </c>
      <c r="D718" t="s">
        <v>920</v>
      </c>
      <c r="E718" s="2">
        <f t="shared" si="127"/>
        <v>46215</v>
      </c>
      <c r="F718" s="3">
        <f t="shared" si="126"/>
        <v>0.95833333333333337</v>
      </c>
      <c r="G718" t="s">
        <v>21</v>
      </c>
      <c r="H718" t="s">
        <v>22</v>
      </c>
      <c r="I718" t="s">
        <v>276</v>
      </c>
      <c r="J718" s="2">
        <v>46215</v>
      </c>
      <c r="K718" s="1">
        <v>0.93055555555555547</v>
      </c>
      <c r="L718" s="10">
        <f t="shared" si="122"/>
        <v>-40.000000000000178</v>
      </c>
      <c r="M718" s="1" t="str">
        <f t="shared" si="121"/>
        <v>Delayed</v>
      </c>
      <c r="N718" s="27" t="str">
        <f t="shared" si="123"/>
        <v>LOT</v>
      </c>
      <c r="O718" s="3" t="s">
        <v>1318</v>
      </c>
      <c r="P718" s="20">
        <f t="shared" si="124"/>
        <v>23</v>
      </c>
      <c r="Q718" s="3" t="s">
        <v>1318</v>
      </c>
      <c r="R718" s="23" t="str">
        <f t="shared" si="125"/>
        <v>Sunday</v>
      </c>
      <c r="S718" s="3" t="s">
        <v>1318</v>
      </c>
      <c r="T718" s="23" t="s">
        <v>19</v>
      </c>
      <c r="U718" s="3" t="s">
        <v>1318</v>
      </c>
      <c r="AO718" s="15"/>
      <c r="AP718" s="15"/>
      <c r="AQ718" s="15"/>
      <c r="AR718" s="23"/>
      <c r="AS718" s="15"/>
      <c r="AT718" s="15"/>
      <c r="AU718" s="23"/>
      <c r="AV718" s="23"/>
    </row>
    <row r="719" spans="1:48" x14ac:dyDescent="0.25">
      <c r="A719" t="s">
        <v>219</v>
      </c>
      <c r="B719" t="s">
        <v>7</v>
      </c>
      <c r="C719" s="10">
        <v>-6</v>
      </c>
      <c r="D719" t="s">
        <v>921</v>
      </c>
      <c r="E719" s="2">
        <f t="shared" si="127"/>
        <v>46215</v>
      </c>
      <c r="F719" s="3">
        <f t="shared" si="126"/>
        <v>0.94930555555555562</v>
      </c>
      <c r="G719" t="s">
        <v>9</v>
      </c>
      <c r="H719" t="s">
        <v>10</v>
      </c>
      <c r="I719" t="s">
        <v>11</v>
      </c>
      <c r="J719" s="2">
        <v>46215</v>
      </c>
      <c r="K719" s="1">
        <v>0.95138888888888884</v>
      </c>
      <c r="L719" s="10">
        <f t="shared" si="122"/>
        <v>2.9999999999998295</v>
      </c>
      <c r="M719" s="1" t="str">
        <f t="shared" si="121"/>
        <v>On Time</v>
      </c>
      <c r="N719" s="27" t="str">
        <f t="shared" si="123"/>
        <v>airBaltic</v>
      </c>
      <c r="O719" s="3" t="s">
        <v>1385</v>
      </c>
      <c r="P719" s="20">
        <f t="shared" si="124"/>
        <v>22</v>
      </c>
      <c r="Q719" s="3" t="s">
        <v>1385</v>
      </c>
      <c r="R719" s="23" t="str">
        <f t="shared" si="125"/>
        <v>Sunday</v>
      </c>
      <c r="S719" s="3" t="s">
        <v>1385</v>
      </c>
      <c r="T719" s="23" t="s">
        <v>7</v>
      </c>
      <c r="U719" s="3" t="s">
        <v>1385</v>
      </c>
      <c r="AO719" s="15"/>
      <c r="AP719" s="15"/>
      <c r="AQ719" s="15"/>
      <c r="AR719" s="23"/>
      <c r="AS719" s="15"/>
      <c r="AT719" s="15"/>
      <c r="AU719" s="23"/>
      <c r="AV719" s="23"/>
    </row>
    <row r="720" spans="1:48" x14ac:dyDescent="0.25">
      <c r="A720" t="s">
        <v>100</v>
      </c>
      <c r="B720" t="s">
        <v>85</v>
      </c>
      <c r="C720" s="10">
        <v>-37</v>
      </c>
      <c r="D720" t="s">
        <v>389</v>
      </c>
      <c r="E720" s="2">
        <f t="shared" si="127"/>
        <v>46215</v>
      </c>
      <c r="F720" s="3">
        <f t="shared" si="126"/>
        <v>0.96319444444444446</v>
      </c>
      <c r="G720" t="s">
        <v>102</v>
      </c>
      <c r="H720" t="s">
        <v>103</v>
      </c>
      <c r="I720" t="s">
        <v>89</v>
      </c>
      <c r="J720" s="2">
        <v>46215</v>
      </c>
      <c r="K720" s="1">
        <v>0.95833333333333337</v>
      </c>
      <c r="L720" s="10">
        <f t="shared" si="122"/>
        <v>-6.9999999999999751</v>
      </c>
      <c r="M720" s="1" t="str">
        <f t="shared" si="121"/>
        <v>On Time</v>
      </c>
      <c r="N720" s="27" t="str">
        <f t="shared" si="123"/>
        <v>Ryanair</v>
      </c>
      <c r="O720" s="3" t="s">
        <v>1385</v>
      </c>
      <c r="P720" s="20">
        <f t="shared" si="124"/>
        <v>23</v>
      </c>
      <c r="Q720" s="3" t="s">
        <v>1385</v>
      </c>
      <c r="R720" s="23" t="str">
        <f t="shared" si="125"/>
        <v>Sunday</v>
      </c>
      <c r="S720" s="3" t="s">
        <v>1385</v>
      </c>
      <c r="T720" s="23" t="s">
        <v>85</v>
      </c>
      <c r="U720" s="3" t="s">
        <v>1385</v>
      </c>
      <c r="AO720" s="15"/>
      <c r="AP720" s="15"/>
      <c r="AQ720" s="15"/>
      <c r="AR720" s="23"/>
      <c r="AS720" s="15"/>
      <c r="AT720" s="15"/>
      <c r="AU720" s="23"/>
      <c r="AV720" s="23"/>
    </row>
    <row r="721" spans="1:48" x14ac:dyDescent="0.25">
      <c r="A721" t="s">
        <v>258</v>
      </c>
      <c r="B721" t="s">
        <v>190</v>
      </c>
      <c r="C721" s="10">
        <v>-96</v>
      </c>
      <c r="D721" t="s">
        <v>474</v>
      </c>
      <c r="E721" s="2">
        <v>46216</v>
      </c>
      <c r="F721" s="3">
        <f t="shared" si="126"/>
        <v>2.9166666666666664E-2</v>
      </c>
      <c r="G721" t="s">
        <v>110</v>
      </c>
      <c r="H721" t="s">
        <v>111</v>
      </c>
      <c r="I721" t="s">
        <v>260</v>
      </c>
      <c r="J721" s="2">
        <v>46215</v>
      </c>
      <c r="K721" s="1">
        <v>0.97916666666666663</v>
      </c>
      <c r="L721" s="10">
        <f t="shared" si="122"/>
        <v>-71.999999999999901</v>
      </c>
      <c r="M721" s="1" t="str">
        <f t="shared" si="121"/>
        <v>Delayed</v>
      </c>
      <c r="N721" s="27" t="str">
        <f t="shared" si="123"/>
        <v>Lufthansa</v>
      </c>
      <c r="O721" s="3" t="s">
        <v>1318</v>
      </c>
      <c r="P721" s="20">
        <f t="shared" si="124"/>
        <v>0</v>
      </c>
      <c r="Q721" s="3" t="s">
        <v>1318</v>
      </c>
      <c r="R721" s="23" t="str">
        <f t="shared" si="125"/>
        <v>Monday</v>
      </c>
      <c r="S721" s="3" t="s">
        <v>1318</v>
      </c>
      <c r="T721" s="23" t="s">
        <v>190</v>
      </c>
      <c r="U721" s="3" t="s">
        <v>1318</v>
      </c>
      <c r="AO721" s="15"/>
      <c r="AP721" s="15"/>
      <c r="AQ721" s="15"/>
      <c r="AR721" s="23"/>
      <c r="AS721" s="15"/>
      <c r="AT721" s="15"/>
      <c r="AU721" s="23"/>
      <c r="AV721" s="23"/>
    </row>
    <row r="722" spans="1:48" x14ac:dyDescent="0.25">
      <c r="A722" t="s">
        <v>250</v>
      </c>
      <c r="B722" t="s">
        <v>7</v>
      </c>
      <c r="C722" s="10">
        <v>-13</v>
      </c>
      <c r="D722" t="s">
        <v>922</v>
      </c>
      <c r="E722" s="2">
        <f t="shared" si="127"/>
        <v>46215</v>
      </c>
      <c r="F722" s="3">
        <f t="shared" si="126"/>
        <v>0.98611111111111116</v>
      </c>
      <c r="G722" t="s">
        <v>252</v>
      </c>
      <c r="H722" t="s">
        <v>253</v>
      </c>
      <c r="I722" t="s">
        <v>11</v>
      </c>
      <c r="J722" s="2">
        <v>46215</v>
      </c>
      <c r="K722" s="1">
        <v>0.99652777777777779</v>
      </c>
      <c r="L722" s="10">
        <f t="shared" si="122"/>
        <v>14.999999999999947</v>
      </c>
      <c r="M722" s="1" t="str">
        <f t="shared" si="121"/>
        <v>On Time</v>
      </c>
      <c r="N722" s="27" t="str">
        <f t="shared" si="123"/>
        <v>airBaltic</v>
      </c>
      <c r="O722" s="3" t="s">
        <v>1385</v>
      </c>
      <c r="P722" s="20">
        <f t="shared" si="124"/>
        <v>23</v>
      </c>
      <c r="Q722" s="3" t="s">
        <v>1385</v>
      </c>
      <c r="R722" s="23" t="str">
        <f t="shared" si="125"/>
        <v>Sunday</v>
      </c>
      <c r="S722" s="3" t="s">
        <v>1385</v>
      </c>
      <c r="T722" s="23" t="s">
        <v>7</v>
      </c>
      <c r="U722" s="3" t="s">
        <v>1385</v>
      </c>
      <c r="AO722" s="15"/>
      <c r="AP722" s="15"/>
      <c r="AQ722" s="15"/>
      <c r="AR722" s="23"/>
      <c r="AS722" s="15"/>
      <c r="AT722" s="15"/>
      <c r="AU722" s="23"/>
      <c r="AV722" s="23"/>
    </row>
    <row r="723" spans="1:48" x14ac:dyDescent="0.25">
      <c r="A723" t="s">
        <v>6</v>
      </c>
      <c r="B723" t="s">
        <v>7</v>
      </c>
      <c r="C723" s="10">
        <v>-94</v>
      </c>
      <c r="D723" t="s">
        <v>886</v>
      </c>
      <c r="E723" s="2">
        <f t="shared" si="127"/>
        <v>46216</v>
      </c>
      <c r="F723" s="3">
        <f t="shared" si="126"/>
        <v>7.9861111111111105E-2</v>
      </c>
      <c r="G723" t="s">
        <v>9</v>
      </c>
      <c r="H723" t="s">
        <v>10</v>
      </c>
      <c r="I723" t="s">
        <v>11</v>
      </c>
      <c r="J723" s="2">
        <v>46216</v>
      </c>
      <c r="K723" s="1">
        <v>2.0833333333333332E-2</v>
      </c>
      <c r="L723" s="10">
        <f t="shared" si="122"/>
        <v>-85</v>
      </c>
      <c r="M723" s="1" t="str">
        <f t="shared" ref="M723:M786" si="128">IF(L723&gt;=-15, "On Time", "Delayed")</f>
        <v>Delayed</v>
      </c>
      <c r="N723" s="27" t="str">
        <f t="shared" si="123"/>
        <v>airBaltic</v>
      </c>
      <c r="O723" s="3" t="s">
        <v>1318</v>
      </c>
      <c r="P723" s="20">
        <f t="shared" si="124"/>
        <v>1</v>
      </c>
      <c r="Q723" s="3" t="s">
        <v>1318</v>
      </c>
      <c r="R723" s="23" t="str">
        <f t="shared" si="125"/>
        <v>Monday</v>
      </c>
      <c r="S723" s="3" t="s">
        <v>1318</v>
      </c>
      <c r="T723" s="23" t="s">
        <v>7</v>
      </c>
      <c r="U723" s="3" t="s">
        <v>1318</v>
      </c>
      <c r="AO723" s="15"/>
      <c r="AP723" s="15"/>
      <c r="AQ723" s="15"/>
      <c r="AR723" s="23"/>
      <c r="AS723" s="15"/>
      <c r="AT723" s="15"/>
      <c r="AU723" s="23"/>
      <c r="AV723" s="23"/>
    </row>
    <row r="724" spans="1:48" x14ac:dyDescent="0.25">
      <c r="A724" t="s">
        <v>12</v>
      </c>
      <c r="B724" t="s">
        <v>13</v>
      </c>
      <c r="C724" s="10">
        <v>-36</v>
      </c>
      <c r="D724" t="s">
        <v>635</v>
      </c>
      <c r="E724" s="2">
        <f t="shared" si="127"/>
        <v>46216</v>
      </c>
      <c r="F724" s="3">
        <f t="shared" si="126"/>
        <v>2.4305555555555556E-2</v>
      </c>
      <c r="G724" t="s">
        <v>15</v>
      </c>
      <c r="H724" t="s">
        <v>16</v>
      </c>
      <c r="I724" t="s">
        <v>17</v>
      </c>
      <c r="J724" s="2">
        <v>46216</v>
      </c>
      <c r="K724" s="1">
        <v>2.0833333333333332E-2</v>
      </c>
      <c r="L724" s="10">
        <f t="shared" si="122"/>
        <v>-5.0000000000000018</v>
      </c>
      <c r="M724" s="1" t="str">
        <f t="shared" si="128"/>
        <v>On Time</v>
      </c>
      <c r="N724" s="27" t="str">
        <f t="shared" si="123"/>
        <v>Wizz Air</v>
      </c>
      <c r="O724" s="3" t="s">
        <v>1385</v>
      </c>
      <c r="P724" s="20">
        <f t="shared" si="124"/>
        <v>0</v>
      </c>
      <c r="Q724" s="3" t="s">
        <v>1385</v>
      </c>
      <c r="R724" s="23" t="str">
        <f t="shared" si="125"/>
        <v>Monday</v>
      </c>
      <c r="S724" s="3" t="s">
        <v>1385</v>
      </c>
      <c r="T724" s="23" t="s">
        <v>13</v>
      </c>
      <c r="U724" s="3" t="s">
        <v>1385</v>
      </c>
      <c r="AO724" s="15"/>
      <c r="AP724" s="15"/>
      <c r="AQ724" s="15"/>
      <c r="AR724" s="23"/>
      <c r="AS724" s="15"/>
      <c r="AT724" s="15"/>
      <c r="AU724" s="23"/>
      <c r="AV724" s="23"/>
    </row>
    <row r="725" spans="1:48" x14ac:dyDescent="0.25">
      <c r="A725" t="s">
        <v>18</v>
      </c>
      <c r="B725" t="s">
        <v>19</v>
      </c>
      <c r="C725" s="10">
        <v>-42</v>
      </c>
      <c r="D725" t="s">
        <v>694</v>
      </c>
      <c r="E725" s="2">
        <f t="shared" si="127"/>
        <v>46216</v>
      </c>
      <c r="F725" s="3">
        <f t="shared" si="126"/>
        <v>4.3055555555555562E-2</v>
      </c>
      <c r="G725" t="s">
        <v>21</v>
      </c>
      <c r="H725" t="s">
        <v>22</v>
      </c>
      <c r="I725" t="s">
        <v>836</v>
      </c>
      <c r="J725" s="2">
        <v>46216</v>
      </c>
      <c r="K725" s="1">
        <v>2.7777777777777776E-2</v>
      </c>
      <c r="L725" s="10">
        <f t="shared" si="122"/>
        <v>-22.000000000000011</v>
      </c>
      <c r="M725" s="1" t="str">
        <f t="shared" si="128"/>
        <v>Delayed</v>
      </c>
      <c r="N725" s="27" t="str">
        <f t="shared" si="123"/>
        <v>LOT</v>
      </c>
      <c r="O725" s="3" t="s">
        <v>1318</v>
      </c>
      <c r="P725" s="20">
        <f t="shared" si="124"/>
        <v>1</v>
      </c>
      <c r="Q725" s="3" t="s">
        <v>1318</v>
      </c>
      <c r="R725" s="23" t="str">
        <f t="shared" si="125"/>
        <v>Monday</v>
      </c>
      <c r="S725" s="3" t="s">
        <v>1318</v>
      </c>
      <c r="T725" s="23" t="s">
        <v>19</v>
      </c>
      <c r="U725" s="3" t="s">
        <v>1318</v>
      </c>
      <c r="AO725" s="15"/>
      <c r="AP725" s="15"/>
      <c r="AQ725" s="15"/>
      <c r="AR725" s="23"/>
      <c r="AS725" s="15"/>
      <c r="AT725" s="15"/>
      <c r="AU725" s="23"/>
      <c r="AV725" s="23"/>
    </row>
    <row r="726" spans="1:48" x14ac:dyDescent="0.25">
      <c r="A726" t="s">
        <v>24</v>
      </c>
      <c r="B726" t="s">
        <v>7</v>
      </c>
      <c r="C726" s="10">
        <v>-29</v>
      </c>
      <c r="D726" t="s">
        <v>550</v>
      </c>
      <c r="E726" s="2">
        <f t="shared" si="127"/>
        <v>46216</v>
      </c>
      <c r="F726" s="3">
        <f t="shared" si="126"/>
        <v>3.8194444444444441E-2</v>
      </c>
      <c r="G726" t="s">
        <v>26</v>
      </c>
      <c r="H726" t="s">
        <v>27</v>
      </c>
      <c r="I726" t="s">
        <v>11</v>
      </c>
      <c r="J726" s="2">
        <v>46216</v>
      </c>
      <c r="K726" s="1">
        <v>3.125E-2</v>
      </c>
      <c r="L726" s="10">
        <f t="shared" si="122"/>
        <v>-9.9999999999999947</v>
      </c>
      <c r="M726" s="1" t="str">
        <f t="shared" si="128"/>
        <v>On Time</v>
      </c>
      <c r="N726" s="27" t="str">
        <f t="shared" si="123"/>
        <v>airBaltic</v>
      </c>
      <c r="O726" s="3" t="s">
        <v>1385</v>
      </c>
      <c r="P726" s="20">
        <f t="shared" si="124"/>
        <v>0</v>
      </c>
      <c r="Q726" s="3" t="s">
        <v>1385</v>
      </c>
      <c r="R726" s="23" t="str">
        <f t="shared" si="125"/>
        <v>Monday</v>
      </c>
      <c r="S726" s="3" t="s">
        <v>1385</v>
      </c>
      <c r="T726" s="23" t="s">
        <v>7</v>
      </c>
      <c r="U726" s="3" t="s">
        <v>1385</v>
      </c>
      <c r="AO726" s="15"/>
      <c r="AP726" s="15"/>
      <c r="AQ726" s="15"/>
      <c r="AR726" s="23"/>
      <c r="AS726" s="15"/>
      <c r="AT726" s="15"/>
      <c r="AU726" s="23"/>
      <c r="AV726" s="23"/>
    </row>
    <row r="727" spans="1:48" x14ac:dyDescent="0.25">
      <c r="A727" t="s">
        <v>104</v>
      </c>
      <c r="B727" t="s">
        <v>85</v>
      </c>
      <c r="C727" s="10">
        <v>-125</v>
      </c>
      <c r="D727" t="s">
        <v>923</v>
      </c>
      <c r="E727" s="2">
        <f t="shared" si="127"/>
        <v>46216</v>
      </c>
      <c r="F727" s="3">
        <f t="shared" si="126"/>
        <v>0.10972222222222222</v>
      </c>
      <c r="G727" t="s">
        <v>106</v>
      </c>
      <c r="H727" t="s">
        <v>107</v>
      </c>
      <c r="I727" t="s">
        <v>89</v>
      </c>
      <c r="J727" s="2">
        <v>46216</v>
      </c>
      <c r="K727" s="1">
        <v>4.1666666666666664E-2</v>
      </c>
      <c r="L727" s="10">
        <f t="shared" si="122"/>
        <v>-98.000000000000014</v>
      </c>
      <c r="M727" s="1" t="str">
        <f t="shared" si="128"/>
        <v>Delayed</v>
      </c>
      <c r="N727" s="27" t="str">
        <f t="shared" si="123"/>
        <v>Ryanair</v>
      </c>
      <c r="O727" s="3" t="s">
        <v>1318</v>
      </c>
      <c r="P727" s="20">
        <f t="shared" si="124"/>
        <v>2</v>
      </c>
      <c r="Q727" s="3" t="s">
        <v>1318</v>
      </c>
      <c r="R727" s="23" t="str">
        <f t="shared" si="125"/>
        <v>Monday</v>
      </c>
      <c r="S727" s="3" t="s">
        <v>1318</v>
      </c>
      <c r="T727" s="23" t="s">
        <v>85</v>
      </c>
      <c r="U727" s="3" t="s">
        <v>1318</v>
      </c>
      <c r="AO727" s="15"/>
      <c r="AP727" s="15"/>
      <c r="AQ727" s="15"/>
      <c r="AR727" s="23"/>
      <c r="AS727" s="15"/>
      <c r="AT727" s="15"/>
      <c r="AU727" s="23"/>
      <c r="AV727" s="23"/>
    </row>
    <row r="728" spans="1:48" x14ac:dyDescent="0.25">
      <c r="A728" t="s">
        <v>36</v>
      </c>
      <c r="B728" t="s">
        <v>7</v>
      </c>
      <c r="C728" s="10">
        <v>-35</v>
      </c>
      <c r="D728" t="s">
        <v>407</v>
      </c>
      <c r="E728" s="2">
        <f t="shared" si="127"/>
        <v>46216</v>
      </c>
      <c r="F728" s="3">
        <f t="shared" si="126"/>
        <v>6.5972222222222224E-2</v>
      </c>
      <c r="G728" t="s">
        <v>38</v>
      </c>
      <c r="H728" t="s">
        <v>39</v>
      </c>
      <c r="I728" t="s">
        <v>11</v>
      </c>
      <c r="J728" s="2">
        <v>46216</v>
      </c>
      <c r="K728" s="1">
        <v>5.9027777777777783E-2</v>
      </c>
      <c r="L728" s="10">
        <f t="shared" si="122"/>
        <v>-9.9999999999999947</v>
      </c>
      <c r="M728" s="1" t="str">
        <f t="shared" si="128"/>
        <v>On Time</v>
      </c>
      <c r="N728" s="27" t="str">
        <f t="shared" si="123"/>
        <v>airBaltic</v>
      </c>
      <c r="O728" s="3" t="s">
        <v>1385</v>
      </c>
      <c r="P728" s="20">
        <f t="shared" si="124"/>
        <v>1</v>
      </c>
      <c r="Q728" s="3" t="s">
        <v>1385</v>
      </c>
      <c r="R728" s="23" t="str">
        <f t="shared" si="125"/>
        <v>Monday</v>
      </c>
      <c r="S728" s="3" t="s">
        <v>1385</v>
      </c>
      <c r="T728" s="23" t="s">
        <v>7</v>
      </c>
      <c r="U728" s="3" t="s">
        <v>1385</v>
      </c>
      <c r="AO728" s="15"/>
      <c r="AP728" s="15"/>
      <c r="AQ728" s="15"/>
      <c r="AR728" s="23"/>
      <c r="AS728" s="15"/>
      <c r="AT728" s="15"/>
      <c r="AU728" s="23"/>
      <c r="AV728" s="23"/>
    </row>
    <row r="729" spans="1:48" x14ac:dyDescent="0.25">
      <c r="A729" t="s">
        <v>40</v>
      </c>
      <c r="B729" t="s">
        <v>41</v>
      </c>
      <c r="C729" s="10">
        <v>-6</v>
      </c>
      <c r="D729" t="s">
        <v>924</v>
      </c>
      <c r="E729" s="2">
        <f t="shared" si="127"/>
        <v>46216</v>
      </c>
      <c r="F729" s="3">
        <f t="shared" si="126"/>
        <v>5.347222222222222E-2</v>
      </c>
      <c r="G729" t="s">
        <v>43</v>
      </c>
      <c r="H729" t="s">
        <v>44</v>
      </c>
      <c r="I729" t="s">
        <v>158</v>
      </c>
      <c r="J729" s="2">
        <v>46216</v>
      </c>
      <c r="K729" s="1">
        <v>5.9027777777777783E-2</v>
      </c>
      <c r="L729" s="10">
        <f t="shared" si="122"/>
        <v>8.0000000000000107</v>
      </c>
      <c r="M729" s="1" t="str">
        <f t="shared" si="128"/>
        <v>On Time</v>
      </c>
      <c r="N729" s="27" t="str">
        <f t="shared" si="123"/>
        <v>SAS</v>
      </c>
      <c r="O729" s="3" t="s">
        <v>1385</v>
      </c>
      <c r="P729" s="20">
        <f t="shared" si="124"/>
        <v>1</v>
      </c>
      <c r="Q729" s="3" t="s">
        <v>1385</v>
      </c>
      <c r="R729" s="23" t="str">
        <f t="shared" si="125"/>
        <v>Monday</v>
      </c>
      <c r="S729" s="3" t="s">
        <v>1385</v>
      </c>
      <c r="T729" s="23" t="s">
        <v>41</v>
      </c>
      <c r="U729" s="3" t="s">
        <v>1385</v>
      </c>
      <c r="AO729" s="15"/>
      <c r="AP729" s="15"/>
      <c r="AQ729" s="15"/>
      <c r="AR729" s="23"/>
      <c r="AS729" s="15"/>
      <c r="AT729" s="15"/>
      <c r="AU729" s="23"/>
      <c r="AV729" s="23"/>
    </row>
    <row r="730" spans="1:48" x14ac:dyDescent="0.25">
      <c r="A730" t="s">
        <v>285</v>
      </c>
      <c r="B730" t="s">
        <v>13</v>
      </c>
      <c r="C730" s="10">
        <v>165</v>
      </c>
      <c r="D730" t="s">
        <v>887</v>
      </c>
      <c r="E730" s="2">
        <f t="shared" si="127"/>
        <v>46216</v>
      </c>
      <c r="F730" s="3">
        <f t="shared" si="126"/>
        <v>5.5555555555555552E-2</v>
      </c>
      <c r="G730" t="s">
        <v>287</v>
      </c>
      <c r="H730" t="s">
        <v>288</v>
      </c>
      <c r="I730" t="s">
        <v>17</v>
      </c>
      <c r="J730" s="2">
        <v>46216</v>
      </c>
      <c r="K730" s="1">
        <v>5.9027777777777783E-2</v>
      </c>
      <c r="L730" s="10">
        <f t="shared" si="122"/>
        <v>5.0000000000000124</v>
      </c>
      <c r="M730" s="1" t="str">
        <f t="shared" si="128"/>
        <v>On Time</v>
      </c>
      <c r="N730" s="27" t="str">
        <f t="shared" si="123"/>
        <v>Wizz Air</v>
      </c>
      <c r="O730" s="3" t="s">
        <v>1385</v>
      </c>
      <c r="P730" s="20">
        <f t="shared" si="124"/>
        <v>1</v>
      </c>
      <c r="Q730" s="3" t="s">
        <v>1385</v>
      </c>
      <c r="R730" s="23" t="str">
        <f t="shared" si="125"/>
        <v>Monday</v>
      </c>
      <c r="S730" s="3" t="s">
        <v>1385</v>
      </c>
      <c r="T730" s="23" t="s">
        <v>13</v>
      </c>
      <c r="U730" s="3" t="s">
        <v>1385</v>
      </c>
      <c r="AO730" s="15"/>
      <c r="AP730" s="15"/>
      <c r="AQ730" s="15"/>
      <c r="AR730" s="23"/>
      <c r="AS730" s="15"/>
      <c r="AT730" s="15"/>
      <c r="AU730" s="23"/>
      <c r="AV730" s="23"/>
    </row>
    <row r="731" spans="1:48" x14ac:dyDescent="0.25">
      <c r="A731" t="s">
        <v>584</v>
      </c>
      <c r="B731" t="s">
        <v>585</v>
      </c>
      <c r="C731" s="10">
        <v>-37</v>
      </c>
      <c r="D731" t="s">
        <v>925</v>
      </c>
      <c r="E731" s="2">
        <f t="shared" si="127"/>
        <v>46216</v>
      </c>
      <c r="F731" s="3">
        <f t="shared" si="126"/>
        <v>0.10416666666666667</v>
      </c>
      <c r="G731" t="s">
        <v>71</v>
      </c>
      <c r="H731" t="s">
        <v>72</v>
      </c>
      <c r="I731" t="s">
        <v>586</v>
      </c>
      <c r="J731" s="2">
        <v>46216</v>
      </c>
      <c r="K731" s="1">
        <v>7.4305555555555555E-2</v>
      </c>
      <c r="L731" s="10">
        <f t="shared" si="122"/>
        <v>-43.000000000000007</v>
      </c>
      <c r="M731" s="1" t="str">
        <f t="shared" si="128"/>
        <v>Delayed</v>
      </c>
      <c r="N731" s="27" t="e">
        <f t="shared" si="123"/>
        <v>#N/A</v>
      </c>
      <c r="O731" s="3" t="s">
        <v>1318</v>
      </c>
      <c r="P731" s="20">
        <f t="shared" si="124"/>
        <v>2</v>
      </c>
      <c r="Q731" s="3" t="s">
        <v>1318</v>
      </c>
      <c r="R731" s="23" t="str">
        <f t="shared" si="125"/>
        <v>Monday</v>
      </c>
      <c r="S731" s="3" t="s">
        <v>1318</v>
      </c>
      <c r="T731" s="23" t="s">
        <v>585</v>
      </c>
      <c r="U731" s="3" t="s">
        <v>1318</v>
      </c>
      <c r="AO731" s="15"/>
      <c r="AP731" s="15"/>
      <c r="AQ731" s="15"/>
      <c r="AR731" s="23"/>
      <c r="AS731" s="15"/>
      <c r="AT731" s="15"/>
      <c r="AU731" s="23"/>
      <c r="AV731" s="23"/>
    </row>
    <row r="732" spans="1:48" x14ac:dyDescent="0.25">
      <c r="A732" t="s">
        <v>926</v>
      </c>
      <c r="B732" t="s">
        <v>927</v>
      </c>
      <c r="C732" s="10">
        <v>-16</v>
      </c>
      <c r="D732" t="s">
        <v>928</v>
      </c>
      <c r="E732" s="2">
        <f t="shared" si="127"/>
        <v>46216</v>
      </c>
      <c r="F732" s="3">
        <f t="shared" si="126"/>
        <v>0.22916666666666666</v>
      </c>
      <c r="G732" t="s">
        <v>57</v>
      </c>
      <c r="H732" t="s">
        <v>58</v>
      </c>
      <c r="I732" t="s">
        <v>929</v>
      </c>
      <c r="J732" s="2">
        <v>46216</v>
      </c>
      <c r="K732" s="1">
        <v>0.22916666666666666</v>
      </c>
      <c r="L732" s="10">
        <f t="shared" si="122"/>
        <v>0</v>
      </c>
      <c r="M732" s="1" t="str">
        <f t="shared" si="128"/>
        <v>On Time</v>
      </c>
      <c r="N732" s="27" t="e">
        <f t="shared" si="123"/>
        <v>#N/A</v>
      </c>
      <c r="O732" s="3" t="s">
        <v>1385</v>
      </c>
      <c r="P732" s="20">
        <f t="shared" si="124"/>
        <v>5</v>
      </c>
      <c r="Q732" s="3" t="s">
        <v>1385</v>
      </c>
      <c r="R732" s="23" t="str">
        <f t="shared" si="125"/>
        <v>Monday</v>
      </c>
      <c r="S732" s="3" t="s">
        <v>1385</v>
      </c>
      <c r="T732" s="23" t="s">
        <v>927</v>
      </c>
      <c r="U732" s="3" t="s">
        <v>1385</v>
      </c>
      <c r="AO732" s="15"/>
      <c r="AP732" s="15"/>
      <c r="AQ732" s="15"/>
      <c r="AR732" s="23"/>
      <c r="AS732" s="15"/>
      <c r="AT732" s="15"/>
      <c r="AU732" s="23"/>
      <c r="AV732" s="23"/>
    </row>
    <row r="733" spans="1:48" x14ac:dyDescent="0.25">
      <c r="A733" t="s">
        <v>93</v>
      </c>
      <c r="B733" t="s">
        <v>7</v>
      </c>
      <c r="C733" s="10">
        <v>4</v>
      </c>
      <c r="D733" t="s">
        <v>930</v>
      </c>
      <c r="E733" s="2">
        <f t="shared" si="127"/>
        <v>46216</v>
      </c>
      <c r="F733" s="3">
        <f t="shared" si="126"/>
        <v>0.32777777777777778</v>
      </c>
      <c r="G733" t="s">
        <v>76</v>
      </c>
      <c r="H733" t="s">
        <v>77</v>
      </c>
      <c r="I733" t="s">
        <v>11</v>
      </c>
      <c r="J733" s="2">
        <v>46216</v>
      </c>
      <c r="K733" s="1">
        <v>0.34375</v>
      </c>
      <c r="L733" s="10">
        <f t="shared" si="122"/>
        <v>23</v>
      </c>
      <c r="M733" s="1" t="str">
        <f t="shared" si="128"/>
        <v>On Time</v>
      </c>
      <c r="N733" s="27" t="str">
        <f t="shared" si="123"/>
        <v>airBaltic</v>
      </c>
      <c r="O733" s="3" t="s">
        <v>1385</v>
      </c>
      <c r="P733" s="20">
        <f t="shared" si="124"/>
        <v>7</v>
      </c>
      <c r="Q733" s="3" t="s">
        <v>1385</v>
      </c>
      <c r="R733" s="23" t="str">
        <f t="shared" si="125"/>
        <v>Monday</v>
      </c>
      <c r="S733" s="3" t="s">
        <v>1385</v>
      </c>
      <c r="T733" s="23" t="s">
        <v>7</v>
      </c>
      <c r="U733" s="3" t="s">
        <v>1385</v>
      </c>
      <c r="AO733" s="15"/>
      <c r="AP733" s="15"/>
      <c r="AQ733" s="15"/>
      <c r="AR733" s="23"/>
      <c r="AS733" s="15"/>
      <c r="AT733" s="15"/>
      <c r="AU733" s="23"/>
      <c r="AV733" s="23"/>
    </row>
    <row r="734" spans="1:48" x14ac:dyDescent="0.25">
      <c r="A734" t="s">
        <v>60</v>
      </c>
      <c r="B734" t="s">
        <v>7</v>
      </c>
      <c r="C734" s="10">
        <v>-27</v>
      </c>
      <c r="D734" t="s">
        <v>492</v>
      </c>
      <c r="E734" s="2">
        <f t="shared" si="127"/>
        <v>46216</v>
      </c>
      <c r="F734" s="3">
        <f t="shared" si="126"/>
        <v>0.36944444444444446</v>
      </c>
      <c r="G734" t="s">
        <v>9</v>
      </c>
      <c r="H734" t="s">
        <v>10</v>
      </c>
      <c r="I734" t="s">
        <v>11</v>
      </c>
      <c r="J734" s="2">
        <v>46216</v>
      </c>
      <c r="K734" s="1">
        <v>0.3611111111111111</v>
      </c>
      <c r="L734" s="10">
        <f t="shared" si="122"/>
        <v>-12.000000000000037</v>
      </c>
      <c r="M734" s="1" t="str">
        <f t="shared" si="128"/>
        <v>On Time</v>
      </c>
      <c r="N734" s="27" t="str">
        <f t="shared" si="123"/>
        <v>airBaltic</v>
      </c>
      <c r="O734" s="3" t="s">
        <v>1385</v>
      </c>
      <c r="P734" s="20">
        <f t="shared" si="124"/>
        <v>8</v>
      </c>
      <c r="Q734" s="3" t="s">
        <v>1385</v>
      </c>
      <c r="R734" s="23" t="str">
        <f t="shared" si="125"/>
        <v>Monday</v>
      </c>
      <c r="S734" s="3" t="s">
        <v>1385</v>
      </c>
      <c r="T734" s="23" t="s">
        <v>7</v>
      </c>
      <c r="U734" s="3" t="s">
        <v>1385</v>
      </c>
      <c r="AO734" s="15"/>
      <c r="AP734" s="15"/>
      <c r="AQ734" s="15"/>
      <c r="AR734" s="23"/>
      <c r="AS734" s="15"/>
      <c r="AT734" s="15"/>
      <c r="AU734" s="23"/>
      <c r="AV734" s="23"/>
    </row>
    <row r="735" spans="1:48" x14ac:dyDescent="0.25">
      <c r="A735" t="s">
        <v>84</v>
      </c>
      <c r="B735" t="s">
        <v>85</v>
      </c>
      <c r="C735" s="10">
        <v>0</v>
      </c>
      <c r="D735" t="s">
        <v>931</v>
      </c>
      <c r="E735" s="2">
        <f t="shared" si="127"/>
        <v>46216</v>
      </c>
      <c r="F735" s="3">
        <f t="shared" si="126"/>
        <v>0.3520833333333333</v>
      </c>
      <c r="G735" t="s">
        <v>87</v>
      </c>
      <c r="H735" t="s">
        <v>88</v>
      </c>
      <c r="I735" t="s">
        <v>162</v>
      </c>
      <c r="J735" s="2">
        <v>46216</v>
      </c>
      <c r="K735" s="1">
        <v>0.36458333333333331</v>
      </c>
      <c r="L735" s="10">
        <f t="shared" si="122"/>
        <v>18.000000000000014</v>
      </c>
      <c r="M735" s="1" t="str">
        <f t="shared" si="128"/>
        <v>On Time</v>
      </c>
      <c r="N735" s="27" t="str">
        <f t="shared" si="123"/>
        <v>Ryanair</v>
      </c>
      <c r="O735" s="3" t="s">
        <v>1385</v>
      </c>
      <c r="P735" s="20">
        <f t="shared" si="124"/>
        <v>8</v>
      </c>
      <c r="Q735" s="3" t="s">
        <v>1385</v>
      </c>
      <c r="R735" s="23" t="str">
        <f t="shared" si="125"/>
        <v>Monday</v>
      </c>
      <c r="S735" s="3" t="s">
        <v>1385</v>
      </c>
      <c r="T735" s="23" t="s">
        <v>85</v>
      </c>
      <c r="U735" s="3" t="s">
        <v>1385</v>
      </c>
      <c r="AO735" s="15"/>
      <c r="AP735" s="15"/>
      <c r="AQ735" s="15"/>
      <c r="AR735" s="23"/>
      <c r="AS735" s="15"/>
      <c r="AT735" s="15"/>
      <c r="AU735" s="23"/>
      <c r="AV735" s="23"/>
    </row>
    <row r="736" spans="1:48" x14ac:dyDescent="0.25">
      <c r="A736" t="s">
        <v>291</v>
      </c>
      <c r="B736" t="s">
        <v>13</v>
      </c>
      <c r="C736" s="10">
        <v>-6</v>
      </c>
      <c r="D736" t="s">
        <v>571</v>
      </c>
      <c r="E736" s="2">
        <f t="shared" si="127"/>
        <v>46216</v>
      </c>
      <c r="F736" s="3">
        <f t="shared" si="126"/>
        <v>0.36041666666666666</v>
      </c>
      <c r="G736" t="s">
        <v>293</v>
      </c>
      <c r="H736" t="s">
        <v>294</v>
      </c>
      <c r="I736" t="s">
        <v>17</v>
      </c>
      <c r="J736" s="2">
        <v>46216</v>
      </c>
      <c r="K736" s="1">
        <v>0.36805555555555558</v>
      </c>
      <c r="L736" s="10">
        <f t="shared" si="122"/>
        <v>11.000000000000041</v>
      </c>
      <c r="M736" s="1" t="str">
        <f t="shared" si="128"/>
        <v>On Time</v>
      </c>
      <c r="N736" s="27" t="str">
        <f t="shared" si="123"/>
        <v>Wizz Air</v>
      </c>
      <c r="O736" s="3" t="s">
        <v>1385</v>
      </c>
      <c r="P736" s="20">
        <f t="shared" si="124"/>
        <v>8</v>
      </c>
      <c r="Q736" s="3" t="s">
        <v>1385</v>
      </c>
      <c r="R736" s="23" t="str">
        <f t="shared" si="125"/>
        <v>Monday</v>
      </c>
      <c r="S736" s="3" t="s">
        <v>1385</v>
      </c>
      <c r="T736" s="23" t="s">
        <v>13</v>
      </c>
      <c r="U736" s="3" t="s">
        <v>1385</v>
      </c>
      <c r="AO736" s="15"/>
      <c r="AP736" s="15"/>
      <c r="AQ736" s="15"/>
      <c r="AR736" s="23"/>
      <c r="AS736" s="15"/>
      <c r="AT736" s="15"/>
      <c r="AU736" s="23"/>
      <c r="AV736" s="23"/>
    </row>
    <row r="737" spans="1:48" x14ac:dyDescent="0.25">
      <c r="A737" t="s">
        <v>68</v>
      </c>
      <c r="B737" t="s">
        <v>69</v>
      </c>
      <c r="C737" s="10">
        <v>-12</v>
      </c>
      <c r="D737" t="s">
        <v>932</v>
      </c>
      <c r="E737" s="2">
        <f t="shared" si="127"/>
        <v>46216</v>
      </c>
      <c r="F737" s="3">
        <f t="shared" si="126"/>
        <v>0.38819444444444445</v>
      </c>
      <c r="G737" t="s">
        <v>71</v>
      </c>
      <c r="H737" t="s">
        <v>72</v>
      </c>
      <c r="I737" t="s">
        <v>73</v>
      </c>
      <c r="J737" s="2">
        <v>46216</v>
      </c>
      <c r="K737" s="1">
        <v>0.3888888888888889</v>
      </c>
      <c r="L737" s="10">
        <f t="shared" si="122"/>
        <v>0.99999999999999645</v>
      </c>
      <c r="M737" s="1" t="str">
        <f t="shared" si="128"/>
        <v>On Time</v>
      </c>
      <c r="N737" s="27" t="str">
        <f t="shared" si="123"/>
        <v>Finnair</v>
      </c>
      <c r="O737" s="3" t="s">
        <v>1385</v>
      </c>
      <c r="P737" s="20">
        <f t="shared" si="124"/>
        <v>9</v>
      </c>
      <c r="Q737" s="3" t="s">
        <v>1385</v>
      </c>
      <c r="R737" s="23" t="str">
        <f t="shared" si="125"/>
        <v>Monday</v>
      </c>
      <c r="S737" s="3" t="s">
        <v>1385</v>
      </c>
      <c r="T737" s="23" t="s">
        <v>69</v>
      </c>
      <c r="U737" s="3" t="s">
        <v>1385</v>
      </c>
      <c r="AO737" s="15"/>
      <c r="AP737" s="15"/>
      <c r="AQ737" s="15"/>
      <c r="AR737" s="23"/>
      <c r="AS737" s="15"/>
      <c r="AT737" s="15"/>
      <c r="AU737" s="23"/>
      <c r="AV737" s="23"/>
    </row>
    <row r="738" spans="1:48" x14ac:dyDescent="0.25">
      <c r="A738" t="s">
        <v>74</v>
      </c>
      <c r="B738" t="s">
        <v>13</v>
      </c>
      <c r="C738" s="10">
        <v>-44</v>
      </c>
      <c r="D738" t="s">
        <v>933</v>
      </c>
      <c r="E738" s="2">
        <f t="shared" si="127"/>
        <v>46216</v>
      </c>
      <c r="F738" s="3">
        <f t="shared" si="126"/>
        <v>0.40347222222222223</v>
      </c>
      <c r="G738" t="s">
        <v>76</v>
      </c>
      <c r="H738" t="s">
        <v>77</v>
      </c>
      <c r="I738" t="s">
        <v>17</v>
      </c>
      <c r="J738" s="2">
        <v>46216</v>
      </c>
      <c r="K738" s="1">
        <v>0.3888888888888889</v>
      </c>
      <c r="L738" s="10">
        <f t="shared" si="122"/>
        <v>-21.000000000000007</v>
      </c>
      <c r="M738" s="1" t="str">
        <f t="shared" si="128"/>
        <v>Delayed</v>
      </c>
      <c r="N738" s="27" t="str">
        <f t="shared" si="123"/>
        <v>Wizz Air</v>
      </c>
      <c r="O738" s="3" t="s">
        <v>1318</v>
      </c>
      <c r="P738" s="20">
        <f t="shared" si="124"/>
        <v>9</v>
      </c>
      <c r="Q738" s="3" t="s">
        <v>1318</v>
      </c>
      <c r="R738" s="23" t="str">
        <f t="shared" si="125"/>
        <v>Monday</v>
      </c>
      <c r="S738" s="3" t="s">
        <v>1318</v>
      </c>
      <c r="T738" s="23" t="s">
        <v>13</v>
      </c>
      <c r="U738" s="3" t="s">
        <v>1318</v>
      </c>
      <c r="AO738" s="15"/>
      <c r="AP738" s="15"/>
      <c r="AQ738" s="15"/>
      <c r="AR738" s="23"/>
      <c r="AS738" s="15"/>
      <c r="AT738" s="15"/>
      <c r="AU738" s="23"/>
      <c r="AV738" s="23"/>
    </row>
    <row r="739" spans="1:48" x14ac:dyDescent="0.25">
      <c r="A739" t="s">
        <v>184</v>
      </c>
      <c r="B739" t="s">
        <v>85</v>
      </c>
      <c r="C739" s="10">
        <v>-12</v>
      </c>
      <c r="D739" t="s">
        <v>934</v>
      </c>
      <c r="E739" s="2">
        <f t="shared" si="127"/>
        <v>46216</v>
      </c>
      <c r="F739" s="3">
        <f t="shared" si="126"/>
        <v>0.40486111111111112</v>
      </c>
      <c r="G739" t="s">
        <v>153</v>
      </c>
      <c r="H739" t="s">
        <v>154</v>
      </c>
      <c r="I739" t="s">
        <v>89</v>
      </c>
      <c r="J739" s="2">
        <v>46216</v>
      </c>
      <c r="K739" s="1">
        <v>0.41319444444444442</v>
      </c>
      <c r="L739" s="10">
        <f t="shared" si="122"/>
        <v>11.999999999999957</v>
      </c>
      <c r="M739" s="1" t="str">
        <f t="shared" si="128"/>
        <v>On Time</v>
      </c>
      <c r="N739" s="27" t="str">
        <f t="shared" si="123"/>
        <v>Ryanair</v>
      </c>
      <c r="O739" s="3" t="s">
        <v>1385</v>
      </c>
      <c r="P739" s="20">
        <f t="shared" si="124"/>
        <v>9</v>
      </c>
      <c r="Q739" s="3" t="s">
        <v>1385</v>
      </c>
      <c r="R739" s="23" t="str">
        <f t="shared" si="125"/>
        <v>Monday</v>
      </c>
      <c r="S739" s="3" t="s">
        <v>1385</v>
      </c>
      <c r="T739" s="23" t="s">
        <v>85</v>
      </c>
      <c r="U739" s="3" t="s">
        <v>1385</v>
      </c>
      <c r="AO739" s="15"/>
      <c r="AP739" s="15"/>
      <c r="AQ739" s="15"/>
      <c r="AR739" s="23"/>
      <c r="AS739" s="15"/>
      <c r="AT739" s="15"/>
      <c r="AU739" s="23"/>
      <c r="AV739" s="23"/>
    </row>
    <row r="740" spans="1:48" x14ac:dyDescent="0.25">
      <c r="A740" t="s">
        <v>127</v>
      </c>
      <c r="B740" t="s">
        <v>85</v>
      </c>
      <c r="C740" s="10">
        <v>3</v>
      </c>
      <c r="D740" t="s">
        <v>410</v>
      </c>
      <c r="E740" s="2">
        <f t="shared" si="127"/>
        <v>46216</v>
      </c>
      <c r="F740" s="3">
        <f t="shared" si="126"/>
        <v>0.40763888888888888</v>
      </c>
      <c r="G740" t="s">
        <v>129</v>
      </c>
      <c r="H740" t="s">
        <v>130</v>
      </c>
      <c r="I740" t="s">
        <v>162</v>
      </c>
      <c r="J740" s="2">
        <v>46216</v>
      </c>
      <c r="K740" s="1">
        <v>0.41666666666666669</v>
      </c>
      <c r="L740" s="10">
        <f t="shared" si="122"/>
        <v>13.000000000000034</v>
      </c>
      <c r="M740" s="1" t="str">
        <f t="shared" si="128"/>
        <v>On Time</v>
      </c>
      <c r="N740" s="27" t="str">
        <f t="shared" si="123"/>
        <v>Ryanair</v>
      </c>
      <c r="O740" s="3" t="s">
        <v>1385</v>
      </c>
      <c r="P740" s="20">
        <f t="shared" si="124"/>
        <v>9</v>
      </c>
      <c r="Q740" s="3" t="s">
        <v>1385</v>
      </c>
      <c r="R740" s="23" t="str">
        <f t="shared" si="125"/>
        <v>Monday</v>
      </c>
      <c r="S740" s="3" t="s">
        <v>1385</v>
      </c>
      <c r="T740" s="23" t="s">
        <v>85</v>
      </c>
      <c r="U740" s="3" t="s">
        <v>1385</v>
      </c>
      <c r="AO740" s="15"/>
      <c r="AP740" s="15"/>
      <c r="AQ740" s="15"/>
      <c r="AR740" s="23"/>
      <c r="AS740" s="15"/>
      <c r="AT740" s="15"/>
      <c r="AU740" s="23"/>
      <c r="AV740" s="23"/>
    </row>
    <row r="741" spans="1:48" x14ac:dyDescent="0.25">
      <c r="A741" t="s">
        <v>52</v>
      </c>
      <c r="B741" t="s">
        <v>7</v>
      </c>
      <c r="D741" t="s">
        <v>700</v>
      </c>
      <c r="E741" s="2">
        <f t="shared" si="127"/>
        <v>46216</v>
      </c>
      <c r="F741" s="3">
        <f t="shared" si="126"/>
        <v>0.43124999999999997</v>
      </c>
      <c r="G741" t="s">
        <v>9</v>
      </c>
      <c r="H741" t="s">
        <v>10</v>
      </c>
      <c r="I741" t="s">
        <v>11</v>
      </c>
      <c r="J741" s="2">
        <v>46216</v>
      </c>
      <c r="K741" s="1">
        <v>0.4201388888888889</v>
      </c>
      <c r="L741" s="10">
        <f t="shared" si="122"/>
        <v>-15.999999999999943</v>
      </c>
      <c r="M741" s="1" t="str">
        <f t="shared" si="128"/>
        <v>Delayed</v>
      </c>
      <c r="N741" s="27" t="str">
        <f t="shared" si="123"/>
        <v>airBaltic</v>
      </c>
      <c r="O741" s="3" t="s">
        <v>1318</v>
      </c>
      <c r="P741" s="20">
        <f t="shared" si="124"/>
        <v>10</v>
      </c>
      <c r="Q741" s="3" t="s">
        <v>1318</v>
      </c>
      <c r="R741" s="23" t="str">
        <f t="shared" si="125"/>
        <v>Monday</v>
      </c>
      <c r="S741" s="3" t="s">
        <v>1318</v>
      </c>
      <c r="T741" s="23" t="s">
        <v>7</v>
      </c>
      <c r="U741" s="3" t="s">
        <v>1318</v>
      </c>
      <c r="AO741" s="15"/>
      <c r="AP741" s="15"/>
      <c r="AQ741" s="15"/>
      <c r="AR741" s="23"/>
      <c r="AS741" s="15"/>
      <c r="AT741" s="15"/>
      <c r="AU741" s="23"/>
      <c r="AV741" s="23"/>
    </row>
    <row r="742" spans="1:48" x14ac:dyDescent="0.25">
      <c r="A742" t="s">
        <v>95</v>
      </c>
      <c r="B742" t="s">
        <v>96</v>
      </c>
      <c r="C742" s="10">
        <v>-17</v>
      </c>
      <c r="D742" t="s">
        <v>935</v>
      </c>
      <c r="E742" s="2">
        <f t="shared" si="127"/>
        <v>46216</v>
      </c>
      <c r="F742" s="3">
        <f t="shared" si="126"/>
        <v>0.43472222222222223</v>
      </c>
      <c r="G742" t="s">
        <v>98</v>
      </c>
      <c r="H742" t="s">
        <v>99</v>
      </c>
      <c r="I742" t="s">
        <v>210</v>
      </c>
      <c r="J742" s="2">
        <v>46216</v>
      </c>
      <c r="K742" s="1">
        <v>0.44791666666666669</v>
      </c>
      <c r="L742" s="10">
        <f t="shared" si="122"/>
        <v>19.000000000000014</v>
      </c>
      <c r="M742" s="1" t="str">
        <f t="shared" si="128"/>
        <v>On Time</v>
      </c>
      <c r="N742" s="27" t="str">
        <f t="shared" si="123"/>
        <v>Turkish Airlines</v>
      </c>
      <c r="O742" s="3" t="s">
        <v>1385</v>
      </c>
      <c r="P742" s="20">
        <f t="shared" si="124"/>
        <v>10</v>
      </c>
      <c r="Q742" s="3" t="s">
        <v>1385</v>
      </c>
      <c r="R742" s="23" t="str">
        <f t="shared" si="125"/>
        <v>Monday</v>
      </c>
      <c r="S742" s="3" t="s">
        <v>1385</v>
      </c>
      <c r="T742" s="23" t="s">
        <v>96</v>
      </c>
      <c r="U742" s="3" t="s">
        <v>1385</v>
      </c>
      <c r="AO742" s="15"/>
      <c r="AP742" s="15"/>
      <c r="AQ742" s="15"/>
      <c r="AR742" s="23"/>
      <c r="AS742" s="15"/>
      <c r="AT742" s="15"/>
      <c r="AU742" s="23"/>
      <c r="AV742" s="23"/>
    </row>
    <row r="743" spans="1:48" x14ac:dyDescent="0.25">
      <c r="A743" t="s">
        <v>395</v>
      </c>
      <c r="B743" t="s">
        <v>85</v>
      </c>
      <c r="C743" s="10">
        <v>-7</v>
      </c>
      <c r="D743" t="s">
        <v>936</v>
      </c>
      <c r="E743" s="2">
        <f t="shared" si="127"/>
        <v>46216</v>
      </c>
      <c r="F743" s="3">
        <f t="shared" si="126"/>
        <v>0.44305555555555554</v>
      </c>
      <c r="G743" t="s">
        <v>34</v>
      </c>
      <c r="H743" t="s">
        <v>161</v>
      </c>
      <c r="I743" t="s">
        <v>89</v>
      </c>
      <c r="J743" s="2">
        <v>46216</v>
      </c>
      <c r="K743" s="1">
        <v>0.4548611111111111</v>
      </c>
      <c r="L743" s="10">
        <f t="shared" si="122"/>
        <v>17.000000000000021</v>
      </c>
      <c r="M743" s="1" t="str">
        <f t="shared" si="128"/>
        <v>On Time</v>
      </c>
      <c r="N743" s="27" t="str">
        <f t="shared" si="123"/>
        <v>Ryanair</v>
      </c>
      <c r="O743" s="3" t="s">
        <v>1385</v>
      </c>
      <c r="P743" s="20">
        <f t="shared" si="124"/>
        <v>10</v>
      </c>
      <c r="Q743" s="3" t="s">
        <v>1385</v>
      </c>
      <c r="R743" s="23" t="str">
        <f t="shared" si="125"/>
        <v>Monday</v>
      </c>
      <c r="S743" s="3" t="s">
        <v>1385</v>
      </c>
      <c r="T743" s="23" t="s">
        <v>85</v>
      </c>
      <c r="U743" s="3" t="s">
        <v>1385</v>
      </c>
      <c r="AO743" s="15"/>
      <c r="AP743" s="15"/>
      <c r="AQ743" s="15"/>
      <c r="AR743" s="23"/>
      <c r="AS743" s="15"/>
      <c r="AT743" s="15"/>
      <c r="AU743" s="23"/>
      <c r="AV743" s="23"/>
    </row>
    <row r="744" spans="1:48" x14ac:dyDescent="0.25">
      <c r="A744" t="s">
        <v>213</v>
      </c>
      <c r="B744" t="s">
        <v>85</v>
      </c>
      <c r="C744" s="10">
        <v>-12</v>
      </c>
      <c r="D744" t="s">
        <v>937</v>
      </c>
      <c r="E744" s="2">
        <f t="shared" si="127"/>
        <v>46216</v>
      </c>
      <c r="F744" s="3">
        <f t="shared" si="126"/>
        <v>0.45069444444444445</v>
      </c>
      <c r="G744" t="s">
        <v>102</v>
      </c>
      <c r="H744" t="s">
        <v>115</v>
      </c>
      <c r="I744" t="s">
        <v>162</v>
      </c>
      <c r="J744" s="2">
        <v>46216</v>
      </c>
      <c r="K744" s="1">
        <v>0.46180555555555558</v>
      </c>
      <c r="L744" s="10">
        <f t="shared" si="122"/>
        <v>16.000000000000021</v>
      </c>
      <c r="M744" s="1" t="str">
        <f t="shared" si="128"/>
        <v>On Time</v>
      </c>
      <c r="N744" s="27" t="str">
        <f t="shared" si="123"/>
        <v>Ryanair</v>
      </c>
      <c r="O744" s="3" t="s">
        <v>1385</v>
      </c>
      <c r="P744" s="20">
        <f t="shared" si="124"/>
        <v>10</v>
      </c>
      <c r="Q744" s="3" t="s">
        <v>1385</v>
      </c>
      <c r="R744" s="23" t="str">
        <f t="shared" si="125"/>
        <v>Monday</v>
      </c>
      <c r="S744" s="3" t="s">
        <v>1385</v>
      </c>
      <c r="T744" s="23" t="s">
        <v>85</v>
      </c>
      <c r="U744" s="3" t="s">
        <v>1385</v>
      </c>
      <c r="AO744" s="15"/>
      <c r="AP744" s="15"/>
      <c r="AQ744" s="15"/>
      <c r="AR744" s="23"/>
      <c r="AS744" s="15"/>
      <c r="AT744" s="15"/>
      <c r="AU744" s="23"/>
      <c r="AV744" s="23"/>
    </row>
    <row r="745" spans="1:48" x14ac:dyDescent="0.25">
      <c r="A745" t="s">
        <v>178</v>
      </c>
      <c r="B745" t="s">
        <v>85</v>
      </c>
      <c r="C745" s="10">
        <v>-4</v>
      </c>
      <c r="D745" t="s">
        <v>423</v>
      </c>
      <c r="E745" s="2">
        <f t="shared" si="127"/>
        <v>46216</v>
      </c>
      <c r="F745" s="3">
        <f t="shared" si="126"/>
        <v>0.47569444444444442</v>
      </c>
      <c r="G745" t="s">
        <v>180</v>
      </c>
      <c r="H745" t="s">
        <v>181</v>
      </c>
      <c r="I745" t="s">
        <v>89</v>
      </c>
      <c r="J745" s="2">
        <v>46216</v>
      </c>
      <c r="K745" s="1">
        <v>0.48958333333333331</v>
      </c>
      <c r="L745" s="10">
        <f t="shared" si="122"/>
        <v>20.000000000000007</v>
      </c>
      <c r="M745" s="1" t="str">
        <f t="shared" si="128"/>
        <v>On Time</v>
      </c>
      <c r="N745" s="27" t="str">
        <f t="shared" si="123"/>
        <v>Ryanair</v>
      </c>
      <c r="O745" s="3" t="s">
        <v>1385</v>
      </c>
      <c r="P745" s="20">
        <f t="shared" si="124"/>
        <v>11</v>
      </c>
      <c r="Q745" s="3" t="s">
        <v>1385</v>
      </c>
      <c r="R745" s="23" t="str">
        <f t="shared" si="125"/>
        <v>Monday</v>
      </c>
      <c r="S745" s="3" t="s">
        <v>1385</v>
      </c>
      <c r="T745" s="23" t="s">
        <v>85</v>
      </c>
      <c r="U745" s="3" t="s">
        <v>1385</v>
      </c>
      <c r="AO745" s="15"/>
      <c r="AP745" s="15"/>
      <c r="AQ745" s="15"/>
      <c r="AR745" s="23"/>
      <c r="AS745" s="15"/>
      <c r="AT745" s="15"/>
      <c r="AU745" s="23"/>
      <c r="AV745" s="23"/>
    </row>
    <row r="746" spans="1:48" x14ac:dyDescent="0.25">
      <c r="A746" t="s">
        <v>108</v>
      </c>
      <c r="B746" t="s">
        <v>190</v>
      </c>
      <c r="C746" s="10">
        <v>-20</v>
      </c>
      <c r="D746" t="s">
        <v>898</v>
      </c>
      <c r="E746" s="2">
        <f t="shared" si="127"/>
        <v>46216</v>
      </c>
      <c r="F746" s="3">
        <f t="shared" si="126"/>
        <v>0.52361111111111114</v>
      </c>
      <c r="G746" t="s">
        <v>110</v>
      </c>
      <c r="H746" t="s">
        <v>111</v>
      </c>
      <c r="I746" t="s">
        <v>67</v>
      </c>
      <c r="J746" s="2">
        <v>46216</v>
      </c>
      <c r="K746" s="1">
        <v>0.52777777777777779</v>
      </c>
      <c r="L746" s="10">
        <f t="shared" si="122"/>
        <v>5.9999999999999787</v>
      </c>
      <c r="M746" s="1" t="str">
        <f t="shared" si="128"/>
        <v>On Time</v>
      </c>
      <c r="N746" s="27" t="str">
        <f t="shared" si="123"/>
        <v>Lufthansa</v>
      </c>
      <c r="O746" s="3" t="s">
        <v>1385</v>
      </c>
      <c r="P746" s="20">
        <f t="shared" si="124"/>
        <v>12</v>
      </c>
      <c r="Q746" s="3" t="s">
        <v>1385</v>
      </c>
      <c r="R746" s="23" t="str">
        <f t="shared" si="125"/>
        <v>Monday</v>
      </c>
      <c r="S746" s="3" t="s">
        <v>1385</v>
      </c>
      <c r="T746" s="23" t="s">
        <v>190</v>
      </c>
      <c r="U746" s="3" t="s">
        <v>1385</v>
      </c>
      <c r="AO746" s="15"/>
      <c r="AP746" s="15"/>
      <c r="AQ746" s="15"/>
      <c r="AR746" s="23"/>
      <c r="AS746" s="15"/>
      <c r="AT746" s="15"/>
      <c r="AU746" s="23"/>
      <c r="AV746" s="23"/>
    </row>
    <row r="747" spans="1:48" x14ac:dyDescent="0.25">
      <c r="A747" t="s">
        <v>383</v>
      </c>
      <c r="B747" t="s">
        <v>7</v>
      </c>
      <c r="C747" s="10">
        <v>-36</v>
      </c>
      <c r="D747" t="s">
        <v>128</v>
      </c>
      <c r="E747" s="2">
        <f t="shared" si="127"/>
        <v>46216</v>
      </c>
      <c r="F747" s="3">
        <f t="shared" si="126"/>
        <v>0.54583333333333328</v>
      </c>
      <c r="G747" t="s">
        <v>26</v>
      </c>
      <c r="H747" t="s">
        <v>27</v>
      </c>
      <c r="I747" t="s">
        <v>11</v>
      </c>
      <c r="J747" s="2">
        <v>46216</v>
      </c>
      <c r="K747" s="1">
        <v>0.53125</v>
      </c>
      <c r="L747" s="10">
        <f t="shared" si="122"/>
        <v>-20.999999999999925</v>
      </c>
      <c r="M747" s="1" t="str">
        <f t="shared" si="128"/>
        <v>Delayed</v>
      </c>
      <c r="N747" s="27" t="str">
        <f t="shared" si="123"/>
        <v>airBaltic</v>
      </c>
      <c r="O747" s="3" t="s">
        <v>1318</v>
      </c>
      <c r="P747" s="20">
        <f t="shared" si="124"/>
        <v>13</v>
      </c>
      <c r="Q747" s="3" t="s">
        <v>1318</v>
      </c>
      <c r="R747" s="23" t="str">
        <f t="shared" si="125"/>
        <v>Monday</v>
      </c>
      <c r="S747" s="3" t="s">
        <v>1318</v>
      </c>
      <c r="T747" s="23" t="s">
        <v>7</v>
      </c>
      <c r="U747" s="3" t="s">
        <v>1318</v>
      </c>
      <c r="AO747" s="15"/>
      <c r="AP747" s="15"/>
      <c r="AQ747" s="15"/>
      <c r="AR747" s="23"/>
      <c r="AS747" s="15"/>
      <c r="AT747" s="15"/>
      <c r="AU747" s="23"/>
      <c r="AV747" s="23"/>
    </row>
    <row r="748" spans="1:48" x14ac:dyDescent="0.25">
      <c r="A748" t="s">
        <v>113</v>
      </c>
      <c r="B748" t="s">
        <v>13</v>
      </c>
      <c r="C748" s="10">
        <v>-42</v>
      </c>
      <c r="D748" t="s">
        <v>322</v>
      </c>
      <c r="E748" s="2">
        <f t="shared" si="127"/>
        <v>46216</v>
      </c>
      <c r="F748" s="3">
        <f t="shared" si="126"/>
        <v>0.54375000000000007</v>
      </c>
      <c r="G748" t="s">
        <v>102</v>
      </c>
      <c r="H748" t="s">
        <v>115</v>
      </c>
      <c r="I748" t="s">
        <v>17</v>
      </c>
      <c r="J748" s="2">
        <v>46216</v>
      </c>
      <c r="K748" s="1">
        <v>0.53472222222222221</v>
      </c>
      <c r="L748" s="10">
        <f t="shared" si="122"/>
        <v>-13.000000000000114</v>
      </c>
      <c r="M748" s="1" t="str">
        <f t="shared" si="128"/>
        <v>On Time</v>
      </c>
      <c r="N748" s="27" t="str">
        <f t="shared" si="123"/>
        <v>Wizz Air</v>
      </c>
      <c r="O748" s="3" t="s">
        <v>1385</v>
      </c>
      <c r="P748" s="20">
        <f t="shared" si="124"/>
        <v>13</v>
      </c>
      <c r="Q748" s="3" t="s">
        <v>1385</v>
      </c>
      <c r="R748" s="23" t="str">
        <f t="shared" si="125"/>
        <v>Monday</v>
      </c>
      <c r="S748" s="3" t="s">
        <v>1385</v>
      </c>
      <c r="T748" s="23" t="s">
        <v>13</v>
      </c>
      <c r="U748" s="3" t="s">
        <v>1385</v>
      </c>
      <c r="AO748" s="15"/>
      <c r="AP748" s="15"/>
      <c r="AQ748" s="15"/>
      <c r="AR748" s="23"/>
      <c r="AS748" s="15"/>
      <c r="AT748" s="15"/>
      <c r="AU748" s="23"/>
      <c r="AV748" s="23"/>
    </row>
    <row r="749" spans="1:48" x14ac:dyDescent="0.25">
      <c r="A749" t="s">
        <v>116</v>
      </c>
      <c r="B749" t="s">
        <v>117</v>
      </c>
      <c r="C749" s="10">
        <v>-17</v>
      </c>
      <c r="D749" t="s">
        <v>900</v>
      </c>
      <c r="E749" s="2">
        <f t="shared" si="127"/>
        <v>46216</v>
      </c>
      <c r="F749" s="3">
        <f t="shared" si="126"/>
        <v>0.53749999999999998</v>
      </c>
      <c r="G749" t="s">
        <v>119</v>
      </c>
      <c r="H749" t="s">
        <v>120</v>
      </c>
      <c r="I749" t="s">
        <v>67</v>
      </c>
      <c r="J749" s="2">
        <v>46216</v>
      </c>
      <c r="K749" s="1">
        <v>0.54097222222222219</v>
      </c>
      <c r="L749" s="10">
        <f t="shared" si="122"/>
        <v>4.9999999999999822</v>
      </c>
      <c r="M749" s="1" t="str">
        <f t="shared" si="128"/>
        <v>On Time</v>
      </c>
      <c r="N749" s="27" t="str">
        <f t="shared" si="123"/>
        <v>Heston Airlines</v>
      </c>
      <c r="O749" s="3" t="s">
        <v>1385</v>
      </c>
      <c r="P749" s="20">
        <f t="shared" si="124"/>
        <v>12</v>
      </c>
      <c r="Q749" s="3" t="s">
        <v>1385</v>
      </c>
      <c r="R749" s="23" t="str">
        <f t="shared" si="125"/>
        <v>Monday</v>
      </c>
      <c r="S749" s="3" t="s">
        <v>1385</v>
      </c>
      <c r="T749" s="23" t="s">
        <v>117</v>
      </c>
      <c r="U749" s="3" t="s">
        <v>1385</v>
      </c>
      <c r="AO749" s="15"/>
      <c r="AP749" s="15"/>
      <c r="AQ749" s="15"/>
      <c r="AR749" s="23"/>
      <c r="AS749" s="15"/>
      <c r="AT749" s="15"/>
      <c r="AU749" s="23"/>
      <c r="AV749" s="23"/>
    </row>
    <row r="750" spans="1:48" x14ac:dyDescent="0.25">
      <c r="A750" t="s">
        <v>121</v>
      </c>
      <c r="B750" t="s">
        <v>69</v>
      </c>
      <c r="C750" s="10">
        <v>-13</v>
      </c>
      <c r="D750" t="s">
        <v>938</v>
      </c>
      <c r="E750" s="2">
        <f t="shared" si="127"/>
        <v>46216</v>
      </c>
      <c r="F750" s="3">
        <f t="shared" si="126"/>
        <v>0.54861111111111105</v>
      </c>
      <c r="G750" t="s">
        <v>71</v>
      </c>
      <c r="H750" t="s">
        <v>72</v>
      </c>
      <c r="I750" t="s">
        <v>73</v>
      </c>
      <c r="J750" s="2">
        <v>46216</v>
      </c>
      <c r="K750" s="1">
        <v>0.54166666666666663</v>
      </c>
      <c r="L750" s="10">
        <f t="shared" si="122"/>
        <v>-9.9999999999999645</v>
      </c>
      <c r="M750" s="1" t="str">
        <f t="shared" si="128"/>
        <v>On Time</v>
      </c>
      <c r="N750" s="27" t="str">
        <f t="shared" si="123"/>
        <v>Finnair</v>
      </c>
      <c r="O750" s="3" t="s">
        <v>1385</v>
      </c>
      <c r="P750" s="20">
        <f t="shared" si="124"/>
        <v>13</v>
      </c>
      <c r="Q750" s="3" t="s">
        <v>1385</v>
      </c>
      <c r="R750" s="23" t="str">
        <f t="shared" si="125"/>
        <v>Monday</v>
      </c>
      <c r="S750" s="3" t="s">
        <v>1385</v>
      </c>
      <c r="T750" s="23" t="s">
        <v>69</v>
      </c>
      <c r="U750" s="3" t="s">
        <v>1385</v>
      </c>
      <c r="AO750" s="15"/>
      <c r="AP750" s="15"/>
      <c r="AQ750" s="15"/>
      <c r="AR750" s="23"/>
      <c r="AS750" s="15"/>
      <c r="AT750" s="15"/>
      <c r="AU750" s="23"/>
      <c r="AV750" s="23"/>
    </row>
    <row r="751" spans="1:48" x14ac:dyDescent="0.25">
      <c r="A751" t="s">
        <v>100</v>
      </c>
      <c r="B751" t="s">
        <v>85</v>
      </c>
      <c r="C751" s="10">
        <v>-16</v>
      </c>
      <c r="D751" t="s">
        <v>939</v>
      </c>
      <c r="E751" s="2">
        <f t="shared" si="127"/>
        <v>46216</v>
      </c>
      <c r="F751" s="3">
        <f t="shared" si="126"/>
        <v>0.53680555555555554</v>
      </c>
      <c r="G751" t="s">
        <v>102</v>
      </c>
      <c r="H751" t="s">
        <v>103</v>
      </c>
      <c r="I751" t="s">
        <v>89</v>
      </c>
      <c r="J751" s="2">
        <v>46216</v>
      </c>
      <c r="K751" s="1">
        <v>0.54166666666666663</v>
      </c>
      <c r="L751" s="10">
        <f t="shared" si="122"/>
        <v>6.9999999999999751</v>
      </c>
      <c r="M751" s="1" t="str">
        <f t="shared" si="128"/>
        <v>On Time</v>
      </c>
      <c r="N751" s="27" t="str">
        <f t="shared" si="123"/>
        <v>Ryanair</v>
      </c>
      <c r="O751" s="3" t="s">
        <v>1385</v>
      </c>
      <c r="P751" s="20">
        <f t="shared" si="124"/>
        <v>12</v>
      </c>
      <c r="Q751" s="3" t="s">
        <v>1385</v>
      </c>
      <c r="R751" s="23" t="str">
        <f t="shared" si="125"/>
        <v>Monday</v>
      </c>
      <c r="S751" s="3" t="s">
        <v>1385</v>
      </c>
      <c r="T751" s="23" t="s">
        <v>85</v>
      </c>
      <c r="U751" s="3" t="s">
        <v>1385</v>
      </c>
      <c r="AO751" s="15"/>
      <c r="AP751" s="15"/>
      <c r="AQ751" s="15"/>
      <c r="AR751" s="23"/>
      <c r="AS751" s="15"/>
      <c r="AT751" s="15"/>
      <c r="AU751" s="23"/>
      <c r="AV751" s="23"/>
    </row>
    <row r="752" spans="1:48" x14ac:dyDescent="0.25">
      <c r="A752" t="s">
        <v>123</v>
      </c>
      <c r="B752" t="s">
        <v>124</v>
      </c>
      <c r="D752" t="s">
        <v>318</v>
      </c>
      <c r="E752" s="2">
        <f t="shared" si="127"/>
        <v>46216</v>
      </c>
      <c r="F752" s="3">
        <f t="shared" si="126"/>
        <v>0.5395833333333333</v>
      </c>
      <c r="G752" t="s">
        <v>119</v>
      </c>
      <c r="H752" t="s">
        <v>120</v>
      </c>
      <c r="I752" t="s">
        <v>126</v>
      </c>
      <c r="J752" s="2">
        <v>46216</v>
      </c>
      <c r="K752" s="1">
        <v>0.55694444444444446</v>
      </c>
      <c r="L752" s="10">
        <f t="shared" si="122"/>
        <v>25.000000000000071</v>
      </c>
      <c r="M752" s="1" t="str">
        <f t="shared" si="128"/>
        <v>On Time</v>
      </c>
      <c r="N752" s="27" t="str">
        <f t="shared" si="123"/>
        <v>GetJet Airlines</v>
      </c>
      <c r="O752" s="3" t="s">
        <v>1385</v>
      </c>
      <c r="P752" s="20">
        <f t="shared" si="124"/>
        <v>12</v>
      </c>
      <c r="Q752" s="3" t="s">
        <v>1385</v>
      </c>
      <c r="R752" s="23" t="str">
        <f t="shared" si="125"/>
        <v>Monday</v>
      </c>
      <c r="S752" s="3" t="s">
        <v>1385</v>
      </c>
      <c r="T752" s="23" t="s">
        <v>124</v>
      </c>
      <c r="U752" s="3" t="s">
        <v>1385</v>
      </c>
      <c r="AO752" s="15"/>
      <c r="AP752" s="15"/>
      <c r="AQ752" s="15"/>
      <c r="AR752" s="23"/>
      <c r="AS752" s="15"/>
      <c r="AT752" s="15"/>
      <c r="AU752" s="23"/>
      <c r="AV752" s="23"/>
    </row>
    <row r="753" spans="1:48" x14ac:dyDescent="0.25">
      <c r="A753" t="s">
        <v>133</v>
      </c>
      <c r="B753" t="s">
        <v>7</v>
      </c>
      <c r="C753" s="10">
        <v>-115</v>
      </c>
      <c r="D753" t="s">
        <v>661</v>
      </c>
      <c r="E753" s="2">
        <f t="shared" si="127"/>
        <v>46216</v>
      </c>
      <c r="F753" s="3">
        <f t="shared" si="126"/>
        <v>0.62638888888888888</v>
      </c>
      <c r="G753" t="s">
        <v>135</v>
      </c>
      <c r="H753" t="s">
        <v>136</v>
      </c>
      <c r="I753" t="s">
        <v>11</v>
      </c>
      <c r="J753" s="2">
        <v>46216</v>
      </c>
      <c r="K753" s="1">
        <v>0.55902777777777779</v>
      </c>
      <c r="L753" s="10">
        <f t="shared" si="122"/>
        <v>-96.999999999999972</v>
      </c>
      <c r="M753" s="1" t="str">
        <f t="shared" si="128"/>
        <v>Delayed</v>
      </c>
      <c r="N753" s="27" t="str">
        <f t="shared" si="123"/>
        <v>airBaltic</v>
      </c>
      <c r="O753" s="3" t="s">
        <v>1318</v>
      </c>
      <c r="P753" s="20">
        <f t="shared" si="124"/>
        <v>15</v>
      </c>
      <c r="Q753" s="3" t="s">
        <v>1318</v>
      </c>
      <c r="R753" s="23" t="str">
        <f t="shared" si="125"/>
        <v>Monday</v>
      </c>
      <c r="S753" s="3" t="s">
        <v>1318</v>
      </c>
      <c r="T753" s="23" t="s">
        <v>7</v>
      </c>
      <c r="U753" s="3" t="s">
        <v>1318</v>
      </c>
      <c r="AO753" s="15"/>
      <c r="AP753" s="15"/>
      <c r="AQ753" s="15"/>
      <c r="AR753" s="23"/>
      <c r="AS753" s="15"/>
      <c r="AT753" s="15"/>
      <c r="AU753" s="23"/>
      <c r="AV753" s="23"/>
    </row>
    <row r="754" spans="1:48" x14ac:dyDescent="0.25">
      <c r="A754" t="s">
        <v>591</v>
      </c>
      <c r="B754" t="s">
        <v>7</v>
      </c>
      <c r="C754" s="10">
        <v>-33</v>
      </c>
      <c r="D754" t="s">
        <v>771</v>
      </c>
      <c r="E754" s="2">
        <f t="shared" si="127"/>
        <v>46216</v>
      </c>
      <c r="F754" s="3">
        <f t="shared" si="126"/>
        <v>0.57222222222222219</v>
      </c>
      <c r="G754" t="s">
        <v>252</v>
      </c>
      <c r="H754" t="s">
        <v>253</v>
      </c>
      <c r="I754" t="s">
        <v>11</v>
      </c>
      <c r="J754" s="2">
        <v>46216</v>
      </c>
      <c r="K754" s="1">
        <v>0.56944444444444442</v>
      </c>
      <c r="L754" s="10">
        <f t="shared" si="122"/>
        <v>-3.9999999999999858</v>
      </c>
      <c r="M754" s="1" t="str">
        <f t="shared" si="128"/>
        <v>On Time</v>
      </c>
      <c r="N754" s="27" t="str">
        <f t="shared" si="123"/>
        <v>airBaltic</v>
      </c>
      <c r="O754" s="3" t="s">
        <v>1385</v>
      </c>
      <c r="P754" s="20">
        <f t="shared" si="124"/>
        <v>13</v>
      </c>
      <c r="Q754" s="3" t="s">
        <v>1385</v>
      </c>
      <c r="R754" s="23" t="str">
        <f t="shared" si="125"/>
        <v>Monday</v>
      </c>
      <c r="S754" s="3" t="s">
        <v>1385</v>
      </c>
      <c r="T754" s="23" t="s">
        <v>7</v>
      </c>
      <c r="U754" s="3" t="s">
        <v>1385</v>
      </c>
      <c r="AO754" s="15"/>
      <c r="AP754" s="15"/>
      <c r="AQ754" s="15"/>
      <c r="AR754" s="23"/>
      <c r="AS754" s="15"/>
      <c r="AT754" s="15"/>
      <c r="AU754" s="23"/>
      <c r="AV754" s="23"/>
    </row>
    <row r="755" spans="1:48" x14ac:dyDescent="0.25">
      <c r="A755" t="s">
        <v>436</v>
      </c>
      <c r="B755" t="s">
        <v>239</v>
      </c>
      <c r="C755" s="10">
        <v>-3</v>
      </c>
      <c r="D755" t="s">
        <v>430</v>
      </c>
      <c r="E755" s="2">
        <f t="shared" si="127"/>
        <v>46216</v>
      </c>
      <c r="F755" s="3">
        <f t="shared" si="126"/>
        <v>0.54166666666666663</v>
      </c>
      <c r="G755" t="s">
        <v>119</v>
      </c>
      <c r="H755" t="s">
        <v>120</v>
      </c>
      <c r="I755" t="s">
        <v>83</v>
      </c>
      <c r="J755" s="2">
        <v>46216</v>
      </c>
      <c r="K755" s="1">
        <v>0.56944444444444442</v>
      </c>
      <c r="L755" s="10">
        <f t="shared" si="122"/>
        <v>40.000000000000014</v>
      </c>
      <c r="M755" s="1" t="str">
        <f t="shared" si="128"/>
        <v>On Time</v>
      </c>
      <c r="N755" s="27" t="str">
        <f t="shared" si="123"/>
        <v>Eurowings</v>
      </c>
      <c r="O755" s="3" t="s">
        <v>1385</v>
      </c>
      <c r="P755" s="20">
        <f t="shared" si="124"/>
        <v>13</v>
      </c>
      <c r="Q755" s="3" t="s">
        <v>1385</v>
      </c>
      <c r="R755" s="23" t="str">
        <f t="shared" si="125"/>
        <v>Monday</v>
      </c>
      <c r="S755" s="3" t="s">
        <v>1385</v>
      </c>
      <c r="T755" s="23" t="s">
        <v>239</v>
      </c>
      <c r="U755" s="3" t="s">
        <v>1385</v>
      </c>
      <c r="AO755" s="15"/>
      <c r="AP755" s="15"/>
      <c r="AQ755" s="15"/>
      <c r="AR755" s="23"/>
      <c r="AS755" s="15"/>
      <c r="AT755" s="15"/>
      <c r="AU755" s="23"/>
      <c r="AV755" s="23"/>
    </row>
    <row r="756" spans="1:48" x14ac:dyDescent="0.25">
      <c r="A756" t="s">
        <v>141</v>
      </c>
      <c r="B756" t="s">
        <v>19</v>
      </c>
      <c r="C756" s="10">
        <v>-30</v>
      </c>
      <c r="D756" t="s">
        <v>593</v>
      </c>
      <c r="E756" s="2">
        <f t="shared" si="127"/>
        <v>46216</v>
      </c>
      <c r="F756" s="3">
        <f t="shared" si="126"/>
        <v>0.5805555555555556</v>
      </c>
      <c r="G756" t="s">
        <v>21</v>
      </c>
      <c r="H756" t="s">
        <v>22</v>
      </c>
      <c r="I756" t="s">
        <v>143</v>
      </c>
      <c r="J756" s="2">
        <v>46216</v>
      </c>
      <c r="K756" s="1">
        <v>0.57638888888888895</v>
      </c>
      <c r="L756" s="10">
        <f t="shared" si="122"/>
        <v>-5.9999999999999787</v>
      </c>
      <c r="M756" s="1" t="str">
        <f t="shared" si="128"/>
        <v>On Time</v>
      </c>
      <c r="N756" s="27" t="str">
        <f t="shared" si="123"/>
        <v>LOT</v>
      </c>
      <c r="O756" s="3" t="s">
        <v>1385</v>
      </c>
      <c r="P756" s="20">
        <f t="shared" si="124"/>
        <v>13</v>
      </c>
      <c r="Q756" s="3" t="s">
        <v>1385</v>
      </c>
      <c r="R756" s="23" t="str">
        <f t="shared" si="125"/>
        <v>Monday</v>
      </c>
      <c r="S756" s="3" t="s">
        <v>1385</v>
      </c>
      <c r="T756" s="23" t="s">
        <v>19</v>
      </c>
      <c r="U756" s="3" t="s">
        <v>1385</v>
      </c>
      <c r="AO756" s="15"/>
      <c r="AP756" s="15"/>
      <c r="AQ756" s="15"/>
      <c r="AR756" s="23"/>
      <c r="AS756" s="15"/>
      <c r="AT756" s="15"/>
      <c r="AU756" s="23"/>
      <c r="AV756" s="23"/>
    </row>
    <row r="757" spans="1:48" x14ac:dyDescent="0.25">
      <c r="A757" t="s">
        <v>327</v>
      </c>
      <c r="B757" t="s">
        <v>13</v>
      </c>
      <c r="C757" s="10">
        <v>-25</v>
      </c>
      <c r="D757" t="s">
        <v>712</v>
      </c>
      <c r="E757" s="2">
        <f t="shared" si="127"/>
        <v>46216</v>
      </c>
      <c r="F757" s="3">
        <f t="shared" si="126"/>
        <v>0.59166666666666667</v>
      </c>
      <c r="G757" t="s">
        <v>329</v>
      </c>
      <c r="H757" t="s">
        <v>330</v>
      </c>
      <c r="I757" t="s">
        <v>17</v>
      </c>
      <c r="J757" s="2">
        <v>46216</v>
      </c>
      <c r="K757" s="1">
        <v>0.59027777777777779</v>
      </c>
      <c r="L757" s="10">
        <f t="shared" si="122"/>
        <v>-1.9999999999999929</v>
      </c>
      <c r="M757" s="1" t="str">
        <f t="shared" si="128"/>
        <v>On Time</v>
      </c>
      <c r="N757" s="27" t="str">
        <f t="shared" si="123"/>
        <v>Wizz Air</v>
      </c>
      <c r="O757" s="3" t="s">
        <v>1385</v>
      </c>
      <c r="P757" s="20">
        <f t="shared" si="124"/>
        <v>14</v>
      </c>
      <c r="Q757" s="3" t="s">
        <v>1385</v>
      </c>
      <c r="R757" s="23" t="str">
        <f t="shared" si="125"/>
        <v>Monday</v>
      </c>
      <c r="S757" s="3" t="s">
        <v>1385</v>
      </c>
      <c r="T757" s="23" t="s">
        <v>13</v>
      </c>
      <c r="U757" s="3" t="s">
        <v>1385</v>
      </c>
      <c r="AO757" s="15"/>
      <c r="AP757" s="15"/>
      <c r="AQ757" s="15"/>
      <c r="AR757" s="23"/>
      <c r="AS757" s="15"/>
      <c r="AT757" s="15"/>
      <c r="AU757" s="23"/>
      <c r="AV757" s="23"/>
    </row>
    <row r="758" spans="1:48" x14ac:dyDescent="0.25">
      <c r="A758" t="s">
        <v>123</v>
      </c>
      <c r="B758" t="s">
        <v>940</v>
      </c>
      <c r="D758" t="s">
        <v>941</v>
      </c>
      <c r="E758" s="2">
        <f t="shared" si="127"/>
        <v>46216</v>
      </c>
      <c r="F758" s="3">
        <f t="shared" si="126"/>
        <v>0.58888888888888891</v>
      </c>
      <c r="G758" t="s">
        <v>942</v>
      </c>
      <c r="H758" t="s">
        <v>943</v>
      </c>
      <c r="I758" t="s">
        <v>944</v>
      </c>
      <c r="J758" s="2">
        <v>46216</v>
      </c>
      <c r="K758" s="1">
        <v>0.60277777777777775</v>
      </c>
      <c r="L758" s="10">
        <f t="shared" si="122"/>
        <v>19.999999999999929</v>
      </c>
      <c r="M758" s="1" t="str">
        <f t="shared" si="128"/>
        <v>On Time</v>
      </c>
      <c r="N758" s="27" t="e">
        <f t="shared" si="123"/>
        <v>#N/A</v>
      </c>
      <c r="O758" s="3" t="s">
        <v>1385</v>
      </c>
      <c r="P758" s="20">
        <f t="shared" si="124"/>
        <v>14</v>
      </c>
      <c r="Q758" s="3" t="s">
        <v>1385</v>
      </c>
      <c r="R758" s="23" t="str">
        <f t="shared" si="125"/>
        <v>Monday</v>
      </c>
      <c r="S758" s="3" t="s">
        <v>1385</v>
      </c>
      <c r="T758" s="23" t="s">
        <v>940</v>
      </c>
      <c r="U758" s="3" t="s">
        <v>1385</v>
      </c>
      <c r="AO758" s="15"/>
      <c r="AP758" s="15"/>
      <c r="AQ758" s="15"/>
      <c r="AR758" s="23"/>
      <c r="AS758" s="15"/>
      <c r="AT758" s="15"/>
      <c r="AU758" s="23"/>
      <c r="AV758" s="23"/>
    </row>
    <row r="759" spans="1:48" x14ac:dyDescent="0.25">
      <c r="A759" t="s">
        <v>393</v>
      </c>
      <c r="B759" t="s">
        <v>85</v>
      </c>
      <c r="C759" s="10">
        <v>-8</v>
      </c>
      <c r="D759" t="s">
        <v>945</v>
      </c>
      <c r="E759" s="2">
        <f t="shared" si="127"/>
        <v>46216</v>
      </c>
      <c r="F759" s="3">
        <f t="shared" si="126"/>
        <v>0.60347222222222219</v>
      </c>
      <c r="G759" t="s">
        <v>153</v>
      </c>
      <c r="H759" t="s">
        <v>154</v>
      </c>
      <c r="I759" t="s">
        <v>89</v>
      </c>
      <c r="J759" s="2">
        <v>46216</v>
      </c>
      <c r="K759" s="1">
        <v>0.61458333333333337</v>
      </c>
      <c r="L759" s="10">
        <f t="shared" si="122"/>
        <v>16.000000000000103</v>
      </c>
      <c r="M759" s="1" t="str">
        <f t="shared" si="128"/>
        <v>On Time</v>
      </c>
      <c r="N759" s="27" t="str">
        <f t="shared" si="123"/>
        <v>Ryanair</v>
      </c>
      <c r="O759" s="3" t="s">
        <v>1385</v>
      </c>
      <c r="P759" s="20">
        <f t="shared" si="124"/>
        <v>14</v>
      </c>
      <c r="Q759" s="3" t="s">
        <v>1385</v>
      </c>
      <c r="R759" s="23" t="str">
        <f t="shared" si="125"/>
        <v>Monday</v>
      </c>
      <c r="S759" s="3" t="s">
        <v>1385</v>
      </c>
      <c r="T759" s="23" t="s">
        <v>85</v>
      </c>
      <c r="U759" s="3" t="s">
        <v>1385</v>
      </c>
      <c r="AO759" s="15"/>
      <c r="AP759" s="15"/>
      <c r="AQ759" s="15"/>
      <c r="AR759" s="23"/>
      <c r="AS759" s="15"/>
      <c r="AT759" s="15"/>
      <c r="AU759" s="23"/>
      <c r="AV759" s="23"/>
    </row>
    <row r="760" spans="1:48" x14ac:dyDescent="0.25">
      <c r="A760" t="s">
        <v>512</v>
      </c>
      <c r="B760" t="s">
        <v>513</v>
      </c>
      <c r="C760" s="10">
        <v>-20</v>
      </c>
      <c r="D760" t="s">
        <v>946</v>
      </c>
      <c r="E760" s="2">
        <f t="shared" si="127"/>
        <v>46216</v>
      </c>
      <c r="F760" s="3">
        <f t="shared" si="126"/>
        <v>0.6333333333333333</v>
      </c>
      <c r="G760" t="s">
        <v>65</v>
      </c>
      <c r="H760" t="s">
        <v>66</v>
      </c>
      <c r="I760" t="s">
        <v>67</v>
      </c>
      <c r="J760" s="2">
        <v>46216</v>
      </c>
      <c r="K760" s="1">
        <v>0.63194444444444442</v>
      </c>
      <c r="L760" s="10">
        <f t="shared" si="122"/>
        <v>-1.9999999999999929</v>
      </c>
      <c r="M760" s="1" t="str">
        <f t="shared" si="128"/>
        <v>On Time</v>
      </c>
      <c r="N760" s="27" t="e">
        <f t="shared" si="123"/>
        <v>#N/A</v>
      </c>
      <c r="O760" s="3" t="s">
        <v>1385</v>
      </c>
      <c r="P760" s="20">
        <f t="shared" si="124"/>
        <v>15</v>
      </c>
      <c r="Q760" s="3" t="s">
        <v>1385</v>
      </c>
      <c r="R760" s="23" t="str">
        <f t="shared" si="125"/>
        <v>Monday</v>
      </c>
      <c r="S760" s="3" t="s">
        <v>1385</v>
      </c>
      <c r="T760" s="23" t="s">
        <v>513</v>
      </c>
      <c r="U760" s="3" t="s">
        <v>1385</v>
      </c>
      <c r="AO760" s="15"/>
      <c r="AP760" s="15"/>
      <c r="AQ760" s="15"/>
      <c r="AR760" s="23"/>
      <c r="AS760" s="15"/>
      <c r="AT760" s="15"/>
      <c r="AU760" s="23"/>
      <c r="AV760" s="23"/>
    </row>
    <row r="761" spans="1:48" x14ac:dyDescent="0.25">
      <c r="A761" t="s">
        <v>156</v>
      </c>
      <c r="B761" t="s">
        <v>41</v>
      </c>
      <c r="C761" s="10">
        <v>-25</v>
      </c>
      <c r="D761" t="s">
        <v>164</v>
      </c>
      <c r="E761" s="2">
        <f t="shared" si="127"/>
        <v>46216</v>
      </c>
      <c r="F761" s="3">
        <f t="shared" si="126"/>
        <v>0.64166666666666672</v>
      </c>
      <c r="G761" t="s">
        <v>43</v>
      </c>
      <c r="H761" t="s">
        <v>44</v>
      </c>
      <c r="I761" t="s">
        <v>158</v>
      </c>
      <c r="J761" s="2">
        <v>46216</v>
      </c>
      <c r="K761" s="1">
        <v>0.63541666666666663</v>
      </c>
      <c r="L761" s="10">
        <f t="shared" si="122"/>
        <v>-9.0000000000001279</v>
      </c>
      <c r="M761" s="1" t="str">
        <f t="shared" si="128"/>
        <v>On Time</v>
      </c>
      <c r="N761" s="27" t="str">
        <f t="shared" si="123"/>
        <v>SAS</v>
      </c>
      <c r="O761" s="3" t="s">
        <v>1385</v>
      </c>
      <c r="P761" s="20">
        <f t="shared" si="124"/>
        <v>15</v>
      </c>
      <c r="Q761" s="3" t="s">
        <v>1385</v>
      </c>
      <c r="R761" s="23" t="str">
        <f t="shared" si="125"/>
        <v>Monday</v>
      </c>
      <c r="S761" s="3" t="s">
        <v>1385</v>
      </c>
      <c r="T761" s="23" t="s">
        <v>41</v>
      </c>
      <c r="U761" s="3" t="s">
        <v>1385</v>
      </c>
      <c r="AO761" s="15"/>
      <c r="AP761" s="15"/>
      <c r="AQ761" s="15"/>
      <c r="AR761" s="23"/>
      <c r="AS761" s="15"/>
      <c r="AT761" s="15"/>
      <c r="AU761" s="23"/>
      <c r="AV761" s="23"/>
    </row>
    <row r="762" spans="1:48" x14ac:dyDescent="0.25">
      <c r="A762" t="s">
        <v>254</v>
      </c>
      <c r="B762" t="s">
        <v>85</v>
      </c>
      <c r="C762" s="10">
        <v>-12</v>
      </c>
      <c r="D762" t="s">
        <v>340</v>
      </c>
      <c r="E762" s="2">
        <f t="shared" si="127"/>
        <v>46216</v>
      </c>
      <c r="F762" s="3">
        <f t="shared" si="126"/>
        <v>0.63541666666666663</v>
      </c>
      <c r="G762" t="s">
        <v>256</v>
      </c>
      <c r="H762" t="s">
        <v>257</v>
      </c>
      <c r="I762" t="s">
        <v>162</v>
      </c>
      <c r="J762" s="2">
        <v>46216</v>
      </c>
      <c r="K762" s="1">
        <v>0.64236111111111105</v>
      </c>
      <c r="L762" s="10">
        <f t="shared" si="122"/>
        <v>9.9999999999999645</v>
      </c>
      <c r="M762" s="1" t="str">
        <f t="shared" si="128"/>
        <v>On Time</v>
      </c>
      <c r="N762" s="27" t="str">
        <f t="shared" si="123"/>
        <v>Ryanair</v>
      </c>
      <c r="O762" s="3" t="s">
        <v>1385</v>
      </c>
      <c r="P762" s="20">
        <f t="shared" si="124"/>
        <v>15</v>
      </c>
      <c r="Q762" s="3" t="s">
        <v>1385</v>
      </c>
      <c r="R762" s="23" t="str">
        <f t="shared" si="125"/>
        <v>Monday</v>
      </c>
      <c r="S762" s="3" t="s">
        <v>1385</v>
      </c>
      <c r="T762" s="23" t="s">
        <v>85</v>
      </c>
      <c r="U762" s="3" t="s">
        <v>1385</v>
      </c>
      <c r="AO762" s="15"/>
      <c r="AP762" s="15"/>
      <c r="AQ762" s="15"/>
      <c r="AR762" s="23"/>
      <c r="AS762" s="15"/>
      <c r="AT762" s="15"/>
      <c r="AU762" s="23"/>
      <c r="AV762" s="23"/>
    </row>
    <row r="763" spans="1:48" x14ac:dyDescent="0.25">
      <c r="A763" t="s">
        <v>335</v>
      </c>
      <c r="B763" t="s">
        <v>7</v>
      </c>
      <c r="C763" s="10">
        <v>-41</v>
      </c>
      <c r="D763" t="s">
        <v>947</v>
      </c>
      <c r="E763" s="2">
        <f t="shared" si="127"/>
        <v>46216</v>
      </c>
      <c r="F763" s="3">
        <f t="shared" si="126"/>
        <v>0.65208333333333335</v>
      </c>
      <c r="G763" t="s">
        <v>337</v>
      </c>
      <c r="H763" t="s">
        <v>338</v>
      </c>
      <c r="I763" t="s">
        <v>11</v>
      </c>
      <c r="J763" s="2">
        <v>46216</v>
      </c>
      <c r="K763" s="1">
        <v>0.64236111111111105</v>
      </c>
      <c r="L763" s="10">
        <f t="shared" si="122"/>
        <v>-14.00000000000011</v>
      </c>
      <c r="M763" s="1" t="str">
        <f t="shared" si="128"/>
        <v>On Time</v>
      </c>
      <c r="N763" s="27" t="str">
        <f t="shared" si="123"/>
        <v>airBaltic</v>
      </c>
      <c r="O763" s="3" t="s">
        <v>1385</v>
      </c>
      <c r="P763" s="20">
        <f t="shared" si="124"/>
        <v>15</v>
      </c>
      <c r="Q763" s="3" t="s">
        <v>1385</v>
      </c>
      <c r="R763" s="23" t="str">
        <f t="shared" si="125"/>
        <v>Monday</v>
      </c>
      <c r="S763" s="3" t="s">
        <v>1385</v>
      </c>
      <c r="T763" s="23" t="s">
        <v>7</v>
      </c>
      <c r="U763" s="3" t="s">
        <v>1385</v>
      </c>
      <c r="AO763" s="15"/>
      <c r="AP763" s="15"/>
      <c r="AQ763" s="15"/>
      <c r="AR763" s="23"/>
      <c r="AS763" s="15"/>
      <c r="AT763" s="15"/>
      <c r="AU763" s="23"/>
      <c r="AV763" s="23"/>
    </row>
    <row r="764" spans="1:48" x14ac:dyDescent="0.25">
      <c r="A764" t="s">
        <v>348</v>
      </c>
      <c r="B764" t="s">
        <v>13</v>
      </c>
      <c r="C764" s="10">
        <v>-16</v>
      </c>
      <c r="D764" t="s">
        <v>948</v>
      </c>
      <c r="E764" s="2">
        <f t="shared" si="127"/>
        <v>46216</v>
      </c>
      <c r="F764" s="3">
        <f t="shared" si="126"/>
        <v>0.63958333333333328</v>
      </c>
      <c r="G764" t="s">
        <v>349</v>
      </c>
      <c r="H764" t="s">
        <v>350</v>
      </c>
      <c r="I764" t="s">
        <v>17</v>
      </c>
      <c r="J764" s="2">
        <v>46216</v>
      </c>
      <c r="K764" s="1">
        <v>0.64930555555555558</v>
      </c>
      <c r="L764" s="10">
        <f t="shared" si="122"/>
        <v>14.00000000000011</v>
      </c>
      <c r="M764" s="1" t="str">
        <f t="shared" si="128"/>
        <v>On Time</v>
      </c>
      <c r="N764" s="27" t="str">
        <f t="shared" si="123"/>
        <v>Wizz Air</v>
      </c>
      <c r="O764" s="3" t="s">
        <v>1385</v>
      </c>
      <c r="P764" s="20">
        <f t="shared" si="124"/>
        <v>15</v>
      </c>
      <c r="Q764" s="3" t="s">
        <v>1385</v>
      </c>
      <c r="R764" s="23" t="str">
        <f t="shared" si="125"/>
        <v>Monday</v>
      </c>
      <c r="S764" s="3" t="s">
        <v>1385</v>
      </c>
      <c r="T764" s="23" t="s">
        <v>13</v>
      </c>
      <c r="U764" s="3" t="s">
        <v>1385</v>
      </c>
      <c r="AO764" s="15"/>
      <c r="AP764" s="15"/>
      <c r="AQ764" s="15"/>
      <c r="AR764" s="23"/>
      <c r="AS764" s="15"/>
      <c r="AT764" s="15"/>
      <c r="AU764" s="23"/>
      <c r="AV764" s="23"/>
    </row>
    <row r="765" spans="1:48" x14ac:dyDescent="0.25">
      <c r="A765" t="s">
        <v>148</v>
      </c>
      <c r="B765" t="s">
        <v>7</v>
      </c>
      <c r="C765" s="10">
        <v>8</v>
      </c>
      <c r="D765" t="s">
        <v>600</v>
      </c>
      <c r="E765" s="2">
        <f t="shared" si="127"/>
        <v>46216</v>
      </c>
      <c r="F765" s="3">
        <f t="shared" si="126"/>
        <v>0.65555555555555556</v>
      </c>
      <c r="G765" t="s">
        <v>9</v>
      </c>
      <c r="H765" t="s">
        <v>10</v>
      </c>
      <c r="I765" t="s">
        <v>11</v>
      </c>
      <c r="J765" s="2">
        <v>46216</v>
      </c>
      <c r="K765" s="1">
        <v>0.67013888888888884</v>
      </c>
      <c r="L765" s="10">
        <f t="shared" si="122"/>
        <v>20.999999999999925</v>
      </c>
      <c r="M765" s="1" t="str">
        <f t="shared" si="128"/>
        <v>On Time</v>
      </c>
      <c r="N765" s="27" t="str">
        <f t="shared" si="123"/>
        <v>airBaltic</v>
      </c>
      <c r="O765" s="3" t="s">
        <v>1385</v>
      </c>
      <c r="P765" s="20">
        <f t="shared" si="124"/>
        <v>15</v>
      </c>
      <c r="Q765" s="3" t="s">
        <v>1385</v>
      </c>
      <c r="R765" s="23" t="str">
        <f t="shared" si="125"/>
        <v>Monday</v>
      </c>
      <c r="S765" s="3" t="s">
        <v>1385</v>
      </c>
      <c r="T765" s="23" t="s">
        <v>7</v>
      </c>
      <c r="U765" s="3" t="s">
        <v>1385</v>
      </c>
      <c r="AO765" s="15"/>
      <c r="AP765" s="15"/>
      <c r="AQ765" s="15"/>
      <c r="AR765" s="23"/>
      <c r="AS765" s="15"/>
      <c r="AT765" s="15"/>
      <c r="AU765" s="23"/>
      <c r="AV765" s="23"/>
    </row>
    <row r="766" spans="1:48" x14ac:dyDescent="0.25">
      <c r="A766" t="s">
        <v>175</v>
      </c>
      <c r="B766" t="s">
        <v>19</v>
      </c>
      <c r="C766" s="10">
        <v>-11</v>
      </c>
      <c r="D766" t="s">
        <v>904</v>
      </c>
      <c r="E766" s="2">
        <f t="shared" si="127"/>
        <v>46216</v>
      </c>
      <c r="F766" s="3">
        <f t="shared" si="126"/>
        <v>0.6743055555555556</v>
      </c>
      <c r="G766" t="s">
        <v>21</v>
      </c>
      <c r="H766" t="s">
        <v>22</v>
      </c>
      <c r="I766" t="s">
        <v>303</v>
      </c>
      <c r="J766" s="2">
        <v>46216</v>
      </c>
      <c r="K766" s="1">
        <v>0.68055555555555547</v>
      </c>
      <c r="L766" s="10">
        <f t="shared" si="122"/>
        <v>8.9999999999998082</v>
      </c>
      <c r="M766" s="1" t="str">
        <f t="shared" si="128"/>
        <v>On Time</v>
      </c>
      <c r="N766" s="27" t="str">
        <f t="shared" si="123"/>
        <v>LOT</v>
      </c>
      <c r="O766" s="3" t="s">
        <v>1385</v>
      </c>
      <c r="P766" s="20">
        <f t="shared" si="124"/>
        <v>16</v>
      </c>
      <c r="Q766" s="3" t="s">
        <v>1385</v>
      </c>
      <c r="R766" s="23" t="str">
        <f t="shared" si="125"/>
        <v>Monday</v>
      </c>
      <c r="S766" s="3" t="s">
        <v>1385</v>
      </c>
      <c r="T766" s="23" t="s">
        <v>19</v>
      </c>
      <c r="U766" s="3" t="s">
        <v>1385</v>
      </c>
      <c r="AO766" s="15"/>
      <c r="AP766" s="15"/>
      <c r="AQ766" s="15"/>
      <c r="AR766" s="23"/>
      <c r="AS766" s="15"/>
      <c r="AT766" s="15"/>
      <c r="AU766" s="23"/>
      <c r="AV766" s="23"/>
    </row>
    <row r="767" spans="1:48" x14ac:dyDescent="0.25">
      <c r="A767" t="s">
        <v>372</v>
      </c>
      <c r="B767" t="s">
        <v>85</v>
      </c>
      <c r="C767" s="10">
        <v>-8</v>
      </c>
      <c r="D767" t="s">
        <v>871</v>
      </c>
      <c r="E767" s="2">
        <f t="shared" si="127"/>
        <v>46216</v>
      </c>
      <c r="F767" s="3">
        <f t="shared" si="126"/>
        <v>0.70277777777777783</v>
      </c>
      <c r="G767" t="s">
        <v>368</v>
      </c>
      <c r="H767" t="s">
        <v>369</v>
      </c>
      <c r="I767" t="s">
        <v>89</v>
      </c>
      <c r="J767" s="2">
        <v>46216</v>
      </c>
      <c r="K767" s="1">
        <v>0.71180555555555547</v>
      </c>
      <c r="L767" s="10">
        <f t="shared" si="122"/>
        <v>12.999999999999794</v>
      </c>
      <c r="M767" s="1" t="str">
        <f t="shared" si="128"/>
        <v>On Time</v>
      </c>
      <c r="N767" s="27" t="str">
        <f t="shared" si="123"/>
        <v>Ryanair</v>
      </c>
      <c r="O767" s="3" t="s">
        <v>1385</v>
      </c>
      <c r="P767" s="20">
        <f t="shared" si="124"/>
        <v>16</v>
      </c>
      <c r="Q767" s="3" t="s">
        <v>1385</v>
      </c>
      <c r="R767" s="23" t="str">
        <f t="shared" si="125"/>
        <v>Monday</v>
      </c>
      <c r="S767" s="3" t="s">
        <v>1385</v>
      </c>
      <c r="T767" s="23" t="s">
        <v>85</v>
      </c>
      <c r="U767" s="3" t="s">
        <v>1385</v>
      </c>
      <c r="AO767" s="15"/>
      <c r="AP767" s="15"/>
      <c r="AQ767" s="15"/>
      <c r="AR767" s="23"/>
      <c r="AS767" s="15"/>
      <c r="AT767" s="15"/>
      <c r="AU767" s="23"/>
      <c r="AV767" s="23"/>
    </row>
    <row r="768" spans="1:48" x14ac:dyDescent="0.25">
      <c r="A768" t="s">
        <v>182</v>
      </c>
      <c r="B768" t="s">
        <v>69</v>
      </c>
      <c r="C768" s="10">
        <v>-40</v>
      </c>
      <c r="D768" t="s">
        <v>185</v>
      </c>
      <c r="E768" s="2">
        <f t="shared" si="127"/>
        <v>46216</v>
      </c>
      <c r="F768" s="3">
        <f t="shared" si="126"/>
        <v>0.76597222222222217</v>
      </c>
      <c r="G768" t="s">
        <v>71</v>
      </c>
      <c r="H768" t="s">
        <v>72</v>
      </c>
      <c r="I768" t="s">
        <v>73</v>
      </c>
      <c r="J768" s="2">
        <v>46216</v>
      </c>
      <c r="K768" s="1">
        <v>0.74305555555555547</v>
      </c>
      <c r="L768" s="10">
        <f t="shared" si="122"/>
        <v>-33.000000000000043</v>
      </c>
      <c r="M768" s="1" t="str">
        <f t="shared" si="128"/>
        <v>Delayed</v>
      </c>
      <c r="N768" s="27" t="str">
        <f t="shared" si="123"/>
        <v>Finnair</v>
      </c>
      <c r="O768" s="3" t="s">
        <v>1318</v>
      </c>
      <c r="P768" s="20">
        <f t="shared" si="124"/>
        <v>18</v>
      </c>
      <c r="Q768" s="3" t="s">
        <v>1318</v>
      </c>
      <c r="R768" s="23" t="str">
        <f t="shared" si="125"/>
        <v>Monday</v>
      </c>
      <c r="S768" s="3" t="s">
        <v>1318</v>
      </c>
      <c r="T768" s="23" t="s">
        <v>69</v>
      </c>
      <c r="U768" s="3" t="s">
        <v>1318</v>
      </c>
      <c r="AO768" s="15"/>
      <c r="AP768" s="15"/>
      <c r="AQ768" s="15"/>
      <c r="AR768" s="23"/>
      <c r="AS768" s="15"/>
      <c r="AT768" s="15"/>
      <c r="AU768" s="23"/>
      <c r="AV768" s="23"/>
    </row>
    <row r="769" spans="1:48" x14ac:dyDescent="0.25">
      <c r="A769" t="s">
        <v>186</v>
      </c>
      <c r="B769" t="s">
        <v>19</v>
      </c>
      <c r="C769" s="10">
        <v>-59</v>
      </c>
      <c r="D769" t="s">
        <v>608</v>
      </c>
      <c r="E769" s="2">
        <f t="shared" si="127"/>
        <v>46216</v>
      </c>
      <c r="F769" s="3">
        <f t="shared" si="126"/>
        <v>0.8041666666666667</v>
      </c>
      <c r="G769" t="s">
        <v>21</v>
      </c>
      <c r="H769" t="s">
        <v>22</v>
      </c>
      <c r="I769" t="s">
        <v>276</v>
      </c>
      <c r="J769" s="2">
        <v>46216</v>
      </c>
      <c r="K769" s="1">
        <v>0.77430555555555547</v>
      </c>
      <c r="L769" s="10">
        <f t="shared" si="122"/>
        <v>-43.000000000000171</v>
      </c>
      <c r="M769" s="1" t="str">
        <f t="shared" si="128"/>
        <v>Delayed</v>
      </c>
      <c r="N769" s="27" t="str">
        <f t="shared" si="123"/>
        <v>LOT</v>
      </c>
      <c r="O769" s="3" t="s">
        <v>1318</v>
      </c>
      <c r="P769" s="20">
        <f t="shared" si="124"/>
        <v>19</v>
      </c>
      <c r="Q769" s="3" t="s">
        <v>1318</v>
      </c>
      <c r="R769" s="23" t="str">
        <f t="shared" si="125"/>
        <v>Monday</v>
      </c>
      <c r="S769" s="3" t="s">
        <v>1318</v>
      </c>
      <c r="T769" s="23" t="s">
        <v>19</v>
      </c>
      <c r="U769" s="3" t="s">
        <v>1318</v>
      </c>
      <c r="AO769" s="15"/>
      <c r="AP769" s="15"/>
      <c r="AQ769" s="15"/>
      <c r="AR769" s="23"/>
      <c r="AS769" s="15"/>
      <c r="AT769" s="15"/>
      <c r="AU769" s="23"/>
      <c r="AV769" s="23"/>
    </row>
    <row r="770" spans="1:48" x14ac:dyDescent="0.25">
      <c r="A770" t="s">
        <v>366</v>
      </c>
      <c r="B770" t="s">
        <v>13</v>
      </c>
      <c r="C770" s="10">
        <v>-26</v>
      </c>
      <c r="D770" t="s">
        <v>949</v>
      </c>
      <c r="E770" s="2">
        <f t="shared" si="127"/>
        <v>46216</v>
      </c>
      <c r="F770" s="3">
        <f t="shared" si="126"/>
        <v>0.77986111111111101</v>
      </c>
      <c r="G770" t="s">
        <v>368</v>
      </c>
      <c r="H770" t="s">
        <v>369</v>
      </c>
      <c r="I770" t="s">
        <v>17</v>
      </c>
      <c r="J770" s="2">
        <v>46216</v>
      </c>
      <c r="K770" s="1">
        <v>0.78125</v>
      </c>
      <c r="L770" s="10">
        <f t="shared" ref="L770:L833" si="129">IF(J770&gt;E770,(K770+1-F770)*1440,IF(J770&lt;E770,-(F770+1-K770)*1440,(K770-F770)*1440))</f>
        <v>2.0000000000001528</v>
      </c>
      <c r="M770" s="1" t="str">
        <f t="shared" si="128"/>
        <v>On Time</v>
      </c>
      <c r="N770" s="27" t="str">
        <f t="shared" ref="N770:N833" si="130">IF(COUNTIFS($B$2:$B$1553,B770,$M$2:$M$1553,"&lt;&gt;#N/A")&gt;=30,B770,NA())</f>
        <v>Wizz Air</v>
      </c>
      <c r="O770" s="3" t="s">
        <v>1385</v>
      </c>
      <c r="P770" s="20">
        <f t="shared" ref="P770:P833" si="131">HOUR(F770)</f>
        <v>18</v>
      </c>
      <c r="Q770" s="3" t="s">
        <v>1385</v>
      </c>
      <c r="R770" s="23" t="str">
        <f t="shared" ref="R770:R833" si="132">TEXT(E770, "dddd")</f>
        <v>Monday</v>
      </c>
      <c r="S770" s="3" t="s">
        <v>1385</v>
      </c>
      <c r="T770" s="23" t="s">
        <v>13</v>
      </c>
      <c r="U770" s="3" t="s">
        <v>1385</v>
      </c>
      <c r="AO770" s="15"/>
      <c r="AP770" s="15"/>
      <c r="AQ770" s="15"/>
      <c r="AR770" s="23"/>
      <c r="AS770" s="15"/>
      <c r="AT770" s="15"/>
      <c r="AU770" s="23"/>
      <c r="AV770" s="23"/>
    </row>
    <row r="771" spans="1:48" x14ac:dyDescent="0.25">
      <c r="A771" t="s">
        <v>189</v>
      </c>
      <c r="B771" t="s">
        <v>190</v>
      </c>
      <c r="C771" s="10">
        <v>-44</v>
      </c>
      <c r="D771" t="s">
        <v>209</v>
      </c>
      <c r="E771" s="2">
        <f t="shared" si="127"/>
        <v>46216</v>
      </c>
      <c r="F771" s="3">
        <f t="shared" ref="F771:F834" si="133">IF(ISNUMBER(SEARCH("Landed", D771)), TIMEVALUE(_xlfn.TEXTAFTER(D771, " ")), NA())</f>
        <v>0.79999999999999993</v>
      </c>
      <c r="G771" t="s">
        <v>110</v>
      </c>
      <c r="H771" t="s">
        <v>111</v>
      </c>
      <c r="I771" t="s">
        <v>112</v>
      </c>
      <c r="J771" s="2">
        <v>46216</v>
      </c>
      <c r="K771" s="1">
        <v>0.78819444444444453</v>
      </c>
      <c r="L771" s="10">
        <f t="shared" si="129"/>
        <v>-16.99999999999978</v>
      </c>
      <c r="M771" s="1" t="str">
        <f t="shared" si="128"/>
        <v>Delayed</v>
      </c>
      <c r="N771" s="27" t="str">
        <f t="shared" si="130"/>
        <v>Lufthansa</v>
      </c>
      <c r="O771" s="3" t="s">
        <v>1318</v>
      </c>
      <c r="P771" s="20">
        <f t="shared" si="131"/>
        <v>19</v>
      </c>
      <c r="Q771" s="3" t="s">
        <v>1318</v>
      </c>
      <c r="R771" s="23" t="str">
        <f t="shared" si="132"/>
        <v>Monday</v>
      </c>
      <c r="S771" s="3" t="s">
        <v>1318</v>
      </c>
      <c r="T771" s="23" t="s">
        <v>190</v>
      </c>
      <c r="U771" s="3" t="s">
        <v>1318</v>
      </c>
      <c r="AO771" s="15"/>
      <c r="AP771" s="15"/>
      <c r="AQ771" s="15"/>
      <c r="AR771" s="23"/>
      <c r="AS771" s="15"/>
      <c r="AT771" s="15"/>
      <c r="AU771" s="23"/>
      <c r="AV771" s="23"/>
    </row>
    <row r="772" spans="1:48" x14ac:dyDescent="0.25">
      <c r="A772" t="s">
        <v>78</v>
      </c>
      <c r="B772" t="s">
        <v>363</v>
      </c>
      <c r="C772" s="10">
        <v>-135</v>
      </c>
      <c r="D772" t="s">
        <v>840</v>
      </c>
      <c r="E772" s="2">
        <f t="shared" si="127"/>
        <v>46216</v>
      </c>
      <c r="F772" s="3">
        <f t="shared" si="133"/>
        <v>0.80694444444444446</v>
      </c>
      <c r="G772" t="s">
        <v>81</v>
      </c>
      <c r="H772" t="s">
        <v>82</v>
      </c>
      <c r="I772" t="s">
        <v>83</v>
      </c>
      <c r="J772" s="2">
        <v>46216</v>
      </c>
      <c r="K772" s="1">
        <v>0.79513888888888884</v>
      </c>
      <c r="L772" s="10">
        <f t="shared" si="129"/>
        <v>-17.000000000000099</v>
      </c>
      <c r="M772" s="1" t="str">
        <f t="shared" si="128"/>
        <v>Delayed</v>
      </c>
      <c r="N772" s="27" t="e">
        <f t="shared" si="130"/>
        <v>#N/A</v>
      </c>
      <c r="O772" s="3" t="s">
        <v>1318</v>
      </c>
      <c r="P772" s="20">
        <f t="shared" si="131"/>
        <v>19</v>
      </c>
      <c r="Q772" s="3" t="s">
        <v>1318</v>
      </c>
      <c r="R772" s="23" t="str">
        <f t="shared" si="132"/>
        <v>Monday</v>
      </c>
      <c r="S772" s="3" t="s">
        <v>1318</v>
      </c>
      <c r="T772" s="23" t="s">
        <v>363</v>
      </c>
      <c r="U772" s="3" t="s">
        <v>1318</v>
      </c>
      <c r="AO772" s="15"/>
      <c r="AP772" s="15"/>
      <c r="AQ772" s="15"/>
      <c r="AR772" s="23"/>
      <c r="AS772" s="15"/>
      <c r="AT772" s="15"/>
      <c r="AU772" s="23"/>
      <c r="AV772" s="23"/>
    </row>
    <row r="773" spans="1:48" x14ac:dyDescent="0.25">
      <c r="A773" t="s">
        <v>208</v>
      </c>
      <c r="B773" t="s">
        <v>96</v>
      </c>
      <c r="C773" s="10">
        <v>-14</v>
      </c>
      <c r="D773" t="s">
        <v>950</v>
      </c>
      <c r="E773" s="2">
        <f t="shared" si="127"/>
        <v>46216</v>
      </c>
      <c r="F773" s="3">
        <f t="shared" si="133"/>
        <v>0.80208333333333337</v>
      </c>
      <c r="G773" t="s">
        <v>98</v>
      </c>
      <c r="H773" t="s">
        <v>99</v>
      </c>
      <c r="I773" t="s">
        <v>305</v>
      </c>
      <c r="J773" s="2">
        <v>46216</v>
      </c>
      <c r="K773" s="1">
        <v>0.8125</v>
      </c>
      <c r="L773" s="10">
        <f t="shared" si="129"/>
        <v>14.999999999999947</v>
      </c>
      <c r="M773" s="1" t="str">
        <f t="shared" si="128"/>
        <v>On Time</v>
      </c>
      <c r="N773" s="27" t="str">
        <f t="shared" si="130"/>
        <v>Turkish Airlines</v>
      </c>
      <c r="O773" s="3" t="s">
        <v>1385</v>
      </c>
      <c r="P773" s="20">
        <f t="shared" si="131"/>
        <v>19</v>
      </c>
      <c r="Q773" s="3" t="s">
        <v>1385</v>
      </c>
      <c r="R773" s="23" t="str">
        <f t="shared" si="132"/>
        <v>Monday</v>
      </c>
      <c r="S773" s="3" t="s">
        <v>1385</v>
      </c>
      <c r="T773" s="23" t="s">
        <v>96</v>
      </c>
      <c r="U773" s="3" t="s">
        <v>1385</v>
      </c>
      <c r="AO773" s="15"/>
      <c r="AP773" s="15"/>
      <c r="AQ773" s="15"/>
      <c r="AR773" s="23"/>
      <c r="AS773" s="15"/>
      <c r="AT773" s="15"/>
      <c r="AU773" s="23"/>
      <c r="AV773" s="23"/>
    </row>
    <row r="774" spans="1:48" x14ac:dyDescent="0.25">
      <c r="A774" t="s">
        <v>211</v>
      </c>
      <c r="B774" t="s">
        <v>7</v>
      </c>
      <c r="C774" s="10">
        <v>-21</v>
      </c>
      <c r="D774" t="s">
        <v>877</v>
      </c>
      <c r="E774" s="2">
        <f t="shared" si="127"/>
        <v>46216</v>
      </c>
      <c r="F774" s="3">
        <f t="shared" si="133"/>
        <v>0.82986111111111116</v>
      </c>
      <c r="G774" t="s">
        <v>135</v>
      </c>
      <c r="H774" t="s">
        <v>136</v>
      </c>
      <c r="I774" t="s">
        <v>11</v>
      </c>
      <c r="J774" s="2">
        <v>46216</v>
      </c>
      <c r="K774" s="1">
        <v>0.82638888888888884</v>
      </c>
      <c r="L774" s="10">
        <f t="shared" si="129"/>
        <v>-5.0000000000001421</v>
      </c>
      <c r="M774" s="1" t="str">
        <f t="shared" si="128"/>
        <v>On Time</v>
      </c>
      <c r="N774" s="27" t="str">
        <f t="shared" si="130"/>
        <v>airBaltic</v>
      </c>
      <c r="O774" s="3" t="s">
        <v>1385</v>
      </c>
      <c r="P774" s="20">
        <f t="shared" si="131"/>
        <v>19</v>
      </c>
      <c r="Q774" s="3" t="s">
        <v>1385</v>
      </c>
      <c r="R774" s="23" t="str">
        <f t="shared" si="132"/>
        <v>Monday</v>
      </c>
      <c r="S774" s="3" t="s">
        <v>1385</v>
      </c>
      <c r="T774" s="23" t="s">
        <v>7</v>
      </c>
      <c r="U774" s="3" t="s">
        <v>1385</v>
      </c>
      <c r="AO774" s="15"/>
      <c r="AP774" s="15"/>
      <c r="AQ774" s="15"/>
      <c r="AR774" s="23"/>
      <c r="AS774" s="15"/>
      <c r="AT774" s="15"/>
      <c r="AU774" s="23"/>
      <c r="AV774" s="23"/>
    </row>
    <row r="775" spans="1:48" x14ac:dyDescent="0.25">
      <c r="A775" t="s">
        <v>519</v>
      </c>
      <c r="B775" t="s">
        <v>85</v>
      </c>
      <c r="C775" s="10">
        <v>-4</v>
      </c>
      <c r="D775" t="s">
        <v>951</v>
      </c>
      <c r="E775" s="2">
        <f t="shared" si="127"/>
        <v>46216</v>
      </c>
      <c r="F775" s="3">
        <f t="shared" si="133"/>
        <v>0.84166666666666667</v>
      </c>
      <c r="G775" t="s">
        <v>110</v>
      </c>
      <c r="H775" t="s">
        <v>521</v>
      </c>
      <c r="I775" t="s">
        <v>89</v>
      </c>
      <c r="J775" s="2">
        <v>46216</v>
      </c>
      <c r="K775" s="1">
        <v>0.85416666666666663</v>
      </c>
      <c r="L775" s="10">
        <f t="shared" si="129"/>
        <v>17.999999999999936</v>
      </c>
      <c r="M775" s="1" t="str">
        <f t="shared" si="128"/>
        <v>On Time</v>
      </c>
      <c r="N775" s="27" t="str">
        <f t="shared" si="130"/>
        <v>Ryanair</v>
      </c>
      <c r="O775" s="3" t="s">
        <v>1385</v>
      </c>
      <c r="P775" s="20">
        <f t="shared" si="131"/>
        <v>20</v>
      </c>
      <c r="Q775" s="3" t="s">
        <v>1385</v>
      </c>
      <c r="R775" s="23" t="str">
        <f t="shared" si="132"/>
        <v>Monday</v>
      </c>
      <c r="S775" s="3" t="s">
        <v>1385</v>
      </c>
      <c r="T775" s="23" t="s">
        <v>85</v>
      </c>
      <c r="U775" s="3" t="s">
        <v>1385</v>
      </c>
      <c r="AO775" s="15"/>
      <c r="AP775" s="15"/>
      <c r="AQ775" s="15"/>
      <c r="AR775" s="23"/>
      <c r="AS775" s="15"/>
      <c r="AT775" s="15"/>
      <c r="AU775" s="23"/>
      <c r="AV775" s="23"/>
    </row>
    <row r="776" spans="1:48" x14ac:dyDescent="0.25">
      <c r="A776" t="s">
        <v>123</v>
      </c>
      <c r="B776" t="s">
        <v>123</v>
      </c>
      <c r="D776" t="s">
        <v>952</v>
      </c>
      <c r="E776" s="2">
        <f t="shared" si="127"/>
        <v>46216</v>
      </c>
      <c r="F776" s="3">
        <f t="shared" si="133"/>
        <v>0.85763888888888884</v>
      </c>
      <c r="G776" t="s">
        <v>21</v>
      </c>
      <c r="H776" t="s">
        <v>953</v>
      </c>
      <c r="I776" t="s">
        <v>301</v>
      </c>
      <c r="J776" s="2">
        <v>46216</v>
      </c>
      <c r="K776" s="1">
        <v>0.85763888888888884</v>
      </c>
      <c r="L776" s="10">
        <f t="shared" si="129"/>
        <v>0</v>
      </c>
      <c r="M776" s="1" t="str">
        <f t="shared" si="128"/>
        <v>On Time</v>
      </c>
      <c r="N776" s="27" t="e">
        <f t="shared" si="130"/>
        <v>#N/A</v>
      </c>
      <c r="O776" s="3" t="s">
        <v>1385</v>
      </c>
      <c r="P776" s="20">
        <f t="shared" si="131"/>
        <v>20</v>
      </c>
      <c r="Q776" s="3" t="s">
        <v>1385</v>
      </c>
      <c r="R776" s="23" t="str">
        <f t="shared" si="132"/>
        <v>Monday</v>
      </c>
      <c r="S776" s="3" t="s">
        <v>1385</v>
      </c>
      <c r="T776" s="23" t="s">
        <v>123</v>
      </c>
      <c r="U776" s="3" t="s">
        <v>1385</v>
      </c>
      <c r="AO776" s="15"/>
      <c r="AP776" s="15"/>
      <c r="AQ776" s="15"/>
      <c r="AR776" s="23"/>
      <c r="AS776" s="15"/>
      <c r="AT776" s="15"/>
      <c r="AU776" s="23"/>
      <c r="AV776" s="23"/>
    </row>
    <row r="777" spans="1:48" x14ac:dyDescent="0.25">
      <c r="A777" t="s">
        <v>219</v>
      </c>
      <c r="B777" t="s">
        <v>7</v>
      </c>
      <c r="C777" s="10">
        <v>-20</v>
      </c>
      <c r="D777" t="s">
        <v>794</v>
      </c>
      <c r="E777" s="2">
        <f t="shared" si="127"/>
        <v>46216</v>
      </c>
      <c r="F777" s="3">
        <f t="shared" si="133"/>
        <v>0.87152777777777779</v>
      </c>
      <c r="G777" t="s">
        <v>9</v>
      </c>
      <c r="H777" t="s">
        <v>10</v>
      </c>
      <c r="I777" t="s">
        <v>11</v>
      </c>
      <c r="J777" s="2">
        <v>46216</v>
      </c>
      <c r="K777" s="1">
        <v>0.86805555555555547</v>
      </c>
      <c r="L777" s="10">
        <f t="shared" si="129"/>
        <v>-5.0000000000001421</v>
      </c>
      <c r="M777" s="1" t="str">
        <f t="shared" si="128"/>
        <v>On Time</v>
      </c>
      <c r="N777" s="27" t="str">
        <f t="shared" si="130"/>
        <v>airBaltic</v>
      </c>
      <c r="O777" s="3" t="s">
        <v>1385</v>
      </c>
      <c r="P777" s="20">
        <f t="shared" si="131"/>
        <v>20</v>
      </c>
      <c r="Q777" s="3" t="s">
        <v>1385</v>
      </c>
      <c r="R777" s="23" t="str">
        <f t="shared" si="132"/>
        <v>Monday</v>
      </c>
      <c r="S777" s="3" t="s">
        <v>1385</v>
      </c>
      <c r="T777" s="23" t="s">
        <v>7</v>
      </c>
      <c r="U777" s="3" t="s">
        <v>1385</v>
      </c>
      <c r="AO777" s="15"/>
      <c r="AP777" s="15"/>
      <c r="AQ777" s="15"/>
      <c r="AR777" s="23"/>
      <c r="AS777" s="15"/>
      <c r="AT777" s="15"/>
      <c r="AU777" s="23"/>
      <c r="AV777" s="23"/>
    </row>
    <row r="778" spans="1:48" x14ac:dyDescent="0.25">
      <c r="A778" t="s">
        <v>159</v>
      </c>
      <c r="B778" t="s">
        <v>85</v>
      </c>
      <c r="C778" s="10">
        <v>-12</v>
      </c>
      <c r="D778" t="s">
        <v>954</v>
      </c>
      <c r="E778" s="2">
        <f t="shared" si="127"/>
        <v>46216</v>
      </c>
      <c r="F778" s="3">
        <f t="shared" si="133"/>
        <v>0.87847222222222221</v>
      </c>
      <c r="G778" t="s">
        <v>34</v>
      </c>
      <c r="H778" t="s">
        <v>161</v>
      </c>
      <c r="I778" t="s">
        <v>162</v>
      </c>
      <c r="J778" s="2">
        <v>46216</v>
      </c>
      <c r="K778" s="1">
        <v>0.88888888888888884</v>
      </c>
      <c r="L778" s="10">
        <f t="shared" si="129"/>
        <v>14.999999999999947</v>
      </c>
      <c r="M778" s="1" t="str">
        <f t="shared" si="128"/>
        <v>On Time</v>
      </c>
      <c r="N778" s="27" t="str">
        <f t="shared" si="130"/>
        <v>Ryanair</v>
      </c>
      <c r="O778" s="3" t="s">
        <v>1385</v>
      </c>
      <c r="P778" s="20">
        <f t="shared" si="131"/>
        <v>21</v>
      </c>
      <c r="Q778" s="3" t="s">
        <v>1385</v>
      </c>
      <c r="R778" s="23" t="str">
        <f t="shared" si="132"/>
        <v>Monday</v>
      </c>
      <c r="S778" s="3" t="s">
        <v>1385</v>
      </c>
      <c r="T778" s="23" t="s">
        <v>85</v>
      </c>
      <c r="U778" s="3" t="s">
        <v>1385</v>
      </c>
      <c r="AO778" s="15"/>
      <c r="AP778" s="15"/>
      <c r="AQ778" s="15"/>
      <c r="AR778" s="23"/>
      <c r="AS778" s="15"/>
      <c r="AT778" s="15"/>
      <c r="AU778" s="23"/>
      <c r="AV778" s="23"/>
    </row>
    <row r="779" spans="1:48" x14ac:dyDescent="0.25">
      <c r="A779" t="s">
        <v>123</v>
      </c>
      <c r="B779" t="s">
        <v>124</v>
      </c>
      <c r="D779" t="s">
        <v>841</v>
      </c>
      <c r="E779" s="2">
        <f t="shared" si="127"/>
        <v>46216</v>
      </c>
      <c r="F779" s="3">
        <f t="shared" si="133"/>
        <v>0.89513888888888893</v>
      </c>
      <c r="G779" t="s">
        <v>87</v>
      </c>
      <c r="H779" t="s">
        <v>88</v>
      </c>
      <c r="I779" t="s">
        <v>249</v>
      </c>
      <c r="J779" s="2">
        <v>46216</v>
      </c>
      <c r="K779" s="1">
        <v>0.90069444444444446</v>
      </c>
      <c r="L779" s="10">
        <f t="shared" si="129"/>
        <v>7.9999999999999716</v>
      </c>
      <c r="M779" s="1" t="str">
        <f t="shared" si="128"/>
        <v>On Time</v>
      </c>
      <c r="N779" s="27" t="str">
        <f t="shared" si="130"/>
        <v>GetJet Airlines</v>
      </c>
      <c r="O779" s="3" t="s">
        <v>1385</v>
      </c>
      <c r="P779" s="20">
        <f t="shared" si="131"/>
        <v>21</v>
      </c>
      <c r="Q779" s="3" t="s">
        <v>1385</v>
      </c>
      <c r="R779" s="23" t="str">
        <f t="shared" si="132"/>
        <v>Monday</v>
      </c>
      <c r="S779" s="3" t="s">
        <v>1385</v>
      </c>
      <c r="T779" s="23" t="s">
        <v>124</v>
      </c>
      <c r="U779" s="3" t="s">
        <v>1385</v>
      </c>
      <c r="AO779" s="15"/>
      <c r="AP779" s="15"/>
      <c r="AQ779" s="15"/>
      <c r="AR779" s="23"/>
      <c r="AS779" s="15"/>
      <c r="AT779" s="15"/>
      <c r="AU779" s="23"/>
      <c r="AV779" s="23"/>
    </row>
    <row r="780" spans="1:48" x14ac:dyDescent="0.25">
      <c r="A780" t="s">
        <v>233</v>
      </c>
      <c r="B780" t="s">
        <v>7</v>
      </c>
      <c r="C780" s="10">
        <v>-26</v>
      </c>
      <c r="D780" t="s">
        <v>955</v>
      </c>
      <c r="E780" s="2">
        <f t="shared" si="127"/>
        <v>46216</v>
      </c>
      <c r="F780" s="3">
        <f t="shared" si="133"/>
        <v>0.91527777777777775</v>
      </c>
      <c r="G780" t="s">
        <v>76</v>
      </c>
      <c r="H780" t="s">
        <v>77</v>
      </c>
      <c r="I780" t="s">
        <v>11</v>
      </c>
      <c r="J780" s="2">
        <v>46216</v>
      </c>
      <c r="K780" s="1">
        <v>0.90972222222222221</v>
      </c>
      <c r="L780" s="10">
        <f t="shared" si="129"/>
        <v>-7.9999999999999716</v>
      </c>
      <c r="M780" s="1" t="str">
        <f t="shared" si="128"/>
        <v>On Time</v>
      </c>
      <c r="N780" s="27" t="str">
        <f t="shared" si="130"/>
        <v>airBaltic</v>
      </c>
      <c r="O780" s="3" t="s">
        <v>1385</v>
      </c>
      <c r="P780" s="20">
        <f t="shared" si="131"/>
        <v>21</v>
      </c>
      <c r="Q780" s="3" t="s">
        <v>1385</v>
      </c>
      <c r="R780" s="23" t="str">
        <f t="shared" si="132"/>
        <v>Monday</v>
      </c>
      <c r="S780" s="3" t="s">
        <v>1385</v>
      </c>
      <c r="T780" s="23" t="s">
        <v>7</v>
      </c>
      <c r="U780" s="3" t="s">
        <v>1385</v>
      </c>
      <c r="AO780" s="15"/>
      <c r="AP780" s="15"/>
      <c r="AQ780" s="15"/>
      <c r="AR780" s="23"/>
      <c r="AS780" s="15"/>
      <c r="AT780" s="15"/>
      <c r="AU780" s="23"/>
      <c r="AV780" s="23"/>
    </row>
    <row r="781" spans="1:48" x14ac:dyDescent="0.25">
      <c r="A781" t="s">
        <v>331</v>
      </c>
      <c r="B781" t="s">
        <v>7</v>
      </c>
      <c r="C781" s="10">
        <v>-31</v>
      </c>
      <c r="D781" t="s">
        <v>956</v>
      </c>
      <c r="E781" s="2">
        <f t="shared" ref="E781:E844" si="134">J781</f>
        <v>46216</v>
      </c>
      <c r="F781" s="3">
        <f t="shared" si="133"/>
        <v>0.91319444444444453</v>
      </c>
      <c r="G781" t="s">
        <v>247</v>
      </c>
      <c r="H781" t="s">
        <v>248</v>
      </c>
      <c r="I781" t="s">
        <v>11</v>
      </c>
      <c r="J781" s="2">
        <v>46216</v>
      </c>
      <c r="K781" s="1">
        <v>0.90972222222222221</v>
      </c>
      <c r="L781" s="10">
        <f t="shared" si="129"/>
        <v>-5.0000000000001421</v>
      </c>
      <c r="M781" s="1" t="str">
        <f t="shared" si="128"/>
        <v>On Time</v>
      </c>
      <c r="N781" s="27" t="str">
        <f t="shared" si="130"/>
        <v>airBaltic</v>
      </c>
      <c r="O781" s="3" t="s">
        <v>1385</v>
      </c>
      <c r="P781" s="20">
        <f t="shared" si="131"/>
        <v>21</v>
      </c>
      <c r="Q781" s="3" t="s">
        <v>1385</v>
      </c>
      <c r="R781" s="23" t="str">
        <f t="shared" si="132"/>
        <v>Monday</v>
      </c>
      <c r="S781" s="3" t="s">
        <v>1385</v>
      </c>
      <c r="T781" s="23" t="s">
        <v>7</v>
      </c>
      <c r="U781" s="3" t="s">
        <v>1385</v>
      </c>
      <c r="AO781" s="15"/>
      <c r="AP781" s="15"/>
      <c r="AQ781" s="15"/>
      <c r="AR781" s="23"/>
      <c r="AS781" s="15"/>
      <c r="AT781" s="15"/>
      <c r="AU781" s="23"/>
      <c r="AV781" s="23"/>
    </row>
    <row r="782" spans="1:48" x14ac:dyDescent="0.25">
      <c r="A782" t="s">
        <v>319</v>
      </c>
      <c r="B782" t="s">
        <v>85</v>
      </c>
      <c r="C782" s="10">
        <v>-39</v>
      </c>
      <c r="D782" t="s">
        <v>462</v>
      </c>
      <c r="E782" s="2">
        <f t="shared" si="134"/>
        <v>46216</v>
      </c>
      <c r="F782" s="3">
        <f t="shared" si="133"/>
        <v>0.91736111111111107</v>
      </c>
      <c r="G782" t="s">
        <v>15</v>
      </c>
      <c r="H782" t="s">
        <v>16</v>
      </c>
      <c r="I782" t="s">
        <v>89</v>
      </c>
      <c r="J782" s="2">
        <v>46216</v>
      </c>
      <c r="K782" s="1">
        <v>0.91666666666666663</v>
      </c>
      <c r="L782" s="10">
        <f t="shared" si="129"/>
        <v>-0.99999999999999645</v>
      </c>
      <c r="M782" s="1" t="str">
        <f t="shared" si="128"/>
        <v>On Time</v>
      </c>
      <c r="N782" s="27" t="str">
        <f t="shared" si="130"/>
        <v>Ryanair</v>
      </c>
      <c r="O782" s="3" t="s">
        <v>1385</v>
      </c>
      <c r="P782" s="20">
        <f t="shared" si="131"/>
        <v>22</v>
      </c>
      <c r="Q782" s="3" t="s">
        <v>1385</v>
      </c>
      <c r="R782" s="23" t="str">
        <f t="shared" si="132"/>
        <v>Monday</v>
      </c>
      <c r="S782" s="3" t="s">
        <v>1385</v>
      </c>
      <c r="T782" s="23" t="s">
        <v>85</v>
      </c>
      <c r="U782" s="3" t="s">
        <v>1385</v>
      </c>
      <c r="AO782" s="15"/>
      <c r="AP782" s="15"/>
      <c r="AQ782" s="15"/>
      <c r="AR782" s="23"/>
      <c r="AS782" s="15"/>
      <c r="AT782" s="15"/>
      <c r="AU782" s="23"/>
      <c r="AV782" s="23"/>
    </row>
    <row r="783" spans="1:48" x14ac:dyDescent="0.25">
      <c r="A783" t="s">
        <v>235</v>
      </c>
      <c r="B783" t="s">
        <v>19</v>
      </c>
      <c r="C783" s="10">
        <v>-21</v>
      </c>
      <c r="D783" t="s">
        <v>957</v>
      </c>
      <c r="E783" s="2">
        <f t="shared" si="134"/>
        <v>46216</v>
      </c>
      <c r="F783" s="3">
        <f t="shared" si="133"/>
        <v>0.92847222222222225</v>
      </c>
      <c r="G783" t="s">
        <v>21</v>
      </c>
      <c r="H783" t="s">
        <v>22</v>
      </c>
      <c r="I783" t="s">
        <v>958</v>
      </c>
      <c r="J783" s="2">
        <v>46216</v>
      </c>
      <c r="K783" s="1">
        <v>0.93055555555555547</v>
      </c>
      <c r="L783" s="10">
        <f t="shared" si="129"/>
        <v>2.9999999999998295</v>
      </c>
      <c r="M783" s="1" t="str">
        <f t="shared" si="128"/>
        <v>On Time</v>
      </c>
      <c r="N783" s="27" t="str">
        <f t="shared" si="130"/>
        <v>LOT</v>
      </c>
      <c r="O783" s="3" t="s">
        <v>1385</v>
      </c>
      <c r="P783" s="20">
        <f t="shared" si="131"/>
        <v>22</v>
      </c>
      <c r="Q783" s="3" t="s">
        <v>1385</v>
      </c>
      <c r="R783" s="23" t="str">
        <f t="shared" si="132"/>
        <v>Monday</v>
      </c>
      <c r="S783" s="3" t="s">
        <v>1385</v>
      </c>
      <c r="T783" s="23" t="s">
        <v>19</v>
      </c>
      <c r="U783" s="3" t="s">
        <v>1385</v>
      </c>
      <c r="AO783" s="15"/>
      <c r="AP783" s="15"/>
      <c r="AQ783" s="15"/>
      <c r="AR783" s="23"/>
      <c r="AS783" s="15"/>
      <c r="AT783" s="15"/>
      <c r="AU783" s="23"/>
      <c r="AV783" s="23"/>
    </row>
    <row r="784" spans="1:48" x14ac:dyDescent="0.25">
      <c r="A784" t="s">
        <v>627</v>
      </c>
      <c r="B784" t="s">
        <v>239</v>
      </c>
      <c r="C784" s="10">
        <v>-8</v>
      </c>
      <c r="D784" t="s">
        <v>959</v>
      </c>
      <c r="E784" s="2">
        <f t="shared" si="134"/>
        <v>46216</v>
      </c>
      <c r="F784" s="3">
        <f t="shared" si="133"/>
        <v>0.93263888888888891</v>
      </c>
      <c r="G784" t="s">
        <v>629</v>
      </c>
      <c r="H784" t="s">
        <v>630</v>
      </c>
      <c r="I784" t="s">
        <v>83</v>
      </c>
      <c r="J784" s="2">
        <v>46216</v>
      </c>
      <c r="K784" s="1">
        <v>0.9375</v>
      </c>
      <c r="L784" s="10">
        <f t="shared" si="129"/>
        <v>6.9999999999999751</v>
      </c>
      <c r="M784" s="1" t="str">
        <f t="shared" si="128"/>
        <v>On Time</v>
      </c>
      <c r="N784" s="27" t="str">
        <f t="shared" si="130"/>
        <v>Eurowings</v>
      </c>
      <c r="O784" s="3" t="s">
        <v>1385</v>
      </c>
      <c r="P784" s="20">
        <f t="shared" si="131"/>
        <v>22</v>
      </c>
      <c r="Q784" s="3" t="s">
        <v>1385</v>
      </c>
      <c r="R784" s="23" t="str">
        <f t="shared" si="132"/>
        <v>Monday</v>
      </c>
      <c r="S784" s="3" t="s">
        <v>1385</v>
      </c>
      <c r="T784" s="23" t="s">
        <v>239</v>
      </c>
      <c r="U784" s="3" t="s">
        <v>1385</v>
      </c>
      <c r="AO784" s="15"/>
      <c r="AP784" s="15"/>
      <c r="AQ784" s="15"/>
      <c r="AR784" s="23"/>
      <c r="AS784" s="15"/>
      <c r="AT784" s="15"/>
      <c r="AU784" s="23"/>
      <c r="AV784" s="23"/>
    </row>
    <row r="785" spans="1:48" x14ac:dyDescent="0.25">
      <c r="A785" t="s">
        <v>321</v>
      </c>
      <c r="B785" t="s">
        <v>85</v>
      </c>
      <c r="C785" s="10">
        <v>-29</v>
      </c>
      <c r="D785" t="s">
        <v>960</v>
      </c>
      <c r="E785" s="2">
        <f t="shared" si="134"/>
        <v>46216</v>
      </c>
      <c r="F785" s="3">
        <f t="shared" si="133"/>
        <v>0.93958333333333333</v>
      </c>
      <c r="G785" t="s">
        <v>323</v>
      </c>
      <c r="H785" t="s">
        <v>324</v>
      </c>
      <c r="I785" t="s">
        <v>162</v>
      </c>
      <c r="J785" s="2">
        <v>46216</v>
      </c>
      <c r="K785" s="1">
        <v>0.94097222222222221</v>
      </c>
      <c r="L785" s="10">
        <f t="shared" si="129"/>
        <v>1.9999999999999929</v>
      </c>
      <c r="M785" s="1" t="str">
        <f t="shared" si="128"/>
        <v>On Time</v>
      </c>
      <c r="N785" s="27" t="str">
        <f t="shared" si="130"/>
        <v>Ryanair</v>
      </c>
      <c r="O785" s="3" t="s">
        <v>1385</v>
      </c>
      <c r="P785" s="20">
        <f t="shared" si="131"/>
        <v>22</v>
      </c>
      <c r="Q785" s="3" t="s">
        <v>1385</v>
      </c>
      <c r="R785" s="23" t="str">
        <f t="shared" si="132"/>
        <v>Monday</v>
      </c>
      <c r="S785" s="3" t="s">
        <v>1385</v>
      </c>
      <c r="T785" s="23" t="s">
        <v>85</v>
      </c>
      <c r="U785" s="3" t="s">
        <v>1385</v>
      </c>
      <c r="AO785" s="15"/>
      <c r="AP785" s="15"/>
      <c r="AQ785" s="15"/>
      <c r="AR785" s="23"/>
      <c r="AS785" s="15"/>
      <c r="AT785" s="15"/>
      <c r="AU785" s="23"/>
      <c r="AV785" s="23"/>
    </row>
    <row r="786" spans="1:48" x14ac:dyDescent="0.25">
      <c r="A786" t="s">
        <v>961</v>
      </c>
      <c r="B786" t="s">
        <v>124</v>
      </c>
      <c r="D786" t="s">
        <v>807</v>
      </c>
      <c r="E786" s="2">
        <f t="shared" si="134"/>
        <v>46216</v>
      </c>
      <c r="F786" s="3" t="e">
        <f t="shared" si="133"/>
        <v>#N/A</v>
      </c>
      <c r="G786" t="s">
        <v>962</v>
      </c>
      <c r="H786" t="s">
        <v>963</v>
      </c>
      <c r="I786" t="s">
        <v>67</v>
      </c>
      <c r="J786" s="2">
        <v>46216</v>
      </c>
      <c r="K786" s="1">
        <v>0.95694444444444438</v>
      </c>
      <c r="L786" s="10" t="e">
        <f t="shared" si="129"/>
        <v>#N/A</v>
      </c>
      <c r="M786" s="1" t="e">
        <f t="shared" si="128"/>
        <v>#N/A</v>
      </c>
      <c r="N786" s="27" t="str">
        <f t="shared" si="130"/>
        <v>GetJet Airlines</v>
      </c>
      <c r="O786" s="3" t="e">
        <v>#N/A</v>
      </c>
      <c r="P786" s="20" t="e">
        <f t="shared" si="131"/>
        <v>#N/A</v>
      </c>
      <c r="Q786" s="3" t="e">
        <v>#N/A</v>
      </c>
      <c r="R786" s="23" t="str">
        <f t="shared" si="132"/>
        <v>Monday</v>
      </c>
      <c r="S786" s="3" t="e">
        <v>#N/A</v>
      </c>
      <c r="T786" s="23" t="s">
        <v>124</v>
      </c>
      <c r="AO786" s="15"/>
      <c r="AP786" s="15"/>
      <c r="AQ786" s="15"/>
      <c r="AR786" s="23"/>
      <c r="AS786" s="15"/>
      <c r="AT786" s="15"/>
      <c r="AU786" s="23"/>
      <c r="AV786" s="23"/>
    </row>
    <row r="787" spans="1:48" x14ac:dyDescent="0.25">
      <c r="A787" t="s">
        <v>387</v>
      </c>
      <c r="B787" t="s">
        <v>388</v>
      </c>
      <c r="C787" s="10">
        <v>-11</v>
      </c>
      <c r="D787" t="s">
        <v>548</v>
      </c>
      <c r="E787" s="2">
        <f t="shared" si="134"/>
        <v>46216</v>
      </c>
      <c r="F787" s="3">
        <f t="shared" si="133"/>
        <v>0.97013888888888899</v>
      </c>
      <c r="G787" t="s">
        <v>119</v>
      </c>
      <c r="H787" t="s">
        <v>120</v>
      </c>
      <c r="I787" t="s">
        <v>390</v>
      </c>
      <c r="J787" s="2">
        <v>46216</v>
      </c>
      <c r="K787" s="1">
        <v>0.96805555555555556</v>
      </c>
      <c r="L787" s="10">
        <f t="shared" si="129"/>
        <v>-3.0000000000001492</v>
      </c>
      <c r="M787" s="1" t="str">
        <f t="shared" ref="M787:M850" si="135">IF(L787&gt;=-15, "On Time", "Delayed")</f>
        <v>On Time</v>
      </c>
      <c r="N787" s="27" t="e">
        <f t="shared" si="130"/>
        <v>#N/A</v>
      </c>
      <c r="O787" s="3" t="s">
        <v>1385</v>
      </c>
      <c r="P787" s="20">
        <f t="shared" si="131"/>
        <v>23</v>
      </c>
      <c r="Q787" s="3" t="s">
        <v>1385</v>
      </c>
      <c r="R787" s="23" t="str">
        <f t="shared" si="132"/>
        <v>Monday</v>
      </c>
      <c r="S787" s="3" t="s">
        <v>1385</v>
      </c>
      <c r="T787" s="23" t="s">
        <v>388</v>
      </c>
      <c r="U787" s="3" t="s">
        <v>1385</v>
      </c>
      <c r="AO787" s="15"/>
      <c r="AP787" s="15"/>
      <c r="AQ787" s="15"/>
      <c r="AR787" s="23"/>
      <c r="AS787" s="15"/>
      <c r="AT787" s="15"/>
      <c r="AU787" s="23"/>
      <c r="AV787" s="23"/>
    </row>
    <row r="788" spans="1:48" x14ac:dyDescent="0.25">
      <c r="A788" t="s">
        <v>344</v>
      </c>
      <c r="B788" t="s">
        <v>85</v>
      </c>
      <c r="C788" s="10">
        <v>-8</v>
      </c>
      <c r="D788" t="s">
        <v>631</v>
      </c>
      <c r="E788" s="2">
        <f t="shared" si="134"/>
        <v>46216</v>
      </c>
      <c r="F788" s="3">
        <f t="shared" si="133"/>
        <v>0.9819444444444444</v>
      </c>
      <c r="G788" t="s">
        <v>346</v>
      </c>
      <c r="H788" t="s">
        <v>347</v>
      </c>
      <c r="I788" t="s">
        <v>89</v>
      </c>
      <c r="J788" s="2">
        <v>46216</v>
      </c>
      <c r="K788" s="1">
        <v>0.99652777777777779</v>
      </c>
      <c r="L788" s="10">
        <f t="shared" si="129"/>
        <v>21.000000000000085</v>
      </c>
      <c r="M788" s="1" t="str">
        <f t="shared" si="135"/>
        <v>On Time</v>
      </c>
      <c r="N788" s="27" t="str">
        <f t="shared" si="130"/>
        <v>Ryanair</v>
      </c>
      <c r="O788" s="3" t="s">
        <v>1385</v>
      </c>
      <c r="P788" s="20">
        <f t="shared" si="131"/>
        <v>23</v>
      </c>
      <c r="Q788" s="3" t="s">
        <v>1385</v>
      </c>
      <c r="R788" s="23" t="str">
        <f t="shared" si="132"/>
        <v>Monday</v>
      </c>
      <c r="S788" s="3" t="s">
        <v>1385</v>
      </c>
      <c r="T788" s="23" t="s">
        <v>85</v>
      </c>
      <c r="U788" s="3" t="s">
        <v>1385</v>
      </c>
      <c r="AO788" s="15"/>
      <c r="AP788" s="15"/>
      <c r="AQ788" s="15"/>
      <c r="AR788" s="23"/>
      <c r="AS788" s="15"/>
      <c r="AT788" s="15"/>
      <c r="AU788" s="23"/>
      <c r="AV788" s="23"/>
    </row>
    <row r="789" spans="1:48" x14ac:dyDescent="0.25">
      <c r="A789" t="s">
        <v>258</v>
      </c>
      <c r="B789" t="s">
        <v>190</v>
      </c>
      <c r="C789" s="10">
        <v>-26</v>
      </c>
      <c r="D789" t="s">
        <v>810</v>
      </c>
      <c r="E789" s="2">
        <f t="shared" si="134"/>
        <v>46216</v>
      </c>
      <c r="F789" s="3">
        <f t="shared" si="133"/>
        <v>0.99513888888888891</v>
      </c>
      <c r="G789" t="s">
        <v>110</v>
      </c>
      <c r="H789" t="s">
        <v>111</v>
      </c>
      <c r="I789" t="s">
        <v>210</v>
      </c>
      <c r="J789" s="2">
        <v>46216</v>
      </c>
      <c r="K789" s="1">
        <v>0.99652777777777779</v>
      </c>
      <c r="L789" s="10">
        <f t="shared" si="129"/>
        <v>1.9999999999999929</v>
      </c>
      <c r="M789" s="1" t="str">
        <f t="shared" si="135"/>
        <v>On Time</v>
      </c>
      <c r="N789" s="27" t="str">
        <f t="shared" si="130"/>
        <v>Lufthansa</v>
      </c>
      <c r="O789" s="3" t="s">
        <v>1385</v>
      </c>
      <c r="P789" s="20">
        <f t="shared" si="131"/>
        <v>23</v>
      </c>
      <c r="Q789" s="3" t="s">
        <v>1385</v>
      </c>
      <c r="R789" s="23" t="str">
        <f t="shared" si="132"/>
        <v>Monday</v>
      </c>
      <c r="S789" s="3" t="s">
        <v>1385</v>
      </c>
      <c r="T789" s="23" t="s">
        <v>190</v>
      </c>
      <c r="U789" s="3" t="s">
        <v>1385</v>
      </c>
      <c r="AO789" s="15"/>
      <c r="AP789" s="15"/>
      <c r="AQ789" s="15"/>
      <c r="AR789" s="23"/>
      <c r="AS789" s="15"/>
      <c r="AT789" s="15"/>
      <c r="AU789" s="23"/>
      <c r="AV789" s="23"/>
    </row>
    <row r="790" spans="1:48" x14ac:dyDescent="0.25">
      <c r="A790" t="s">
        <v>265</v>
      </c>
      <c r="B790" t="s">
        <v>7</v>
      </c>
      <c r="C790" s="10">
        <v>-32</v>
      </c>
      <c r="D790" t="s">
        <v>964</v>
      </c>
      <c r="E790" s="2">
        <f t="shared" si="134"/>
        <v>46217</v>
      </c>
      <c r="F790" s="3">
        <f t="shared" si="133"/>
        <v>1.8749999999999999E-2</v>
      </c>
      <c r="G790" t="s">
        <v>180</v>
      </c>
      <c r="H790" t="s">
        <v>181</v>
      </c>
      <c r="I790" t="s">
        <v>11</v>
      </c>
      <c r="J790" s="2">
        <v>46217</v>
      </c>
      <c r="K790" s="1">
        <v>1.0416666666666666E-2</v>
      </c>
      <c r="L790" s="10">
        <f t="shared" si="129"/>
        <v>-12</v>
      </c>
      <c r="M790" s="1" t="str">
        <f t="shared" si="135"/>
        <v>On Time</v>
      </c>
      <c r="N790" s="27" t="str">
        <f t="shared" si="130"/>
        <v>airBaltic</v>
      </c>
      <c r="O790" s="3" t="s">
        <v>1385</v>
      </c>
      <c r="P790" s="20">
        <f t="shared" si="131"/>
        <v>0</v>
      </c>
      <c r="Q790" s="3" t="s">
        <v>1385</v>
      </c>
      <c r="R790" s="23" t="str">
        <f t="shared" si="132"/>
        <v>Tuesday</v>
      </c>
      <c r="S790" s="3" t="s">
        <v>1385</v>
      </c>
      <c r="T790" s="23" t="s">
        <v>7</v>
      </c>
      <c r="U790" s="3" t="s">
        <v>1385</v>
      </c>
      <c r="AO790" s="15"/>
      <c r="AP790" s="15"/>
      <c r="AQ790" s="15"/>
      <c r="AR790" s="23"/>
      <c r="AS790" s="15"/>
      <c r="AT790" s="15"/>
      <c r="AU790" s="23"/>
      <c r="AV790" s="23"/>
    </row>
    <row r="791" spans="1:48" x14ac:dyDescent="0.25">
      <c r="A791" t="s">
        <v>163</v>
      </c>
      <c r="B791" t="s">
        <v>13</v>
      </c>
      <c r="C791" s="10">
        <v>-14</v>
      </c>
      <c r="D791" t="s">
        <v>965</v>
      </c>
      <c r="E791" s="2">
        <f t="shared" si="134"/>
        <v>46217</v>
      </c>
      <c r="F791" s="3">
        <f t="shared" si="133"/>
        <v>1.1111111111111112E-2</v>
      </c>
      <c r="G791" t="s">
        <v>165</v>
      </c>
      <c r="H791" t="s">
        <v>166</v>
      </c>
      <c r="I791" t="s">
        <v>17</v>
      </c>
      <c r="J791" s="2">
        <v>46217</v>
      </c>
      <c r="K791" s="1">
        <v>1.3888888888888888E-2</v>
      </c>
      <c r="L791" s="10">
        <f t="shared" si="129"/>
        <v>3.9999999999999982</v>
      </c>
      <c r="M791" s="1" t="str">
        <f t="shared" si="135"/>
        <v>On Time</v>
      </c>
      <c r="N791" s="27" t="str">
        <f t="shared" si="130"/>
        <v>Wizz Air</v>
      </c>
      <c r="O791" s="3" t="s">
        <v>1385</v>
      </c>
      <c r="P791" s="20">
        <f t="shared" si="131"/>
        <v>0</v>
      </c>
      <c r="Q791" s="3" t="s">
        <v>1385</v>
      </c>
      <c r="R791" s="23" t="str">
        <f t="shared" si="132"/>
        <v>Tuesday</v>
      </c>
      <c r="S791" s="3" t="s">
        <v>1385</v>
      </c>
      <c r="T791" s="23" t="s">
        <v>13</v>
      </c>
      <c r="U791" s="3" t="s">
        <v>1385</v>
      </c>
      <c r="AO791" s="15"/>
      <c r="AP791" s="15"/>
      <c r="AQ791" s="15"/>
      <c r="AR791" s="23"/>
      <c r="AS791" s="15"/>
      <c r="AT791" s="15"/>
      <c r="AU791" s="23"/>
      <c r="AV791" s="23"/>
    </row>
    <row r="792" spans="1:48" x14ac:dyDescent="0.25">
      <c r="A792" t="s">
        <v>6</v>
      </c>
      <c r="B792" t="s">
        <v>7</v>
      </c>
      <c r="C792" s="10">
        <v>-49</v>
      </c>
      <c r="D792" t="s">
        <v>966</v>
      </c>
      <c r="E792" s="2">
        <f t="shared" si="134"/>
        <v>46217</v>
      </c>
      <c r="F792" s="3">
        <f t="shared" si="133"/>
        <v>4.5138888888888888E-2</v>
      </c>
      <c r="G792" t="s">
        <v>9</v>
      </c>
      <c r="H792" t="s">
        <v>10</v>
      </c>
      <c r="I792" t="s">
        <v>11</v>
      </c>
      <c r="J792" s="2">
        <v>46217</v>
      </c>
      <c r="K792" s="1">
        <v>2.0833333333333332E-2</v>
      </c>
      <c r="L792" s="10">
        <f t="shared" si="129"/>
        <v>-35</v>
      </c>
      <c r="M792" s="1" t="str">
        <f t="shared" si="135"/>
        <v>Delayed</v>
      </c>
      <c r="N792" s="27" t="str">
        <f t="shared" si="130"/>
        <v>airBaltic</v>
      </c>
      <c r="O792" s="3" t="s">
        <v>1318</v>
      </c>
      <c r="P792" s="20">
        <f t="shared" si="131"/>
        <v>1</v>
      </c>
      <c r="Q792" s="3" t="s">
        <v>1318</v>
      </c>
      <c r="R792" s="23" t="str">
        <f t="shared" si="132"/>
        <v>Tuesday</v>
      </c>
      <c r="S792" s="3" t="s">
        <v>1318</v>
      </c>
      <c r="T792" s="23" t="s">
        <v>7</v>
      </c>
      <c r="U792" s="3" t="s">
        <v>1318</v>
      </c>
      <c r="AO792" s="15"/>
      <c r="AP792" s="15"/>
      <c r="AQ792" s="15"/>
      <c r="AR792" s="23"/>
      <c r="AS792" s="15"/>
      <c r="AT792" s="15"/>
      <c r="AU792" s="23"/>
      <c r="AV792" s="23"/>
    </row>
    <row r="793" spans="1:48" x14ac:dyDescent="0.25">
      <c r="A793" t="s">
        <v>18</v>
      </c>
      <c r="B793" t="s">
        <v>19</v>
      </c>
      <c r="C793" s="10">
        <v>-72</v>
      </c>
      <c r="D793" t="s">
        <v>751</v>
      </c>
      <c r="E793" s="2">
        <f t="shared" si="134"/>
        <v>46217</v>
      </c>
      <c r="F793" s="3">
        <f t="shared" si="133"/>
        <v>6.25E-2</v>
      </c>
      <c r="G793" t="s">
        <v>21</v>
      </c>
      <c r="H793" t="s">
        <v>22</v>
      </c>
      <c r="I793" t="s">
        <v>188</v>
      </c>
      <c r="J793" s="2">
        <v>46217</v>
      </c>
      <c r="K793" s="1">
        <v>2.7777777777777776E-2</v>
      </c>
      <c r="L793" s="10">
        <f t="shared" si="129"/>
        <v>-50</v>
      </c>
      <c r="M793" s="1" t="str">
        <f t="shared" si="135"/>
        <v>Delayed</v>
      </c>
      <c r="N793" s="27" t="str">
        <f t="shared" si="130"/>
        <v>LOT</v>
      </c>
      <c r="O793" s="3" t="s">
        <v>1318</v>
      </c>
      <c r="P793" s="20">
        <f t="shared" si="131"/>
        <v>1</v>
      </c>
      <c r="Q793" s="3" t="s">
        <v>1318</v>
      </c>
      <c r="R793" s="23" t="str">
        <f t="shared" si="132"/>
        <v>Tuesday</v>
      </c>
      <c r="S793" s="3" t="s">
        <v>1318</v>
      </c>
      <c r="T793" s="23" t="s">
        <v>19</v>
      </c>
      <c r="U793" s="3" t="s">
        <v>1318</v>
      </c>
      <c r="AO793" s="15"/>
      <c r="AP793" s="15"/>
      <c r="AQ793" s="15"/>
      <c r="AR793" s="23"/>
      <c r="AS793" s="15"/>
      <c r="AT793" s="15"/>
      <c r="AU793" s="23"/>
      <c r="AV793" s="23"/>
    </row>
    <row r="794" spans="1:48" x14ac:dyDescent="0.25">
      <c r="A794" t="s">
        <v>402</v>
      </c>
      <c r="B794" t="s">
        <v>13</v>
      </c>
      <c r="C794" s="10">
        <v>-42</v>
      </c>
      <c r="D794" t="s">
        <v>637</v>
      </c>
      <c r="E794" s="2">
        <f t="shared" si="134"/>
        <v>46217</v>
      </c>
      <c r="F794" s="3">
        <f t="shared" si="133"/>
        <v>4.7222222222222221E-2</v>
      </c>
      <c r="G794" t="s">
        <v>404</v>
      </c>
      <c r="H794" t="s">
        <v>405</v>
      </c>
      <c r="I794" t="s">
        <v>17</v>
      </c>
      <c r="J794" s="2">
        <v>46217</v>
      </c>
      <c r="K794" s="1">
        <v>4.5138888888888888E-2</v>
      </c>
      <c r="L794" s="10">
        <f t="shared" si="129"/>
        <v>-2.9999999999999991</v>
      </c>
      <c r="M794" s="1" t="str">
        <f t="shared" si="135"/>
        <v>On Time</v>
      </c>
      <c r="N794" s="27" t="str">
        <f t="shared" si="130"/>
        <v>Wizz Air</v>
      </c>
      <c r="O794" s="3" t="s">
        <v>1385</v>
      </c>
      <c r="P794" s="20">
        <f t="shared" si="131"/>
        <v>1</v>
      </c>
      <c r="Q794" s="3" t="s">
        <v>1385</v>
      </c>
      <c r="R794" s="23" t="str">
        <f t="shared" si="132"/>
        <v>Tuesday</v>
      </c>
      <c r="S794" s="3" t="s">
        <v>1385</v>
      </c>
      <c r="T794" s="23" t="s">
        <v>13</v>
      </c>
      <c r="U794" s="3" t="s">
        <v>1385</v>
      </c>
      <c r="AO794" s="15"/>
      <c r="AP794" s="15"/>
      <c r="AQ794" s="15"/>
      <c r="AR794" s="23"/>
      <c r="AS794" s="15"/>
      <c r="AT794" s="15"/>
      <c r="AU794" s="23"/>
      <c r="AV794" s="23"/>
    </row>
    <row r="795" spans="1:48" x14ac:dyDescent="0.25">
      <c r="A795" t="s">
        <v>418</v>
      </c>
      <c r="B795" t="s">
        <v>85</v>
      </c>
      <c r="C795" s="10">
        <v>-8</v>
      </c>
      <c r="D795" t="s">
        <v>967</v>
      </c>
      <c r="E795" s="2">
        <f t="shared" si="134"/>
        <v>46217</v>
      </c>
      <c r="F795" s="3">
        <f t="shared" si="133"/>
        <v>3.888888888888889E-2</v>
      </c>
      <c r="G795" t="s">
        <v>419</v>
      </c>
      <c r="H795" t="s">
        <v>420</v>
      </c>
      <c r="I795" t="s">
        <v>89</v>
      </c>
      <c r="J795" s="2">
        <v>46217</v>
      </c>
      <c r="K795" s="1">
        <v>5.2083333333333336E-2</v>
      </c>
      <c r="L795" s="10">
        <f t="shared" si="129"/>
        <v>19.000000000000004</v>
      </c>
      <c r="M795" s="1" t="str">
        <f t="shared" si="135"/>
        <v>On Time</v>
      </c>
      <c r="N795" s="27" t="str">
        <f t="shared" si="130"/>
        <v>Ryanair</v>
      </c>
      <c r="O795" s="3" t="s">
        <v>1385</v>
      </c>
      <c r="P795" s="20">
        <f t="shared" si="131"/>
        <v>0</v>
      </c>
      <c r="Q795" s="3" t="s">
        <v>1385</v>
      </c>
      <c r="R795" s="23" t="str">
        <f t="shared" si="132"/>
        <v>Tuesday</v>
      </c>
      <c r="S795" s="3" t="s">
        <v>1385</v>
      </c>
      <c r="T795" s="23" t="s">
        <v>85</v>
      </c>
      <c r="U795" s="3" t="s">
        <v>1385</v>
      </c>
      <c r="AO795" s="15"/>
      <c r="AP795" s="15"/>
      <c r="AQ795" s="15"/>
      <c r="AR795" s="23"/>
      <c r="AS795" s="15"/>
      <c r="AT795" s="15"/>
      <c r="AU795" s="23"/>
      <c r="AV795" s="23"/>
    </row>
    <row r="796" spans="1:48" x14ac:dyDescent="0.25">
      <c r="A796" t="s">
        <v>32</v>
      </c>
      <c r="B796" t="s">
        <v>13</v>
      </c>
      <c r="C796" s="10">
        <v>-30</v>
      </c>
      <c r="D796" t="s">
        <v>408</v>
      </c>
      <c r="E796" s="2">
        <f t="shared" si="134"/>
        <v>46217</v>
      </c>
      <c r="F796" s="3">
        <f t="shared" si="133"/>
        <v>5.9027777777777783E-2</v>
      </c>
      <c r="G796" t="s">
        <v>34</v>
      </c>
      <c r="H796" t="s">
        <v>35</v>
      </c>
      <c r="I796" t="s">
        <v>17</v>
      </c>
      <c r="J796" s="2">
        <v>46217</v>
      </c>
      <c r="K796" s="1">
        <v>5.5555555555555552E-2</v>
      </c>
      <c r="L796" s="10">
        <f t="shared" si="129"/>
        <v>-5.0000000000000124</v>
      </c>
      <c r="M796" s="1" t="str">
        <f t="shared" si="135"/>
        <v>On Time</v>
      </c>
      <c r="N796" s="27" t="str">
        <f t="shared" si="130"/>
        <v>Wizz Air</v>
      </c>
      <c r="O796" s="3" t="s">
        <v>1385</v>
      </c>
      <c r="P796" s="20">
        <f t="shared" si="131"/>
        <v>1</v>
      </c>
      <c r="Q796" s="3" t="s">
        <v>1385</v>
      </c>
      <c r="R796" s="23" t="str">
        <f t="shared" si="132"/>
        <v>Tuesday</v>
      </c>
      <c r="S796" s="3" t="s">
        <v>1385</v>
      </c>
      <c r="T796" s="23" t="s">
        <v>13</v>
      </c>
      <c r="U796" s="3" t="s">
        <v>1385</v>
      </c>
      <c r="AO796" s="15"/>
      <c r="AP796" s="15"/>
      <c r="AQ796" s="15"/>
      <c r="AR796" s="23"/>
      <c r="AS796" s="15"/>
      <c r="AT796" s="15"/>
      <c r="AU796" s="23"/>
      <c r="AV796" s="23"/>
    </row>
    <row r="797" spans="1:48" x14ac:dyDescent="0.25">
      <c r="A797" t="s">
        <v>36</v>
      </c>
      <c r="B797" t="s">
        <v>7</v>
      </c>
      <c r="C797" s="10">
        <v>-17</v>
      </c>
      <c r="D797" t="s">
        <v>8</v>
      </c>
      <c r="E797" s="2">
        <f t="shared" si="134"/>
        <v>46217</v>
      </c>
      <c r="F797" s="3">
        <f t="shared" si="133"/>
        <v>5.1388888888888894E-2</v>
      </c>
      <c r="G797" t="s">
        <v>38</v>
      </c>
      <c r="H797" t="s">
        <v>39</v>
      </c>
      <c r="I797" t="s">
        <v>11</v>
      </c>
      <c r="J797" s="2">
        <v>46217</v>
      </c>
      <c r="K797" s="1">
        <v>5.9027777777777783E-2</v>
      </c>
      <c r="L797" s="10">
        <f t="shared" si="129"/>
        <v>11</v>
      </c>
      <c r="M797" s="1" t="str">
        <f t="shared" si="135"/>
        <v>On Time</v>
      </c>
      <c r="N797" s="27" t="str">
        <f t="shared" si="130"/>
        <v>airBaltic</v>
      </c>
      <c r="O797" s="3" t="s">
        <v>1385</v>
      </c>
      <c r="P797" s="20">
        <f t="shared" si="131"/>
        <v>1</v>
      </c>
      <c r="Q797" s="3" t="s">
        <v>1385</v>
      </c>
      <c r="R797" s="23" t="str">
        <f t="shared" si="132"/>
        <v>Tuesday</v>
      </c>
      <c r="S797" s="3" t="s">
        <v>1385</v>
      </c>
      <c r="T797" s="23" t="s">
        <v>7</v>
      </c>
      <c r="U797" s="3" t="s">
        <v>1385</v>
      </c>
      <c r="AO797" s="15"/>
      <c r="AP797" s="15"/>
      <c r="AQ797" s="15"/>
      <c r="AR797" s="23"/>
      <c r="AS797" s="15"/>
      <c r="AT797" s="15"/>
      <c r="AU797" s="23"/>
      <c r="AV797" s="23"/>
    </row>
    <row r="798" spans="1:48" x14ac:dyDescent="0.25">
      <c r="A798" t="s">
        <v>40</v>
      </c>
      <c r="B798" t="s">
        <v>41</v>
      </c>
      <c r="C798" s="10">
        <v>-18</v>
      </c>
      <c r="D798" t="s">
        <v>968</v>
      </c>
      <c r="E798" s="2">
        <f t="shared" si="134"/>
        <v>46217</v>
      </c>
      <c r="F798" s="3">
        <f t="shared" si="133"/>
        <v>6.1111111111111116E-2</v>
      </c>
      <c r="G798" t="s">
        <v>43</v>
      </c>
      <c r="H798" t="s">
        <v>44</v>
      </c>
      <c r="I798" t="s">
        <v>158</v>
      </c>
      <c r="J798" s="2">
        <v>46217</v>
      </c>
      <c r="K798" s="1">
        <v>5.9027777777777783E-2</v>
      </c>
      <c r="L798" s="10">
        <f t="shared" si="129"/>
        <v>-2.9999999999999991</v>
      </c>
      <c r="M798" s="1" t="str">
        <f t="shared" si="135"/>
        <v>On Time</v>
      </c>
      <c r="N798" s="27" t="str">
        <f t="shared" si="130"/>
        <v>SAS</v>
      </c>
      <c r="O798" s="3" t="s">
        <v>1385</v>
      </c>
      <c r="P798" s="20">
        <f t="shared" si="131"/>
        <v>1</v>
      </c>
      <c r="Q798" s="3" t="s">
        <v>1385</v>
      </c>
      <c r="R798" s="23" t="str">
        <f t="shared" si="132"/>
        <v>Tuesday</v>
      </c>
      <c r="S798" s="3" t="s">
        <v>1385</v>
      </c>
      <c r="T798" s="23" t="s">
        <v>41</v>
      </c>
      <c r="U798" s="3" t="s">
        <v>1385</v>
      </c>
      <c r="AO798" s="15"/>
      <c r="AP798" s="15"/>
      <c r="AQ798" s="15"/>
      <c r="AR798" s="23"/>
      <c r="AS798" s="15"/>
      <c r="AT798" s="15"/>
      <c r="AU798" s="23"/>
      <c r="AV798" s="23"/>
    </row>
    <row r="799" spans="1:48" x14ac:dyDescent="0.25">
      <c r="A799" t="s">
        <v>123</v>
      </c>
      <c r="B799" t="s">
        <v>124</v>
      </c>
      <c r="D799" t="s">
        <v>29</v>
      </c>
      <c r="E799" s="2">
        <f t="shared" si="134"/>
        <v>46217</v>
      </c>
      <c r="F799" s="3">
        <f t="shared" si="133"/>
        <v>7.7777777777777779E-2</v>
      </c>
      <c r="G799" t="s">
        <v>640</v>
      </c>
      <c r="H799" t="s">
        <v>641</v>
      </c>
      <c r="I799" t="s">
        <v>126</v>
      </c>
      <c r="J799" s="2">
        <v>46217</v>
      </c>
      <c r="K799" s="1">
        <v>9.2361111111111116E-2</v>
      </c>
      <c r="L799" s="10">
        <f t="shared" si="129"/>
        <v>21.000000000000007</v>
      </c>
      <c r="M799" s="1" t="str">
        <f t="shared" si="135"/>
        <v>On Time</v>
      </c>
      <c r="N799" s="27" t="str">
        <f t="shared" si="130"/>
        <v>GetJet Airlines</v>
      </c>
      <c r="O799" s="3" t="s">
        <v>1385</v>
      </c>
      <c r="P799" s="20">
        <f t="shared" si="131"/>
        <v>1</v>
      </c>
      <c r="Q799" s="3" t="s">
        <v>1385</v>
      </c>
      <c r="R799" s="23" t="str">
        <f t="shared" si="132"/>
        <v>Tuesday</v>
      </c>
      <c r="S799" s="3" t="s">
        <v>1385</v>
      </c>
      <c r="T799" s="23" t="s">
        <v>124</v>
      </c>
      <c r="U799" s="3" t="s">
        <v>1385</v>
      </c>
      <c r="AO799" s="15"/>
      <c r="AP799" s="15"/>
      <c r="AQ799" s="15"/>
      <c r="AR799" s="23"/>
      <c r="AS799" s="15"/>
      <c r="AT799" s="15"/>
      <c r="AU799" s="23"/>
      <c r="AV799" s="23"/>
    </row>
    <row r="800" spans="1:48" x14ac:dyDescent="0.25">
      <c r="A800" t="s">
        <v>54</v>
      </c>
      <c r="B800" t="s">
        <v>55</v>
      </c>
      <c r="C800" s="10">
        <v>-12</v>
      </c>
      <c r="D800" t="s">
        <v>969</v>
      </c>
      <c r="E800" s="2">
        <f t="shared" si="134"/>
        <v>46217</v>
      </c>
      <c r="F800" s="3">
        <f t="shared" si="133"/>
        <v>0.31597222222222221</v>
      </c>
      <c r="G800" t="s">
        <v>57</v>
      </c>
      <c r="H800" t="s">
        <v>58</v>
      </c>
      <c r="I800" t="s">
        <v>59</v>
      </c>
      <c r="J800" s="2">
        <v>46217</v>
      </c>
      <c r="K800" s="1">
        <v>0.31111111111111112</v>
      </c>
      <c r="L800" s="10">
        <f t="shared" si="129"/>
        <v>-6.9999999999999751</v>
      </c>
      <c r="M800" s="1" t="str">
        <f t="shared" si="135"/>
        <v>On Time</v>
      </c>
      <c r="N800" s="27" t="e">
        <f t="shared" si="130"/>
        <v>#N/A</v>
      </c>
      <c r="O800" s="3" t="s">
        <v>1385</v>
      </c>
      <c r="P800" s="20">
        <f t="shared" si="131"/>
        <v>7</v>
      </c>
      <c r="Q800" s="3" t="s">
        <v>1385</v>
      </c>
      <c r="R800" s="23" t="str">
        <f t="shared" si="132"/>
        <v>Tuesday</v>
      </c>
      <c r="S800" s="3" t="s">
        <v>1385</v>
      </c>
      <c r="T800" s="23" t="s">
        <v>55</v>
      </c>
      <c r="U800" s="3" t="s">
        <v>1385</v>
      </c>
      <c r="AO800" s="15"/>
      <c r="AP800" s="15"/>
      <c r="AQ800" s="15"/>
      <c r="AR800" s="23"/>
      <c r="AS800" s="15"/>
      <c r="AT800" s="15"/>
      <c r="AU800" s="23"/>
      <c r="AV800" s="23"/>
    </row>
    <row r="801" spans="1:48" x14ac:dyDescent="0.25">
      <c r="A801" t="s">
        <v>60</v>
      </c>
      <c r="B801" t="s">
        <v>7</v>
      </c>
      <c r="C801" s="10">
        <v>0</v>
      </c>
      <c r="D801" t="s">
        <v>61</v>
      </c>
      <c r="E801" s="2">
        <f t="shared" si="134"/>
        <v>46217</v>
      </c>
      <c r="F801" s="3">
        <f t="shared" si="133"/>
        <v>0.3527777777777778</v>
      </c>
      <c r="G801" t="s">
        <v>9</v>
      </c>
      <c r="H801" t="s">
        <v>10</v>
      </c>
      <c r="I801" t="s">
        <v>11</v>
      </c>
      <c r="J801" s="2">
        <v>46217</v>
      </c>
      <c r="K801" s="1">
        <v>0.3611111111111111</v>
      </c>
      <c r="L801" s="10">
        <f t="shared" si="129"/>
        <v>11.999999999999957</v>
      </c>
      <c r="M801" s="1" t="str">
        <f t="shared" si="135"/>
        <v>On Time</v>
      </c>
      <c r="N801" s="27" t="str">
        <f t="shared" si="130"/>
        <v>airBaltic</v>
      </c>
      <c r="O801" s="3" t="s">
        <v>1385</v>
      </c>
      <c r="P801" s="20">
        <f t="shared" si="131"/>
        <v>8</v>
      </c>
      <c r="Q801" s="3" t="s">
        <v>1385</v>
      </c>
      <c r="R801" s="23" t="str">
        <f t="shared" si="132"/>
        <v>Tuesday</v>
      </c>
      <c r="S801" s="3" t="s">
        <v>1385</v>
      </c>
      <c r="T801" s="23" t="s">
        <v>7</v>
      </c>
      <c r="U801" s="3" t="s">
        <v>1385</v>
      </c>
      <c r="AO801" s="15"/>
      <c r="AP801" s="15"/>
      <c r="AQ801" s="15"/>
      <c r="AR801" s="23"/>
      <c r="AS801" s="15"/>
      <c r="AT801" s="15"/>
      <c r="AU801" s="23"/>
      <c r="AV801" s="23"/>
    </row>
    <row r="802" spans="1:48" x14ac:dyDescent="0.25">
      <c r="A802" t="s">
        <v>68</v>
      </c>
      <c r="B802" t="s">
        <v>69</v>
      </c>
      <c r="C802" s="10">
        <v>-9</v>
      </c>
      <c r="D802" t="s">
        <v>970</v>
      </c>
      <c r="E802" s="2">
        <f t="shared" si="134"/>
        <v>46217</v>
      </c>
      <c r="F802" s="3">
        <f t="shared" si="133"/>
        <v>0.3840277777777778</v>
      </c>
      <c r="G802" t="s">
        <v>71</v>
      </c>
      <c r="H802" t="s">
        <v>72</v>
      </c>
      <c r="I802" t="s">
        <v>73</v>
      </c>
      <c r="J802" s="2">
        <v>46217</v>
      </c>
      <c r="K802" s="1">
        <v>0.3888888888888889</v>
      </c>
      <c r="L802" s="10">
        <f t="shared" si="129"/>
        <v>6.9999999999999751</v>
      </c>
      <c r="M802" s="1" t="str">
        <f t="shared" si="135"/>
        <v>On Time</v>
      </c>
      <c r="N802" s="27" t="str">
        <f t="shared" si="130"/>
        <v>Finnair</v>
      </c>
      <c r="O802" s="3" t="s">
        <v>1385</v>
      </c>
      <c r="P802" s="20">
        <f t="shared" si="131"/>
        <v>9</v>
      </c>
      <c r="Q802" s="3" t="s">
        <v>1385</v>
      </c>
      <c r="R802" s="23" t="str">
        <f t="shared" si="132"/>
        <v>Tuesday</v>
      </c>
      <c r="S802" s="3" t="s">
        <v>1385</v>
      </c>
      <c r="T802" s="23" t="s">
        <v>69</v>
      </c>
      <c r="U802" s="3" t="s">
        <v>1385</v>
      </c>
      <c r="AO802" s="15"/>
      <c r="AP802" s="15"/>
      <c r="AQ802" s="15"/>
      <c r="AR802" s="23"/>
      <c r="AS802" s="15"/>
      <c r="AT802" s="15"/>
      <c r="AU802" s="23"/>
      <c r="AV802" s="23"/>
    </row>
    <row r="803" spans="1:48" x14ac:dyDescent="0.25">
      <c r="A803" t="s">
        <v>123</v>
      </c>
      <c r="B803" t="s">
        <v>123</v>
      </c>
      <c r="D803" t="s">
        <v>971</v>
      </c>
      <c r="E803" s="2">
        <f t="shared" si="134"/>
        <v>46217</v>
      </c>
      <c r="F803" s="3">
        <f t="shared" si="133"/>
        <v>0.41875000000000001</v>
      </c>
      <c r="G803" t="s">
        <v>299</v>
      </c>
      <c r="H803" t="s">
        <v>300</v>
      </c>
      <c r="I803" t="s">
        <v>614</v>
      </c>
      <c r="J803" s="2">
        <v>46217</v>
      </c>
      <c r="K803" s="1">
        <v>0.41180555555555554</v>
      </c>
      <c r="L803" s="10">
        <f t="shared" si="129"/>
        <v>-10.000000000000044</v>
      </c>
      <c r="M803" s="1" t="str">
        <f t="shared" si="135"/>
        <v>On Time</v>
      </c>
      <c r="N803" s="27" t="e">
        <f t="shared" si="130"/>
        <v>#N/A</v>
      </c>
      <c r="O803" s="3" t="s">
        <v>1385</v>
      </c>
      <c r="P803" s="20">
        <f t="shared" si="131"/>
        <v>10</v>
      </c>
      <c r="Q803" s="3" t="s">
        <v>1385</v>
      </c>
      <c r="R803" s="23" t="str">
        <f t="shared" si="132"/>
        <v>Tuesday</v>
      </c>
      <c r="S803" s="3" t="s">
        <v>1385</v>
      </c>
      <c r="T803" s="23" t="s">
        <v>123</v>
      </c>
      <c r="U803" s="3" t="s">
        <v>1385</v>
      </c>
      <c r="AO803" s="15"/>
      <c r="AP803" s="15"/>
      <c r="AQ803" s="15"/>
      <c r="AR803" s="23"/>
      <c r="AS803" s="15"/>
      <c r="AT803" s="15"/>
      <c r="AU803" s="23"/>
      <c r="AV803" s="23"/>
    </row>
    <row r="804" spans="1:48" x14ac:dyDescent="0.25">
      <c r="A804" t="s">
        <v>90</v>
      </c>
      <c r="B804" t="s">
        <v>19</v>
      </c>
      <c r="C804" s="10">
        <v>-17</v>
      </c>
      <c r="D804" t="s">
        <v>972</v>
      </c>
      <c r="E804" s="2">
        <f t="shared" si="134"/>
        <v>46217</v>
      </c>
      <c r="F804" s="3">
        <f t="shared" si="133"/>
        <v>0.42152777777777778</v>
      </c>
      <c r="G804" t="s">
        <v>21</v>
      </c>
      <c r="H804" t="s">
        <v>22</v>
      </c>
      <c r="I804" t="s">
        <v>237</v>
      </c>
      <c r="J804" s="2">
        <v>46217</v>
      </c>
      <c r="K804" s="1">
        <v>0.42708333333333331</v>
      </c>
      <c r="L804" s="10">
        <f t="shared" si="129"/>
        <v>7.9999999999999716</v>
      </c>
      <c r="M804" s="1" t="str">
        <f t="shared" si="135"/>
        <v>On Time</v>
      </c>
      <c r="N804" s="27" t="str">
        <f t="shared" si="130"/>
        <v>LOT</v>
      </c>
      <c r="O804" s="3" t="s">
        <v>1385</v>
      </c>
      <c r="P804" s="20">
        <f t="shared" si="131"/>
        <v>10</v>
      </c>
      <c r="Q804" s="3" t="s">
        <v>1385</v>
      </c>
      <c r="R804" s="23" t="str">
        <f t="shared" si="132"/>
        <v>Tuesday</v>
      </c>
      <c r="S804" s="3" t="s">
        <v>1385</v>
      </c>
      <c r="T804" s="23" t="s">
        <v>19</v>
      </c>
      <c r="U804" s="3" t="s">
        <v>1385</v>
      </c>
      <c r="AO804" s="15"/>
      <c r="AP804" s="15"/>
      <c r="AQ804" s="15"/>
      <c r="AR804" s="23"/>
      <c r="AS804" s="15"/>
      <c r="AT804" s="15"/>
      <c r="AU804" s="23"/>
      <c r="AV804" s="23"/>
    </row>
    <row r="805" spans="1:48" x14ac:dyDescent="0.25">
      <c r="A805" t="s">
        <v>261</v>
      </c>
      <c r="B805" t="s">
        <v>85</v>
      </c>
      <c r="C805" s="10">
        <v>-5</v>
      </c>
      <c r="D805" t="s">
        <v>973</v>
      </c>
      <c r="E805" s="2">
        <f t="shared" si="134"/>
        <v>46217</v>
      </c>
      <c r="F805" s="3">
        <f t="shared" si="133"/>
        <v>0.4152777777777778</v>
      </c>
      <c r="G805" t="s">
        <v>263</v>
      </c>
      <c r="H805" t="s">
        <v>264</v>
      </c>
      <c r="I805" t="s">
        <v>89</v>
      </c>
      <c r="J805" s="2">
        <v>46217</v>
      </c>
      <c r="K805" s="1">
        <v>0.43055555555555558</v>
      </c>
      <c r="L805" s="10">
        <f t="shared" si="129"/>
        <v>22</v>
      </c>
      <c r="M805" s="1" t="str">
        <f t="shared" si="135"/>
        <v>On Time</v>
      </c>
      <c r="N805" s="27" t="str">
        <f t="shared" si="130"/>
        <v>Ryanair</v>
      </c>
      <c r="O805" s="3" t="s">
        <v>1385</v>
      </c>
      <c r="P805" s="20">
        <f t="shared" si="131"/>
        <v>9</v>
      </c>
      <c r="Q805" s="3" t="s">
        <v>1385</v>
      </c>
      <c r="R805" s="23" t="str">
        <f t="shared" si="132"/>
        <v>Tuesday</v>
      </c>
      <c r="S805" s="3" t="s">
        <v>1385</v>
      </c>
      <c r="T805" s="23" t="s">
        <v>85</v>
      </c>
      <c r="U805" s="3" t="s">
        <v>1385</v>
      </c>
      <c r="AO805" s="15"/>
      <c r="AP805" s="15"/>
      <c r="AQ805" s="15"/>
      <c r="AR805" s="23"/>
      <c r="AS805" s="15"/>
      <c r="AT805" s="15"/>
      <c r="AU805" s="23"/>
      <c r="AV805" s="23"/>
    </row>
    <row r="806" spans="1:48" x14ac:dyDescent="0.25">
      <c r="A806" t="s">
        <v>95</v>
      </c>
      <c r="B806" t="s">
        <v>96</v>
      </c>
      <c r="C806" s="10">
        <v>-66</v>
      </c>
      <c r="D806" t="s">
        <v>974</v>
      </c>
      <c r="E806" s="2">
        <f t="shared" si="134"/>
        <v>46217</v>
      </c>
      <c r="F806" s="3">
        <f t="shared" si="133"/>
        <v>0.4694444444444445</v>
      </c>
      <c r="G806" t="s">
        <v>98</v>
      </c>
      <c r="H806" t="s">
        <v>99</v>
      </c>
      <c r="I806" t="s">
        <v>210</v>
      </c>
      <c r="J806" s="2">
        <v>46217</v>
      </c>
      <c r="K806" s="1">
        <v>0.44791666666666669</v>
      </c>
      <c r="L806" s="10">
        <f t="shared" si="129"/>
        <v>-31.00000000000005</v>
      </c>
      <c r="M806" s="1" t="str">
        <f t="shared" si="135"/>
        <v>Delayed</v>
      </c>
      <c r="N806" s="27" t="str">
        <f t="shared" si="130"/>
        <v>Turkish Airlines</v>
      </c>
      <c r="O806" s="3" t="s">
        <v>1318</v>
      </c>
      <c r="P806" s="20">
        <f t="shared" si="131"/>
        <v>11</v>
      </c>
      <c r="Q806" s="3" t="s">
        <v>1318</v>
      </c>
      <c r="R806" s="23" t="str">
        <f t="shared" si="132"/>
        <v>Tuesday</v>
      </c>
      <c r="S806" s="3" t="s">
        <v>1318</v>
      </c>
      <c r="T806" s="23" t="s">
        <v>96</v>
      </c>
      <c r="U806" s="3" t="s">
        <v>1318</v>
      </c>
      <c r="AO806" s="15"/>
      <c r="AP806" s="15"/>
      <c r="AQ806" s="15"/>
      <c r="AR806" s="23"/>
      <c r="AS806" s="15"/>
      <c r="AT806" s="15"/>
      <c r="AU806" s="23"/>
      <c r="AV806" s="23"/>
    </row>
    <row r="807" spans="1:48" x14ac:dyDescent="0.25">
      <c r="A807" t="s">
        <v>463</v>
      </c>
      <c r="B807" t="s">
        <v>239</v>
      </c>
      <c r="D807" t="s">
        <v>656</v>
      </c>
      <c r="E807" s="2">
        <f t="shared" si="134"/>
        <v>46217</v>
      </c>
      <c r="F807" s="3">
        <f t="shared" si="133"/>
        <v>0.49374999999999997</v>
      </c>
      <c r="G807" t="s">
        <v>247</v>
      </c>
      <c r="H807" t="s">
        <v>248</v>
      </c>
      <c r="I807" t="s">
        <v>83</v>
      </c>
      <c r="J807" s="2">
        <v>46217</v>
      </c>
      <c r="K807" s="1">
        <v>0.49652777777777773</v>
      </c>
      <c r="L807" s="10">
        <f t="shared" si="129"/>
        <v>3.9999999999999858</v>
      </c>
      <c r="M807" s="1" t="str">
        <f t="shared" si="135"/>
        <v>On Time</v>
      </c>
      <c r="N807" s="27" t="str">
        <f t="shared" si="130"/>
        <v>Eurowings</v>
      </c>
      <c r="O807" s="3" t="s">
        <v>1385</v>
      </c>
      <c r="P807" s="20">
        <f t="shared" si="131"/>
        <v>11</v>
      </c>
      <c r="Q807" s="3" t="s">
        <v>1385</v>
      </c>
      <c r="R807" s="23" t="str">
        <f t="shared" si="132"/>
        <v>Tuesday</v>
      </c>
      <c r="S807" s="3" t="s">
        <v>1385</v>
      </c>
      <c r="T807" s="23" t="s">
        <v>239</v>
      </c>
      <c r="U807" s="3" t="s">
        <v>1385</v>
      </c>
      <c r="AO807" s="15"/>
      <c r="AP807" s="15"/>
      <c r="AQ807" s="15"/>
      <c r="AR807" s="23"/>
      <c r="AS807" s="15"/>
      <c r="AT807" s="15"/>
      <c r="AU807" s="23"/>
      <c r="AV807" s="23"/>
    </row>
    <row r="808" spans="1:48" x14ac:dyDescent="0.25">
      <c r="A808" t="s">
        <v>159</v>
      </c>
      <c r="B808" t="s">
        <v>85</v>
      </c>
      <c r="C808" s="10">
        <v>-3</v>
      </c>
      <c r="D808" t="s">
        <v>975</v>
      </c>
      <c r="E808" s="2">
        <f t="shared" si="134"/>
        <v>46217</v>
      </c>
      <c r="F808" s="3">
        <f t="shared" si="133"/>
        <v>0.49583333333333335</v>
      </c>
      <c r="G808" t="s">
        <v>34</v>
      </c>
      <c r="H808" t="s">
        <v>161</v>
      </c>
      <c r="I808" t="s">
        <v>89</v>
      </c>
      <c r="J808" s="2">
        <v>46217</v>
      </c>
      <c r="K808" s="1">
        <v>0.51041666666666663</v>
      </c>
      <c r="L808" s="10">
        <f t="shared" si="129"/>
        <v>20.999999999999925</v>
      </c>
      <c r="M808" s="1" t="str">
        <f t="shared" si="135"/>
        <v>On Time</v>
      </c>
      <c r="N808" s="27" t="str">
        <f t="shared" si="130"/>
        <v>Ryanair</v>
      </c>
      <c r="O808" s="3" t="s">
        <v>1385</v>
      </c>
      <c r="P808" s="20">
        <f t="shared" si="131"/>
        <v>11</v>
      </c>
      <c r="Q808" s="3" t="s">
        <v>1385</v>
      </c>
      <c r="R808" s="23" t="str">
        <f t="shared" si="132"/>
        <v>Tuesday</v>
      </c>
      <c r="S808" s="3" t="s">
        <v>1385</v>
      </c>
      <c r="T808" s="23" t="s">
        <v>85</v>
      </c>
      <c r="U808" s="3" t="s">
        <v>1385</v>
      </c>
      <c r="AO808" s="15"/>
      <c r="AP808" s="15"/>
      <c r="AQ808" s="15"/>
      <c r="AR808" s="23"/>
      <c r="AS808" s="15"/>
      <c r="AT808" s="15"/>
      <c r="AU808" s="23"/>
      <c r="AV808" s="23"/>
    </row>
    <row r="809" spans="1:48" x14ac:dyDescent="0.25">
      <c r="A809" t="s">
        <v>78</v>
      </c>
      <c r="B809" t="s">
        <v>363</v>
      </c>
      <c r="C809" s="10">
        <v>-48</v>
      </c>
      <c r="D809" t="s">
        <v>860</v>
      </c>
      <c r="E809" s="2">
        <f t="shared" si="134"/>
        <v>46217</v>
      </c>
      <c r="F809" s="3">
        <f t="shared" si="133"/>
        <v>0.52430555555555558</v>
      </c>
      <c r="G809" t="s">
        <v>81</v>
      </c>
      <c r="H809" t="s">
        <v>82</v>
      </c>
      <c r="I809" t="s">
        <v>83</v>
      </c>
      <c r="J809" s="2">
        <v>46217</v>
      </c>
      <c r="K809" s="1">
        <v>0.51041666666666663</v>
      </c>
      <c r="L809" s="10">
        <f t="shared" si="129"/>
        <v>-20.000000000000089</v>
      </c>
      <c r="M809" s="1" t="str">
        <f t="shared" si="135"/>
        <v>Delayed</v>
      </c>
      <c r="N809" s="27" t="e">
        <f t="shared" si="130"/>
        <v>#N/A</v>
      </c>
      <c r="O809" s="3" t="s">
        <v>1318</v>
      </c>
      <c r="P809" s="20">
        <f t="shared" si="131"/>
        <v>12</v>
      </c>
      <c r="Q809" s="3" t="s">
        <v>1318</v>
      </c>
      <c r="R809" s="23" t="str">
        <f t="shared" si="132"/>
        <v>Tuesday</v>
      </c>
      <c r="S809" s="3" t="s">
        <v>1318</v>
      </c>
      <c r="T809" s="23" t="s">
        <v>363</v>
      </c>
      <c r="U809" s="3" t="s">
        <v>1318</v>
      </c>
      <c r="AO809" s="15"/>
      <c r="AP809" s="15"/>
      <c r="AQ809" s="15"/>
      <c r="AR809" s="23"/>
      <c r="AS809" s="15"/>
      <c r="AT809" s="15"/>
      <c r="AU809" s="23"/>
      <c r="AV809" s="23"/>
    </row>
    <row r="810" spans="1:48" x14ac:dyDescent="0.25">
      <c r="A810" t="s">
        <v>540</v>
      </c>
      <c r="B810" t="s">
        <v>13</v>
      </c>
      <c r="C810" s="10">
        <v>-7</v>
      </c>
      <c r="D810" t="s">
        <v>647</v>
      </c>
      <c r="E810" s="2">
        <f t="shared" si="134"/>
        <v>46217</v>
      </c>
      <c r="F810" s="3">
        <f t="shared" si="133"/>
        <v>0.5</v>
      </c>
      <c r="G810" t="s">
        <v>481</v>
      </c>
      <c r="H810" t="s">
        <v>482</v>
      </c>
      <c r="I810" t="s">
        <v>17</v>
      </c>
      <c r="J810" s="2">
        <v>46217</v>
      </c>
      <c r="K810" s="1">
        <v>0.51388888888888895</v>
      </c>
      <c r="L810" s="10">
        <f t="shared" si="129"/>
        <v>20.000000000000089</v>
      </c>
      <c r="M810" s="1" t="str">
        <f t="shared" si="135"/>
        <v>On Time</v>
      </c>
      <c r="N810" s="27" t="str">
        <f t="shared" si="130"/>
        <v>Wizz Air</v>
      </c>
      <c r="O810" s="3" t="s">
        <v>1385</v>
      </c>
      <c r="P810" s="20">
        <f t="shared" si="131"/>
        <v>12</v>
      </c>
      <c r="Q810" s="3" t="s">
        <v>1385</v>
      </c>
      <c r="R810" s="23" t="str">
        <f t="shared" si="132"/>
        <v>Tuesday</v>
      </c>
      <c r="S810" s="3" t="s">
        <v>1385</v>
      </c>
      <c r="T810" s="23" t="s">
        <v>13</v>
      </c>
      <c r="U810" s="3" t="s">
        <v>1385</v>
      </c>
      <c r="AO810" s="15"/>
      <c r="AP810" s="15"/>
      <c r="AQ810" s="15"/>
      <c r="AR810" s="23"/>
      <c r="AS810" s="15"/>
      <c r="AT810" s="15"/>
      <c r="AU810" s="23"/>
      <c r="AV810" s="23"/>
    </row>
    <row r="811" spans="1:48" x14ac:dyDescent="0.25">
      <c r="A811" t="s">
        <v>422</v>
      </c>
      <c r="B811" t="s">
        <v>13</v>
      </c>
      <c r="C811" s="10">
        <v>2</v>
      </c>
      <c r="D811" t="s">
        <v>105</v>
      </c>
      <c r="E811" s="2">
        <f t="shared" si="134"/>
        <v>46217</v>
      </c>
      <c r="F811" s="3">
        <f t="shared" si="133"/>
        <v>0.50208333333333333</v>
      </c>
      <c r="G811" t="s">
        <v>424</v>
      </c>
      <c r="H811" t="s">
        <v>425</v>
      </c>
      <c r="I811" t="s">
        <v>17</v>
      </c>
      <c r="J811" s="2">
        <v>46217</v>
      </c>
      <c r="K811" s="1">
        <v>0.51736111111111105</v>
      </c>
      <c r="L811" s="10">
        <f t="shared" si="129"/>
        <v>21.999999999999922</v>
      </c>
      <c r="M811" s="1" t="str">
        <f t="shared" si="135"/>
        <v>On Time</v>
      </c>
      <c r="N811" s="27" t="str">
        <f t="shared" si="130"/>
        <v>Wizz Air</v>
      </c>
      <c r="O811" s="3" t="s">
        <v>1385</v>
      </c>
      <c r="P811" s="20">
        <f t="shared" si="131"/>
        <v>12</v>
      </c>
      <c r="Q811" s="3" t="s">
        <v>1385</v>
      </c>
      <c r="R811" s="23" t="str">
        <f t="shared" si="132"/>
        <v>Tuesday</v>
      </c>
      <c r="S811" s="3" t="s">
        <v>1385</v>
      </c>
      <c r="T811" s="23" t="s">
        <v>13</v>
      </c>
      <c r="U811" s="3" t="s">
        <v>1385</v>
      </c>
      <c r="AO811" s="15"/>
      <c r="AP811" s="15"/>
      <c r="AQ811" s="15"/>
      <c r="AR811" s="23"/>
      <c r="AS811" s="15"/>
      <c r="AT811" s="15"/>
      <c r="AU811" s="23"/>
      <c r="AV811" s="23"/>
    </row>
    <row r="812" spans="1:48" x14ac:dyDescent="0.25">
      <c r="A812" t="s">
        <v>100</v>
      </c>
      <c r="B812" t="s">
        <v>85</v>
      </c>
      <c r="C812" s="10">
        <v>-40</v>
      </c>
      <c r="D812" t="s">
        <v>939</v>
      </c>
      <c r="E812" s="2">
        <f t="shared" si="134"/>
        <v>46217</v>
      </c>
      <c r="F812" s="3">
        <f t="shared" si="133"/>
        <v>0.53680555555555554</v>
      </c>
      <c r="G812" t="s">
        <v>102</v>
      </c>
      <c r="H812" t="s">
        <v>103</v>
      </c>
      <c r="I812" t="s">
        <v>89</v>
      </c>
      <c r="J812" s="2">
        <v>46217</v>
      </c>
      <c r="K812" s="1">
        <v>0.52777777777777779</v>
      </c>
      <c r="L812" s="10">
        <f t="shared" si="129"/>
        <v>-12.999999999999954</v>
      </c>
      <c r="M812" s="1" t="str">
        <f t="shared" si="135"/>
        <v>On Time</v>
      </c>
      <c r="N812" s="27" t="str">
        <f t="shared" si="130"/>
        <v>Ryanair</v>
      </c>
      <c r="O812" s="3" t="s">
        <v>1385</v>
      </c>
      <c r="P812" s="20">
        <f t="shared" si="131"/>
        <v>12</v>
      </c>
      <c r="Q812" s="3" t="s">
        <v>1385</v>
      </c>
      <c r="R812" s="23" t="str">
        <f t="shared" si="132"/>
        <v>Tuesday</v>
      </c>
      <c r="S812" s="3" t="s">
        <v>1385</v>
      </c>
      <c r="T812" s="23" t="s">
        <v>85</v>
      </c>
      <c r="U812" s="3" t="s">
        <v>1385</v>
      </c>
      <c r="AO812" s="15"/>
      <c r="AP812" s="15"/>
      <c r="AQ812" s="15"/>
      <c r="AR812" s="23"/>
      <c r="AS812" s="15"/>
      <c r="AT812" s="15"/>
      <c r="AU812" s="23"/>
      <c r="AV812" s="23"/>
    </row>
    <row r="813" spans="1:48" x14ac:dyDescent="0.25">
      <c r="A813" t="s">
        <v>108</v>
      </c>
      <c r="B813" t="s">
        <v>190</v>
      </c>
      <c r="C813" s="10">
        <v>-17</v>
      </c>
      <c r="D813" t="s">
        <v>114</v>
      </c>
      <c r="E813" s="2">
        <f t="shared" si="134"/>
        <v>46217</v>
      </c>
      <c r="F813" s="3">
        <f t="shared" si="133"/>
        <v>0.52013888888888882</v>
      </c>
      <c r="G813" t="s">
        <v>110</v>
      </c>
      <c r="H813" t="s">
        <v>111</v>
      </c>
      <c r="I813" t="s">
        <v>112</v>
      </c>
      <c r="J813" s="2">
        <v>46217</v>
      </c>
      <c r="K813" s="1">
        <v>0.52777777777777779</v>
      </c>
      <c r="L813" s="10">
        <f t="shared" si="129"/>
        <v>11.000000000000121</v>
      </c>
      <c r="M813" s="1" t="str">
        <f t="shared" si="135"/>
        <v>On Time</v>
      </c>
      <c r="N813" s="27" t="str">
        <f t="shared" si="130"/>
        <v>Lufthansa</v>
      </c>
      <c r="O813" s="3" t="s">
        <v>1385</v>
      </c>
      <c r="P813" s="20">
        <f t="shared" si="131"/>
        <v>12</v>
      </c>
      <c r="Q813" s="3" t="s">
        <v>1385</v>
      </c>
      <c r="R813" s="23" t="str">
        <f t="shared" si="132"/>
        <v>Tuesday</v>
      </c>
      <c r="S813" s="3" t="s">
        <v>1385</v>
      </c>
      <c r="T813" s="23" t="s">
        <v>190</v>
      </c>
      <c r="U813" s="3" t="s">
        <v>1385</v>
      </c>
      <c r="AO813" s="15"/>
      <c r="AP813" s="15"/>
      <c r="AQ813" s="15"/>
      <c r="AR813" s="23"/>
      <c r="AS813" s="15"/>
      <c r="AT813" s="15"/>
      <c r="AU813" s="23"/>
      <c r="AV813" s="23"/>
    </row>
    <row r="814" spans="1:48" x14ac:dyDescent="0.25">
      <c r="A814" t="s">
        <v>651</v>
      </c>
      <c r="B814" t="s">
        <v>117</v>
      </c>
      <c r="D814" t="s">
        <v>505</v>
      </c>
      <c r="E814" s="2">
        <f t="shared" si="134"/>
        <v>46217</v>
      </c>
      <c r="F814" s="3">
        <f t="shared" si="133"/>
        <v>0.54097222222222219</v>
      </c>
      <c r="G814" t="s">
        <v>247</v>
      </c>
      <c r="H814" t="s">
        <v>248</v>
      </c>
      <c r="I814" t="s">
        <v>83</v>
      </c>
      <c r="J814" s="2">
        <v>46217</v>
      </c>
      <c r="K814" s="1">
        <v>0.53263888888888888</v>
      </c>
      <c r="L814" s="10">
        <f t="shared" si="129"/>
        <v>-11.999999999999957</v>
      </c>
      <c r="M814" s="1" t="str">
        <f t="shared" si="135"/>
        <v>On Time</v>
      </c>
      <c r="N814" s="27" t="str">
        <f t="shared" si="130"/>
        <v>Heston Airlines</v>
      </c>
      <c r="O814" s="3" t="s">
        <v>1385</v>
      </c>
      <c r="P814" s="20">
        <f t="shared" si="131"/>
        <v>12</v>
      </c>
      <c r="Q814" s="3" t="s">
        <v>1385</v>
      </c>
      <c r="R814" s="23" t="str">
        <f t="shared" si="132"/>
        <v>Tuesday</v>
      </c>
      <c r="S814" s="3" t="s">
        <v>1385</v>
      </c>
      <c r="T814" s="23" t="s">
        <v>117</v>
      </c>
      <c r="U814" s="3" t="s">
        <v>1385</v>
      </c>
      <c r="AO814" s="15"/>
      <c r="AP814" s="15"/>
      <c r="AQ814" s="15"/>
      <c r="AR814" s="23"/>
      <c r="AS814" s="15"/>
      <c r="AT814" s="15"/>
      <c r="AU814" s="23"/>
      <c r="AV814" s="23"/>
    </row>
    <row r="815" spans="1:48" x14ac:dyDescent="0.25">
      <c r="A815" t="s">
        <v>121</v>
      </c>
      <c r="B815" t="s">
        <v>69</v>
      </c>
      <c r="C815" s="10">
        <v>-7</v>
      </c>
      <c r="D815" t="s">
        <v>322</v>
      </c>
      <c r="E815" s="2">
        <f t="shared" si="134"/>
        <v>46217</v>
      </c>
      <c r="F815" s="3">
        <f t="shared" si="133"/>
        <v>0.54375000000000007</v>
      </c>
      <c r="G815" t="s">
        <v>71</v>
      </c>
      <c r="H815" t="s">
        <v>72</v>
      </c>
      <c r="I815" t="s">
        <v>73</v>
      </c>
      <c r="J815" s="2">
        <v>46217</v>
      </c>
      <c r="K815" s="1">
        <v>0.54166666666666663</v>
      </c>
      <c r="L815" s="10">
        <f t="shared" si="129"/>
        <v>-3.0000000000001492</v>
      </c>
      <c r="M815" s="1" t="str">
        <f t="shared" si="135"/>
        <v>On Time</v>
      </c>
      <c r="N815" s="27" t="str">
        <f t="shared" si="130"/>
        <v>Finnair</v>
      </c>
      <c r="O815" s="3" t="s">
        <v>1385</v>
      </c>
      <c r="P815" s="20">
        <f t="shared" si="131"/>
        <v>13</v>
      </c>
      <c r="Q815" s="3" t="s">
        <v>1385</v>
      </c>
      <c r="R815" s="23" t="str">
        <f t="shared" si="132"/>
        <v>Tuesday</v>
      </c>
      <c r="S815" s="3" t="s">
        <v>1385</v>
      </c>
      <c r="T815" s="23" t="s">
        <v>69</v>
      </c>
      <c r="U815" s="3" t="s">
        <v>1385</v>
      </c>
      <c r="AO815" s="15"/>
      <c r="AP815" s="15"/>
      <c r="AQ815" s="15"/>
      <c r="AR815" s="23"/>
      <c r="AS815" s="15"/>
      <c r="AT815" s="15"/>
      <c r="AU815" s="23"/>
      <c r="AV815" s="23"/>
    </row>
    <row r="816" spans="1:48" x14ac:dyDescent="0.25">
      <c r="A816" t="s">
        <v>245</v>
      </c>
      <c r="B816" t="s">
        <v>124</v>
      </c>
      <c r="D816" t="s">
        <v>128</v>
      </c>
      <c r="E816" s="2">
        <f t="shared" si="134"/>
        <v>46217</v>
      </c>
      <c r="F816" s="3">
        <f t="shared" si="133"/>
        <v>0.54583333333333328</v>
      </c>
      <c r="G816" t="s">
        <v>247</v>
      </c>
      <c r="H816" t="s">
        <v>248</v>
      </c>
      <c r="I816" t="s">
        <v>249</v>
      </c>
      <c r="J816" s="2">
        <v>46217</v>
      </c>
      <c r="K816" s="1">
        <v>0.55208333333333337</v>
      </c>
      <c r="L816" s="10">
        <f t="shared" si="129"/>
        <v>9.0000000000001279</v>
      </c>
      <c r="M816" s="1" t="str">
        <f t="shared" si="135"/>
        <v>On Time</v>
      </c>
      <c r="N816" s="27" t="str">
        <f t="shared" si="130"/>
        <v>GetJet Airlines</v>
      </c>
      <c r="O816" s="3" t="s">
        <v>1385</v>
      </c>
      <c r="P816" s="20">
        <f t="shared" si="131"/>
        <v>13</v>
      </c>
      <c r="Q816" s="3" t="s">
        <v>1385</v>
      </c>
      <c r="R816" s="23" t="str">
        <f t="shared" si="132"/>
        <v>Tuesday</v>
      </c>
      <c r="S816" s="3" t="s">
        <v>1385</v>
      </c>
      <c r="T816" s="23" t="s">
        <v>124</v>
      </c>
      <c r="U816" s="3" t="s">
        <v>1385</v>
      </c>
      <c r="AO816" s="15"/>
      <c r="AP816" s="15"/>
      <c r="AQ816" s="15"/>
      <c r="AR816" s="23"/>
      <c r="AS816" s="15"/>
      <c r="AT816" s="15"/>
      <c r="AU816" s="23"/>
      <c r="AV816" s="23"/>
    </row>
    <row r="817" spans="1:48" x14ac:dyDescent="0.25">
      <c r="A817" t="s">
        <v>123</v>
      </c>
      <c r="B817" t="s">
        <v>124</v>
      </c>
      <c r="D817" t="s">
        <v>652</v>
      </c>
      <c r="E817" s="2">
        <f t="shared" si="134"/>
        <v>46217</v>
      </c>
      <c r="F817" s="3">
        <f t="shared" si="133"/>
        <v>0.53888888888888886</v>
      </c>
      <c r="G817" t="s">
        <v>119</v>
      </c>
      <c r="H817" t="s">
        <v>120</v>
      </c>
      <c r="I817" t="s">
        <v>126</v>
      </c>
      <c r="J817" s="2">
        <v>46217</v>
      </c>
      <c r="K817" s="1">
        <v>0.55694444444444446</v>
      </c>
      <c r="L817" s="10">
        <f t="shared" si="129"/>
        <v>26.000000000000068</v>
      </c>
      <c r="M817" s="1" t="str">
        <f t="shared" si="135"/>
        <v>On Time</v>
      </c>
      <c r="N817" s="27" t="str">
        <f t="shared" si="130"/>
        <v>GetJet Airlines</v>
      </c>
      <c r="O817" s="3" t="s">
        <v>1385</v>
      </c>
      <c r="P817" s="20">
        <f t="shared" si="131"/>
        <v>12</v>
      </c>
      <c r="Q817" s="3" t="s">
        <v>1385</v>
      </c>
      <c r="R817" s="23" t="str">
        <f t="shared" si="132"/>
        <v>Tuesday</v>
      </c>
      <c r="S817" s="3" t="s">
        <v>1385</v>
      </c>
      <c r="T817" s="23" t="s">
        <v>124</v>
      </c>
      <c r="U817" s="3" t="s">
        <v>1385</v>
      </c>
      <c r="AO817" s="15"/>
      <c r="AP817" s="15"/>
      <c r="AQ817" s="15"/>
      <c r="AR817" s="23"/>
      <c r="AS817" s="15"/>
      <c r="AT817" s="15"/>
      <c r="AU817" s="23"/>
      <c r="AV817" s="23"/>
    </row>
    <row r="818" spans="1:48" x14ac:dyDescent="0.25">
      <c r="A818" t="s">
        <v>133</v>
      </c>
      <c r="B818" t="s">
        <v>7</v>
      </c>
      <c r="C818" s="10">
        <v>-23</v>
      </c>
      <c r="D818" t="s">
        <v>134</v>
      </c>
      <c r="E818" s="2">
        <f t="shared" si="134"/>
        <v>46217</v>
      </c>
      <c r="F818" s="3">
        <f t="shared" si="133"/>
        <v>0.56111111111111112</v>
      </c>
      <c r="G818" t="s">
        <v>135</v>
      </c>
      <c r="H818" t="s">
        <v>136</v>
      </c>
      <c r="I818" t="s">
        <v>11</v>
      </c>
      <c r="J818" s="2">
        <v>46217</v>
      </c>
      <c r="K818" s="1">
        <v>0.55902777777777779</v>
      </c>
      <c r="L818" s="10">
        <f t="shared" si="129"/>
        <v>-2.9999999999999893</v>
      </c>
      <c r="M818" s="1" t="str">
        <f t="shared" si="135"/>
        <v>On Time</v>
      </c>
      <c r="N818" s="27" t="str">
        <f t="shared" si="130"/>
        <v>airBaltic</v>
      </c>
      <c r="O818" s="3" t="s">
        <v>1385</v>
      </c>
      <c r="P818" s="20">
        <f t="shared" si="131"/>
        <v>13</v>
      </c>
      <c r="Q818" s="3" t="s">
        <v>1385</v>
      </c>
      <c r="R818" s="23" t="str">
        <f t="shared" si="132"/>
        <v>Tuesday</v>
      </c>
      <c r="S818" s="3" t="s">
        <v>1385</v>
      </c>
      <c r="T818" s="23" t="s">
        <v>7</v>
      </c>
      <c r="U818" s="3" t="s">
        <v>1385</v>
      </c>
      <c r="AO818" s="15"/>
      <c r="AP818" s="15"/>
      <c r="AQ818" s="15"/>
      <c r="AR818" s="23"/>
      <c r="AS818" s="15"/>
      <c r="AT818" s="15"/>
      <c r="AU818" s="23"/>
      <c r="AV818" s="23"/>
    </row>
    <row r="819" spans="1:48" x14ac:dyDescent="0.25">
      <c r="A819" t="s">
        <v>141</v>
      </c>
      <c r="B819" t="s">
        <v>19</v>
      </c>
      <c r="C819" s="10">
        <v>-13</v>
      </c>
      <c r="D819" t="s">
        <v>433</v>
      </c>
      <c r="E819" s="2">
        <f t="shared" si="134"/>
        <v>46217</v>
      </c>
      <c r="F819" s="3">
        <f t="shared" si="133"/>
        <v>0.56805555555555554</v>
      </c>
      <c r="G819" t="s">
        <v>21</v>
      </c>
      <c r="H819" t="s">
        <v>22</v>
      </c>
      <c r="I819" t="s">
        <v>237</v>
      </c>
      <c r="J819" s="2">
        <v>46217</v>
      </c>
      <c r="K819" s="1">
        <v>0.57638888888888895</v>
      </c>
      <c r="L819" s="10">
        <f t="shared" si="129"/>
        <v>12.000000000000117</v>
      </c>
      <c r="M819" s="1" t="str">
        <f t="shared" si="135"/>
        <v>On Time</v>
      </c>
      <c r="N819" s="27" t="str">
        <f t="shared" si="130"/>
        <v>LOT</v>
      </c>
      <c r="O819" s="3" t="s">
        <v>1385</v>
      </c>
      <c r="P819" s="20">
        <f t="shared" si="131"/>
        <v>13</v>
      </c>
      <c r="Q819" s="3" t="s">
        <v>1385</v>
      </c>
      <c r="R819" s="23" t="str">
        <f t="shared" si="132"/>
        <v>Tuesday</v>
      </c>
      <c r="S819" s="3" t="s">
        <v>1385</v>
      </c>
      <c r="T819" s="23" t="s">
        <v>19</v>
      </c>
      <c r="U819" s="3" t="s">
        <v>1385</v>
      </c>
      <c r="AO819" s="15"/>
      <c r="AP819" s="15"/>
      <c r="AQ819" s="15"/>
      <c r="AR819" s="23"/>
      <c r="AS819" s="15"/>
      <c r="AT819" s="15"/>
      <c r="AU819" s="23"/>
      <c r="AV819" s="23"/>
    </row>
    <row r="820" spans="1:48" x14ac:dyDescent="0.25">
      <c r="A820" t="s">
        <v>655</v>
      </c>
      <c r="B820" t="s">
        <v>388</v>
      </c>
      <c r="C820" s="10" t="e">
        <f>NA()</f>
        <v>#N/A</v>
      </c>
      <c r="D820" t="s">
        <v>242</v>
      </c>
      <c r="E820" s="2">
        <f t="shared" si="134"/>
        <v>46217</v>
      </c>
      <c r="F820" s="3" t="e">
        <f t="shared" si="133"/>
        <v>#N/A</v>
      </c>
      <c r="G820" t="s">
        <v>657</v>
      </c>
      <c r="H820" t="s">
        <v>658</v>
      </c>
      <c r="I820" t="s">
        <v>123</v>
      </c>
      <c r="J820" s="2">
        <v>46217</v>
      </c>
      <c r="K820" s="1">
        <v>0.57986111111111105</v>
      </c>
      <c r="L820" s="10" t="e">
        <f t="shared" si="129"/>
        <v>#N/A</v>
      </c>
      <c r="M820" s="1" t="e">
        <f t="shared" si="135"/>
        <v>#N/A</v>
      </c>
      <c r="N820" s="27" t="e">
        <f t="shared" si="130"/>
        <v>#N/A</v>
      </c>
      <c r="O820" s="3" t="e">
        <v>#N/A</v>
      </c>
      <c r="P820" s="20" t="e">
        <f t="shared" si="131"/>
        <v>#N/A</v>
      </c>
      <c r="Q820" s="3" t="e">
        <v>#N/A</v>
      </c>
      <c r="R820" s="23" t="str">
        <f t="shared" si="132"/>
        <v>Tuesday</v>
      </c>
      <c r="S820" s="3" t="e">
        <v>#N/A</v>
      </c>
      <c r="T820" s="23" t="s">
        <v>388</v>
      </c>
      <c r="AO820" s="15"/>
      <c r="AP820" s="15"/>
      <c r="AQ820" s="15"/>
      <c r="AR820" s="23"/>
      <c r="AS820" s="15"/>
      <c r="AT820" s="15"/>
      <c r="AU820" s="23"/>
      <c r="AV820" s="23"/>
    </row>
    <row r="821" spans="1:48" x14ac:dyDescent="0.25">
      <c r="A821" t="s">
        <v>148</v>
      </c>
      <c r="B821" t="s">
        <v>7</v>
      </c>
      <c r="C821" s="10">
        <v>-43</v>
      </c>
      <c r="D821" t="s">
        <v>661</v>
      </c>
      <c r="E821" s="2">
        <f t="shared" si="134"/>
        <v>46217</v>
      </c>
      <c r="F821" s="3">
        <f t="shared" si="133"/>
        <v>0.62638888888888888</v>
      </c>
      <c r="G821" t="s">
        <v>9</v>
      </c>
      <c r="H821" t="s">
        <v>10</v>
      </c>
      <c r="I821" t="s">
        <v>11</v>
      </c>
      <c r="J821" s="2">
        <v>46217</v>
      </c>
      <c r="K821" s="1">
        <v>0.60763888888888895</v>
      </c>
      <c r="L821" s="10">
        <f t="shared" si="129"/>
        <v>-26.999999999999904</v>
      </c>
      <c r="M821" s="1" t="str">
        <f t="shared" si="135"/>
        <v>Delayed</v>
      </c>
      <c r="N821" s="27" t="str">
        <f t="shared" si="130"/>
        <v>airBaltic</v>
      </c>
      <c r="O821" s="3" t="s">
        <v>1318</v>
      </c>
      <c r="P821" s="20">
        <f t="shared" si="131"/>
        <v>15</v>
      </c>
      <c r="Q821" s="3" t="s">
        <v>1318</v>
      </c>
      <c r="R821" s="23" t="str">
        <f t="shared" si="132"/>
        <v>Tuesday</v>
      </c>
      <c r="S821" s="3" t="s">
        <v>1318</v>
      </c>
      <c r="T821" s="23" t="s">
        <v>7</v>
      </c>
      <c r="U821" s="3" t="s">
        <v>1318</v>
      </c>
      <c r="AO821" s="15"/>
      <c r="AP821" s="15"/>
      <c r="AQ821" s="15"/>
      <c r="AR821" s="23"/>
      <c r="AS821" s="15"/>
      <c r="AT821" s="15"/>
      <c r="AU821" s="23"/>
      <c r="AV821" s="23"/>
    </row>
    <row r="822" spans="1:48" x14ac:dyDescent="0.25">
      <c r="A822" t="s">
        <v>192</v>
      </c>
      <c r="B822" t="s">
        <v>13</v>
      </c>
      <c r="C822" s="10">
        <v>0</v>
      </c>
      <c r="D822" t="s">
        <v>976</v>
      </c>
      <c r="E822" s="2">
        <f t="shared" si="134"/>
        <v>46217</v>
      </c>
      <c r="F822" s="3">
        <f t="shared" si="133"/>
        <v>0.60069444444444442</v>
      </c>
      <c r="G822" t="s">
        <v>194</v>
      </c>
      <c r="H822" t="s">
        <v>195</v>
      </c>
      <c r="I822" t="s">
        <v>17</v>
      </c>
      <c r="J822" s="2">
        <v>46217</v>
      </c>
      <c r="K822" s="1">
        <v>0.61805555555555558</v>
      </c>
      <c r="L822" s="10">
        <f t="shared" si="129"/>
        <v>25.000000000000071</v>
      </c>
      <c r="M822" s="1" t="str">
        <f t="shared" si="135"/>
        <v>On Time</v>
      </c>
      <c r="N822" s="27" t="str">
        <f t="shared" si="130"/>
        <v>Wizz Air</v>
      </c>
      <c r="O822" s="3" t="s">
        <v>1385</v>
      </c>
      <c r="P822" s="20">
        <f t="shared" si="131"/>
        <v>14</v>
      </c>
      <c r="Q822" s="3" t="s">
        <v>1385</v>
      </c>
      <c r="R822" s="23" t="str">
        <f t="shared" si="132"/>
        <v>Tuesday</v>
      </c>
      <c r="S822" s="3" t="s">
        <v>1385</v>
      </c>
      <c r="T822" s="23" t="s">
        <v>13</v>
      </c>
      <c r="U822" s="3" t="s">
        <v>1385</v>
      </c>
      <c r="AO822" s="15"/>
      <c r="AP822" s="15"/>
      <c r="AQ822" s="15"/>
      <c r="AR822" s="23"/>
      <c r="AS822" s="15"/>
      <c r="AT822" s="15"/>
      <c r="AU822" s="23"/>
      <c r="AV822" s="23"/>
    </row>
    <row r="823" spans="1:48" x14ac:dyDescent="0.25">
      <c r="A823" t="s">
        <v>156</v>
      </c>
      <c r="B823" t="s">
        <v>41</v>
      </c>
      <c r="C823" s="10">
        <v>-7</v>
      </c>
      <c r="D823" t="s">
        <v>345</v>
      </c>
      <c r="E823" s="2">
        <f t="shared" si="134"/>
        <v>46217</v>
      </c>
      <c r="F823" s="3">
        <f t="shared" si="133"/>
        <v>0.63263888888888886</v>
      </c>
      <c r="G823" t="s">
        <v>43</v>
      </c>
      <c r="H823" t="s">
        <v>44</v>
      </c>
      <c r="I823" t="s">
        <v>158</v>
      </c>
      <c r="J823" s="2">
        <v>46217</v>
      </c>
      <c r="K823" s="1">
        <v>0.63541666666666663</v>
      </c>
      <c r="L823" s="10">
        <f t="shared" si="129"/>
        <v>3.9999999999999858</v>
      </c>
      <c r="M823" s="1" t="str">
        <f t="shared" si="135"/>
        <v>On Time</v>
      </c>
      <c r="N823" s="27" t="str">
        <f t="shared" si="130"/>
        <v>SAS</v>
      </c>
      <c r="O823" s="3" t="s">
        <v>1385</v>
      </c>
      <c r="P823" s="20">
        <f t="shared" si="131"/>
        <v>15</v>
      </c>
      <c r="Q823" s="3" t="s">
        <v>1385</v>
      </c>
      <c r="R823" s="23" t="str">
        <f t="shared" si="132"/>
        <v>Tuesday</v>
      </c>
      <c r="S823" s="3" t="s">
        <v>1385</v>
      </c>
      <c r="T823" s="23" t="s">
        <v>41</v>
      </c>
      <c r="U823" s="3" t="s">
        <v>1385</v>
      </c>
      <c r="AO823" s="15"/>
      <c r="AP823" s="15"/>
      <c r="AQ823" s="15"/>
      <c r="AR823" s="23"/>
      <c r="AS823" s="15"/>
      <c r="AT823" s="15"/>
      <c r="AU823" s="23"/>
      <c r="AV823" s="23"/>
    </row>
    <row r="824" spans="1:48" x14ac:dyDescent="0.25">
      <c r="A824" t="s">
        <v>213</v>
      </c>
      <c r="B824" t="s">
        <v>85</v>
      </c>
      <c r="C824" s="10">
        <v>-32</v>
      </c>
      <c r="D824" t="s">
        <v>977</v>
      </c>
      <c r="E824" s="2">
        <f t="shared" si="134"/>
        <v>46217</v>
      </c>
      <c r="F824" s="3">
        <f t="shared" si="133"/>
        <v>0.65</v>
      </c>
      <c r="G824" t="s">
        <v>102</v>
      </c>
      <c r="H824" t="s">
        <v>115</v>
      </c>
      <c r="I824" t="s">
        <v>162</v>
      </c>
      <c r="J824" s="2">
        <v>46217</v>
      </c>
      <c r="K824" s="1">
        <v>0.64583333333333337</v>
      </c>
      <c r="L824" s="10">
        <f t="shared" si="129"/>
        <v>-5.9999999999999787</v>
      </c>
      <c r="M824" s="1" t="str">
        <f t="shared" si="135"/>
        <v>On Time</v>
      </c>
      <c r="N824" s="27" t="str">
        <f t="shared" si="130"/>
        <v>Ryanair</v>
      </c>
      <c r="O824" s="3" t="s">
        <v>1385</v>
      </c>
      <c r="P824" s="20">
        <f t="shared" si="131"/>
        <v>15</v>
      </c>
      <c r="Q824" s="3" t="s">
        <v>1385</v>
      </c>
      <c r="R824" s="23" t="str">
        <f t="shared" si="132"/>
        <v>Tuesday</v>
      </c>
      <c r="S824" s="3" t="s">
        <v>1385</v>
      </c>
      <c r="T824" s="23" t="s">
        <v>85</v>
      </c>
      <c r="U824" s="3" t="s">
        <v>1385</v>
      </c>
      <c r="AO824" s="15"/>
      <c r="AP824" s="15"/>
      <c r="AQ824" s="15"/>
      <c r="AR824" s="23"/>
      <c r="AS824" s="15"/>
      <c r="AT824" s="15"/>
      <c r="AU824" s="23"/>
      <c r="AV824" s="23"/>
    </row>
    <row r="825" spans="1:48" x14ac:dyDescent="0.25">
      <c r="A825" t="s">
        <v>479</v>
      </c>
      <c r="B825" t="s">
        <v>7</v>
      </c>
      <c r="C825" s="10">
        <v>-26</v>
      </c>
      <c r="D825" t="s">
        <v>978</v>
      </c>
      <c r="E825" s="2">
        <f t="shared" si="134"/>
        <v>46217</v>
      </c>
      <c r="F825" s="3">
        <f t="shared" si="133"/>
        <v>0.67013888888888884</v>
      </c>
      <c r="G825" t="s">
        <v>481</v>
      </c>
      <c r="H825" t="s">
        <v>482</v>
      </c>
      <c r="I825" t="s">
        <v>11</v>
      </c>
      <c r="J825" s="2">
        <v>46217</v>
      </c>
      <c r="K825" s="1">
        <v>0.66666666666666663</v>
      </c>
      <c r="L825" s="10">
        <f t="shared" si="129"/>
        <v>-4.9999999999999822</v>
      </c>
      <c r="M825" s="1" t="str">
        <f t="shared" si="135"/>
        <v>On Time</v>
      </c>
      <c r="N825" s="27" t="str">
        <f t="shared" si="130"/>
        <v>airBaltic</v>
      </c>
      <c r="O825" s="3" t="s">
        <v>1385</v>
      </c>
      <c r="P825" s="20">
        <f t="shared" si="131"/>
        <v>16</v>
      </c>
      <c r="Q825" s="3" t="s">
        <v>1385</v>
      </c>
      <c r="R825" s="23" t="str">
        <f t="shared" si="132"/>
        <v>Tuesday</v>
      </c>
      <c r="S825" s="3" t="s">
        <v>1385</v>
      </c>
      <c r="T825" s="23" t="s">
        <v>7</v>
      </c>
      <c r="U825" s="3" t="s">
        <v>1385</v>
      </c>
      <c r="AO825" s="15"/>
      <c r="AP825" s="15"/>
      <c r="AQ825" s="15"/>
      <c r="AR825" s="23"/>
      <c r="AS825" s="15"/>
      <c r="AT825" s="15"/>
      <c r="AU825" s="23"/>
      <c r="AV825" s="23"/>
    </row>
    <row r="826" spans="1:48" x14ac:dyDescent="0.25">
      <c r="A826" t="s">
        <v>175</v>
      </c>
      <c r="B826" t="s">
        <v>19</v>
      </c>
      <c r="C826" s="10">
        <v>-21</v>
      </c>
      <c r="D826" t="s">
        <v>665</v>
      </c>
      <c r="E826" s="2">
        <f t="shared" si="134"/>
        <v>46217</v>
      </c>
      <c r="F826" s="3">
        <f t="shared" si="133"/>
        <v>0.67986111111111114</v>
      </c>
      <c r="G826" t="s">
        <v>21</v>
      </c>
      <c r="H826" t="s">
        <v>22</v>
      </c>
      <c r="I826" t="s">
        <v>177</v>
      </c>
      <c r="J826" s="2">
        <v>46217</v>
      </c>
      <c r="K826" s="1">
        <v>0.68055555555555547</v>
      </c>
      <c r="L826" s="10">
        <f t="shared" si="129"/>
        <v>0.99999999999983658</v>
      </c>
      <c r="M826" s="1" t="str">
        <f t="shared" si="135"/>
        <v>On Time</v>
      </c>
      <c r="N826" s="27" t="str">
        <f t="shared" si="130"/>
        <v>LOT</v>
      </c>
      <c r="O826" s="3" t="s">
        <v>1385</v>
      </c>
      <c r="P826" s="20">
        <f t="shared" si="131"/>
        <v>16</v>
      </c>
      <c r="Q826" s="3" t="s">
        <v>1385</v>
      </c>
      <c r="R826" s="23" t="str">
        <f t="shared" si="132"/>
        <v>Tuesday</v>
      </c>
      <c r="S826" s="3" t="s">
        <v>1385</v>
      </c>
      <c r="T826" s="23" t="s">
        <v>19</v>
      </c>
      <c r="U826" s="3" t="s">
        <v>1385</v>
      </c>
      <c r="AO826" s="15"/>
      <c r="AP826" s="15"/>
      <c r="AQ826" s="15"/>
      <c r="AR826" s="23"/>
      <c r="AS826" s="15"/>
      <c r="AT826" s="15"/>
      <c r="AU826" s="23"/>
      <c r="AV826" s="23"/>
    </row>
    <row r="827" spans="1:48" x14ac:dyDescent="0.25">
      <c r="A827" t="s">
        <v>224</v>
      </c>
      <c r="B827" t="s">
        <v>151</v>
      </c>
      <c r="C827" s="10">
        <v>-2</v>
      </c>
      <c r="D827" t="s">
        <v>979</v>
      </c>
      <c r="E827" s="2">
        <f t="shared" si="134"/>
        <v>46217</v>
      </c>
      <c r="F827" s="3">
        <f t="shared" si="133"/>
        <v>0.6875</v>
      </c>
      <c r="G827" t="s">
        <v>226</v>
      </c>
      <c r="H827" t="s">
        <v>227</v>
      </c>
      <c r="I827" t="s">
        <v>188</v>
      </c>
      <c r="J827" s="2">
        <v>46217</v>
      </c>
      <c r="K827" s="1">
        <v>0.69097222222222221</v>
      </c>
      <c r="L827" s="10">
        <f t="shared" si="129"/>
        <v>4.9999999999999822</v>
      </c>
      <c r="M827" s="1" t="str">
        <f t="shared" si="135"/>
        <v>On Time</v>
      </c>
      <c r="N827" s="27" t="e">
        <f t="shared" si="130"/>
        <v>#N/A</v>
      </c>
      <c r="O827" s="3" t="s">
        <v>1385</v>
      </c>
      <c r="P827" s="20">
        <f t="shared" si="131"/>
        <v>16</v>
      </c>
      <c r="Q827" s="3" t="s">
        <v>1385</v>
      </c>
      <c r="R827" s="23" t="str">
        <f t="shared" si="132"/>
        <v>Tuesday</v>
      </c>
      <c r="S827" s="3" t="s">
        <v>1385</v>
      </c>
      <c r="T827" s="23" t="s">
        <v>151</v>
      </c>
      <c r="U827" s="3" t="s">
        <v>1385</v>
      </c>
      <c r="AO827" s="15"/>
      <c r="AP827" s="15"/>
      <c r="AQ827" s="15"/>
      <c r="AR827" s="23"/>
      <c r="AS827" s="15"/>
      <c r="AT827" s="15"/>
      <c r="AU827" s="23"/>
      <c r="AV827" s="23"/>
    </row>
    <row r="828" spans="1:48" x14ac:dyDescent="0.25">
      <c r="A828" t="s">
        <v>184</v>
      </c>
      <c r="B828" t="s">
        <v>85</v>
      </c>
      <c r="C828" s="10">
        <v>0</v>
      </c>
      <c r="D828" t="s">
        <v>445</v>
      </c>
      <c r="E828" s="2">
        <f t="shared" si="134"/>
        <v>46217</v>
      </c>
      <c r="F828" s="3">
        <f t="shared" si="133"/>
        <v>0.68958333333333333</v>
      </c>
      <c r="G828" t="s">
        <v>153</v>
      </c>
      <c r="H828" t="s">
        <v>154</v>
      </c>
      <c r="I828" t="s">
        <v>89</v>
      </c>
      <c r="J828" s="2">
        <v>46217</v>
      </c>
      <c r="K828" s="1">
        <v>0.70138888888888884</v>
      </c>
      <c r="L828" s="10">
        <f t="shared" si="129"/>
        <v>16.99999999999994</v>
      </c>
      <c r="M828" s="1" t="str">
        <f t="shared" si="135"/>
        <v>On Time</v>
      </c>
      <c r="N828" s="27" t="str">
        <f t="shared" si="130"/>
        <v>Ryanair</v>
      </c>
      <c r="O828" s="3" t="s">
        <v>1385</v>
      </c>
      <c r="P828" s="20">
        <f t="shared" si="131"/>
        <v>16</v>
      </c>
      <c r="Q828" s="3" t="s">
        <v>1385</v>
      </c>
      <c r="R828" s="23" t="str">
        <f t="shared" si="132"/>
        <v>Tuesday</v>
      </c>
      <c r="S828" s="3" t="s">
        <v>1385</v>
      </c>
      <c r="T828" s="23" t="s">
        <v>85</v>
      </c>
      <c r="U828" s="3" t="s">
        <v>1385</v>
      </c>
      <c r="AO828" s="15"/>
      <c r="AP828" s="15"/>
      <c r="AQ828" s="15"/>
      <c r="AR828" s="23"/>
      <c r="AS828" s="15"/>
      <c r="AT828" s="15"/>
      <c r="AU828" s="23"/>
      <c r="AV828" s="23"/>
    </row>
    <row r="829" spans="1:48" x14ac:dyDescent="0.25">
      <c r="A829" t="s">
        <v>182</v>
      </c>
      <c r="B829" t="s">
        <v>69</v>
      </c>
      <c r="C829" s="10">
        <v>-26</v>
      </c>
      <c r="D829" t="s">
        <v>980</v>
      </c>
      <c r="E829" s="2">
        <f t="shared" si="134"/>
        <v>46217</v>
      </c>
      <c r="F829" s="3">
        <f t="shared" si="133"/>
        <v>0.75624999999999998</v>
      </c>
      <c r="G829" t="s">
        <v>71</v>
      </c>
      <c r="H829" t="s">
        <v>72</v>
      </c>
      <c r="I829" t="s">
        <v>73</v>
      </c>
      <c r="J829" s="2">
        <v>46217</v>
      </c>
      <c r="K829" s="1">
        <v>0.74305555555555547</v>
      </c>
      <c r="L829" s="10">
        <f t="shared" si="129"/>
        <v>-19.000000000000092</v>
      </c>
      <c r="M829" s="1" t="str">
        <f t="shared" si="135"/>
        <v>Delayed</v>
      </c>
      <c r="N829" s="27" t="str">
        <f t="shared" si="130"/>
        <v>Finnair</v>
      </c>
      <c r="O829" s="3" t="s">
        <v>1318</v>
      </c>
      <c r="P829" s="20">
        <f t="shared" si="131"/>
        <v>18</v>
      </c>
      <c r="Q829" s="3" t="s">
        <v>1318</v>
      </c>
      <c r="R829" s="23" t="str">
        <f t="shared" si="132"/>
        <v>Tuesday</v>
      </c>
      <c r="S829" s="3" t="s">
        <v>1318</v>
      </c>
      <c r="T829" s="23" t="s">
        <v>69</v>
      </c>
      <c r="U829" s="3" t="s">
        <v>1318</v>
      </c>
      <c r="AO829" s="15"/>
      <c r="AP829" s="15"/>
      <c r="AQ829" s="15"/>
      <c r="AR829" s="23"/>
      <c r="AS829" s="15"/>
      <c r="AT829" s="15"/>
      <c r="AU829" s="23"/>
      <c r="AV829" s="23"/>
    </row>
    <row r="830" spans="1:48" x14ac:dyDescent="0.25">
      <c r="A830" t="s">
        <v>196</v>
      </c>
      <c r="B830" t="s">
        <v>13</v>
      </c>
      <c r="C830" s="10">
        <v>-22</v>
      </c>
      <c r="D830" t="s">
        <v>981</v>
      </c>
      <c r="E830" s="2">
        <f t="shared" si="134"/>
        <v>46217</v>
      </c>
      <c r="F830" s="3">
        <f t="shared" si="133"/>
        <v>0.77569444444444446</v>
      </c>
      <c r="G830" t="s">
        <v>198</v>
      </c>
      <c r="H830" t="s">
        <v>199</v>
      </c>
      <c r="I830" t="s">
        <v>210</v>
      </c>
      <c r="J830" s="2">
        <v>46217</v>
      </c>
      <c r="K830" s="1">
        <v>0.77083333333333337</v>
      </c>
      <c r="L830" s="10">
        <f t="shared" si="129"/>
        <v>-6.9999999999999751</v>
      </c>
      <c r="M830" s="1" t="str">
        <f t="shared" si="135"/>
        <v>On Time</v>
      </c>
      <c r="N830" s="27" t="str">
        <f t="shared" si="130"/>
        <v>Wizz Air</v>
      </c>
      <c r="O830" s="3" t="s">
        <v>1385</v>
      </c>
      <c r="P830" s="20">
        <f t="shared" si="131"/>
        <v>18</v>
      </c>
      <c r="Q830" s="3" t="s">
        <v>1385</v>
      </c>
      <c r="R830" s="23" t="str">
        <f t="shared" si="132"/>
        <v>Tuesday</v>
      </c>
      <c r="S830" s="3" t="s">
        <v>1385</v>
      </c>
      <c r="T830" s="23" t="s">
        <v>13</v>
      </c>
      <c r="U830" s="3" t="s">
        <v>1385</v>
      </c>
      <c r="AO830" s="15"/>
      <c r="AP830" s="15"/>
      <c r="AQ830" s="15"/>
      <c r="AR830" s="23"/>
      <c r="AS830" s="15"/>
      <c r="AT830" s="15"/>
      <c r="AU830" s="23"/>
      <c r="AV830" s="23"/>
    </row>
    <row r="831" spans="1:48" x14ac:dyDescent="0.25">
      <c r="A831" t="s">
        <v>186</v>
      </c>
      <c r="B831" t="s">
        <v>19</v>
      </c>
      <c r="C831" s="10">
        <v>-20</v>
      </c>
      <c r="D831" t="s">
        <v>605</v>
      </c>
      <c r="E831" s="2">
        <f t="shared" si="134"/>
        <v>46217</v>
      </c>
      <c r="F831" s="3">
        <f t="shared" si="133"/>
        <v>0.77013888888888893</v>
      </c>
      <c r="G831" t="s">
        <v>21</v>
      </c>
      <c r="H831" t="s">
        <v>22</v>
      </c>
      <c r="I831" t="s">
        <v>276</v>
      </c>
      <c r="J831" s="2">
        <v>46217</v>
      </c>
      <c r="K831" s="1">
        <v>0.77430555555555547</v>
      </c>
      <c r="L831" s="10">
        <f t="shared" si="129"/>
        <v>5.9999999999998188</v>
      </c>
      <c r="M831" s="1" t="str">
        <f t="shared" si="135"/>
        <v>On Time</v>
      </c>
      <c r="N831" s="27" t="str">
        <f t="shared" si="130"/>
        <v>LOT</v>
      </c>
      <c r="O831" s="3" t="s">
        <v>1385</v>
      </c>
      <c r="P831" s="20">
        <f t="shared" si="131"/>
        <v>18</v>
      </c>
      <c r="Q831" s="3" t="s">
        <v>1385</v>
      </c>
      <c r="R831" s="23" t="str">
        <f t="shared" si="132"/>
        <v>Tuesday</v>
      </c>
      <c r="S831" s="3" t="s">
        <v>1385</v>
      </c>
      <c r="T831" s="23" t="s">
        <v>19</v>
      </c>
      <c r="U831" s="3" t="s">
        <v>1385</v>
      </c>
      <c r="AO831" s="15"/>
      <c r="AP831" s="15"/>
      <c r="AQ831" s="15"/>
      <c r="AR831" s="23"/>
      <c r="AS831" s="15"/>
      <c r="AT831" s="15"/>
      <c r="AU831" s="23"/>
      <c r="AV831" s="23"/>
    </row>
    <row r="832" spans="1:48" x14ac:dyDescent="0.25">
      <c r="A832" t="s">
        <v>200</v>
      </c>
      <c r="B832" t="s">
        <v>13</v>
      </c>
      <c r="C832" s="10">
        <v>-20</v>
      </c>
      <c r="D832" t="s">
        <v>949</v>
      </c>
      <c r="E832" s="2">
        <f t="shared" si="134"/>
        <v>46217</v>
      </c>
      <c r="F832" s="3">
        <f t="shared" si="133"/>
        <v>0.77986111111111101</v>
      </c>
      <c r="G832" t="s">
        <v>202</v>
      </c>
      <c r="H832" t="s">
        <v>203</v>
      </c>
      <c r="I832" t="s">
        <v>17</v>
      </c>
      <c r="J832" s="2">
        <v>46217</v>
      </c>
      <c r="K832" s="1">
        <v>0.78472222222222221</v>
      </c>
      <c r="L832" s="10">
        <f t="shared" si="129"/>
        <v>7.000000000000135</v>
      </c>
      <c r="M832" s="1" t="str">
        <f t="shared" si="135"/>
        <v>On Time</v>
      </c>
      <c r="N832" s="27" t="str">
        <f t="shared" si="130"/>
        <v>Wizz Air</v>
      </c>
      <c r="O832" s="3" t="s">
        <v>1385</v>
      </c>
      <c r="P832" s="20">
        <f t="shared" si="131"/>
        <v>18</v>
      </c>
      <c r="Q832" s="3" t="s">
        <v>1385</v>
      </c>
      <c r="R832" s="23" t="str">
        <f t="shared" si="132"/>
        <v>Tuesday</v>
      </c>
      <c r="S832" s="3" t="s">
        <v>1385</v>
      </c>
      <c r="T832" s="23" t="s">
        <v>13</v>
      </c>
      <c r="U832" s="3" t="s">
        <v>1385</v>
      </c>
      <c r="AO832" s="15"/>
      <c r="AP832" s="15"/>
      <c r="AQ832" s="15"/>
      <c r="AR832" s="23"/>
      <c r="AS832" s="15"/>
      <c r="AT832" s="15"/>
      <c r="AU832" s="23"/>
      <c r="AV832" s="23"/>
    </row>
    <row r="833" spans="1:48" x14ac:dyDescent="0.25">
      <c r="A833" t="s">
        <v>189</v>
      </c>
      <c r="B833" t="s">
        <v>190</v>
      </c>
      <c r="C833" s="10">
        <v>-26</v>
      </c>
      <c r="D833" t="s">
        <v>907</v>
      </c>
      <c r="E833" s="2">
        <f t="shared" si="134"/>
        <v>46217</v>
      </c>
      <c r="F833" s="3">
        <f t="shared" si="133"/>
        <v>0.78611111111111109</v>
      </c>
      <c r="G833" t="s">
        <v>110</v>
      </c>
      <c r="H833" t="s">
        <v>111</v>
      </c>
      <c r="I833" t="s">
        <v>67</v>
      </c>
      <c r="J833" s="2">
        <v>46217</v>
      </c>
      <c r="K833" s="1">
        <v>0.78819444444444453</v>
      </c>
      <c r="L833" s="10">
        <f t="shared" si="129"/>
        <v>3.0000000000001492</v>
      </c>
      <c r="M833" s="1" t="str">
        <f t="shared" si="135"/>
        <v>On Time</v>
      </c>
      <c r="N833" s="27" t="str">
        <f t="shared" si="130"/>
        <v>Lufthansa</v>
      </c>
      <c r="O833" s="3" t="s">
        <v>1385</v>
      </c>
      <c r="P833" s="20">
        <f t="shared" si="131"/>
        <v>18</v>
      </c>
      <c r="Q833" s="3" t="s">
        <v>1385</v>
      </c>
      <c r="R833" s="23" t="str">
        <f t="shared" si="132"/>
        <v>Tuesday</v>
      </c>
      <c r="S833" s="3" t="s">
        <v>1385</v>
      </c>
      <c r="T833" s="23" t="s">
        <v>190</v>
      </c>
      <c r="U833" s="3" t="s">
        <v>1385</v>
      </c>
      <c r="AO833" s="15"/>
      <c r="AP833" s="15"/>
      <c r="AQ833" s="15"/>
      <c r="AR833" s="23"/>
      <c r="AS833" s="15"/>
      <c r="AT833" s="15"/>
      <c r="AU833" s="23"/>
      <c r="AV833" s="23"/>
    </row>
    <row r="834" spans="1:48" x14ac:dyDescent="0.25">
      <c r="A834" t="s">
        <v>351</v>
      </c>
      <c r="B834" t="s">
        <v>85</v>
      </c>
      <c r="C834" s="10">
        <v>-29</v>
      </c>
      <c r="D834" t="s">
        <v>790</v>
      </c>
      <c r="E834" s="2">
        <f t="shared" si="134"/>
        <v>46217</v>
      </c>
      <c r="F834" s="3">
        <f t="shared" si="133"/>
        <v>0.80138888888888893</v>
      </c>
      <c r="G834" t="s">
        <v>252</v>
      </c>
      <c r="H834" t="s">
        <v>352</v>
      </c>
      <c r="I834" t="s">
        <v>89</v>
      </c>
      <c r="J834" s="2">
        <v>46217</v>
      </c>
      <c r="K834" s="1">
        <v>0.79861111111111116</v>
      </c>
      <c r="L834" s="10">
        <f t="shared" ref="L834:L897" si="136">IF(J834&gt;E834,(K834+1-F834)*1440,IF(J834&lt;E834,-(F834+1-K834)*1440,(K834-F834)*1440))</f>
        <v>-3.9999999999999858</v>
      </c>
      <c r="M834" s="1" t="str">
        <f t="shared" si="135"/>
        <v>On Time</v>
      </c>
      <c r="N834" s="27" t="str">
        <f t="shared" ref="N834:N897" si="137">IF(COUNTIFS($B$2:$B$1553,B834,$M$2:$M$1553,"&lt;&gt;#N/A")&gt;=30,B834,NA())</f>
        <v>Ryanair</v>
      </c>
      <c r="O834" s="3" t="s">
        <v>1385</v>
      </c>
      <c r="P834" s="20">
        <f t="shared" ref="P834:P897" si="138">HOUR(F834)</f>
        <v>19</v>
      </c>
      <c r="Q834" s="3" t="s">
        <v>1385</v>
      </c>
      <c r="R834" s="23" t="str">
        <f t="shared" ref="R834:R897" si="139">TEXT(E834, "dddd")</f>
        <v>Tuesday</v>
      </c>
      <c r="S834" s="3" t="s">
        <v>1385</v>
      </c>
      <c r="T834" s="23" t="s">
        <v>85</v>
      </c>
      <c r="U834" s="3" t="s">
        <v>1385</v>
      </c>
      <c r="AO834" s="15"/>
      <c r="AP834" s="15"/>
      <c r="AQ834" s="15"/>
      <c r="AR834" s="23"/>
      <c r="AS834" s="15"/>
      <c r="AT834" s="15"/>
      <c r="AU834" s="23"/>
      <c r="AV834" s="23"/>
    </row>
    <row r="835" spans="1:48" x14ac:dyDescent="0.25">
      <c r="A835" t="s">
        <v>211</v>
      </c>
      <c r="B835" t="s">
        <v>7</v>
      </c>
      <c r="C835" s="10">
        <v>-11</v>
      </c>
      <c r="D835" t="s">
        <v>791</v>
      </c>
      <c r="E835" s="2">
        <f t="shared" si="134"/>
        <v>46217</v>
      </c>
      <c r="F835" s="3">
        <f t="shared" ref="F835:F898" si="140">IF(ISNUMBER(SEARCH("Landed", D835)), TIMEVALUE(_xlfn.TEXTAFTER(D835, " ")), NA())</f>
        <v>0.81944444444444453</v>
      </c>
      <c r="G835" t="s">
        <v>135</v>
      </c>
      <c r="H835" t="s">
        <v>136</v>
      </c>
      <c r="I835" t="s">
        <v>11</v>
      </c>
      <c r="J835" s="2">
        <v>46217</v>
      </c>
      <c r="K835" s="1">
        <v>0.82638888888888884</v>
      </c>
      <c r="L835" s="10">
        <f t="shared" si="136"/>
        <v>9.9999999999998046</v>
      </c>
      <c r="M835" s="1" t="str">
        <f t="shared" si="135"/>
        <v>On Time</v>
      </c>
      <c r="N835" s="27" t="str">
        <f t="shared" si="137"/>
        <v>airBaltic</v>
      </c>
      <c r="O835" s="3" t="s">
        <v>1385</v>
      </c>
      <c r="P835" s="20">
        <f t="shared" si="138"/>
        <v>19</v>
      </c>
      <c r="Q835" s="3" t="s">
        <v>1385</v>
      </c>
      <c r="R835" s="23" t="str">
        <f t="shared" si="139"/>
        <v>Tuesday</v>
      </c>
      <c r="S835" s="3" t="s">
        <v>1385</v>
      </c>
      <c r="T835" s="23" t="s">
        <v>7</v>
      </c>
      <c r="U835" s="3" t="s">
        <v>1385</v>
      </c>
      <c r="AO835" s="15"/>
      <c r="AP835" s="15"/>
      <c r="AQ835" s="15"/>
      <c r="AR835" s="23"/>
      <c r="AS835" s="15"/>
      <c r="AT835" s="15"/>
      <c r="AU835" s="23"/>
      <c r="AV835" s="23"/>
    </row>
    <row r="836" spans="1:48" x14ac:dyDescent="0.25">
      <c r="A836" t="s">
        <v>144</v>
      </c>
      <c r="B836" t="s">
        <v>13</v>
      </c>
      <c r="C836" s="10">
        <v>2</v>
      </c>
      <c r="D836" t="s">
        <v>877</v>
      </c>
      <c r="E836" s="2">
        <f t="shared" si="134"/>
        <v>46217</v>
      </c>
      <c r="F836" s="3">
        <f t="shared" si="140"/>
        <v>0.82986111111111116</v>
      </c>
      <c r="G836" t="s">
        <v>146</v>
      </c>
      <c r="H836" t="s">
        <v>147</v>
      </c>
      <c r="I836" t="s">
        <v>17</v>
      </c>
      <c r="J836" s="2">
        <v>46217</v>
      </c>
      <c r="K836" s="1">
        <v>0.84027777777777779</v>
      </c>
      <c r="L836" s="10">
        <f t="shared" si="136"/>
        <v>14.999999999999947</v>
      </c>
      <c r="M836" s="1" t="str">
        <f t="shared" si="135"/>
        <v>On Time</v>
      </c>
      <c r="N836" s="27" t="str">
        <f t="shared" si="137"/>
        <v>Wizz Air</v>
      </c>
      <c r="O836" s="3" t="s">
        <v>1385</v>
      </c>
      <c r="P836" s="20">
        <f t="shared" si="138"/>
        <v>19</v>
      </c>
      <c r="Q836" s="3" t="s">
        <v>1385</v>
      </c>
      <c r="R836" s="23" t="str">
        <f t="shared" si="139"/>
        <v>Tuesday</v>
      </c>
      <c r="S836" s="3" t="s">
        <v>1385</v>
      </c>
      <c r="T836" s="23" t="s">
        <v>13</v>
      </c>
      <c r="U836" s="3" t="s">
        <v>1385</v>
      </c>
      <c r="AO836" s="15"/>
      <c r="AP836" s="15"/>
      <c r="AQ836" s="15"/>
      <c r="AR836" s="23"/>
      <c r="AS836" s="15"/>
      <c r="AT836" s="15"/>
      <c r="AU836" s="23"/>
      <c r="AV836" s="23"/>
    </row>
    <row r="837" spans="1:48" x14ac:dyDescent="0.25">
      <c r="A837" t="s">
        <v>219</v>
      </c>
      <c r="B837" t="s">
        <v>7</v>
      </c>
      <c r="C837" s="10">
        <v>-56</v>
      </c>
      <c r="D837" t="s">
        <v>917</v>
      </c>
      <c r="E837" s="2">
        <f t="shared" si="134"/>
        <v>46217</v>
      </c>
      <c r="F837" s="3">
        <f t="shared" si="140"/>
        <v>0.89374999999999993</v>
      </c>
      <c r="G837" t="s">
        <v>9</v>
      </c>
      <c r="H837" t="s">
        <v>10</v>
      </c>
      <c r="I837" t="s">
        <v>11</v>
      </c>
      <c r="J837" s="2">
        <v>46217</v>
      </c>
      <c r="K837" s="1">
        <v>0.86805555555555547</v>
      </c>
      <c r="L837" s="10">
        <f t="shared" si="136"/>
        <v>-37.000000000000028</v>
      </c>
      <c r="M837" s="1" t="str">
        <f t="shared" si="135"/>
        <v>Delayed</v>
      </c>
      <c r="N837" s="27" t="str">
        <f t="shared" si="137"/>
        <v>airBaltic</v>
      </c>
      <c r="O837" s="3" t="s">
        <v>1318</v>
      </c>
      <c r="P837" s="20">
        <f t="shared" si="138"/>
        <v>21</v>
      </c>
      <c r="Q837" s="3" t="s">
        <v>1318</v>
      </c>
      <c r="R837" s="23" t="str">
        <f t="shared" si="139"/>
        <v>Tuesday</v>
      </c>
      <c r="S837" s="3" t="s">
        <v>1318</v>
      </c>
      <c r="T837" s="23" t="s">
        <v>7</v>
      </c>
      <c r="U837" s="3" t="s">
        <v>1318</v>
      </c>
      <c r="AO837" s="15"/>
      <c r="AP837" s="15"/>
      <c r="AQ837" s="15"/>
      <c r="AR837" s="23"/>
      <c r="AS837" s="15"/>
      <c r="AT837" s="15"/>
      <c r="AU837" s="23"/>
      <c r="AV837" s="23"/>
    </row>
    <row r="838" spans="1:48" x14ac:dyDescent="0.25">
      <c r="A838" t="s">
        <v>123</v>
      </c>
      <c r="B838" t="s">
        <v>124</v>
      </c>
      <c r="D838" t="s">
        <v>456</v>
      </c>
      <c r="E838" s="2">
        <f t="shared" si="134"/>
        <v>46217</v>
      </c>
      <c r="F838" s="3">
        <f t="shared" si="140"/>
        <v>0.86736111111111114</v>
      </c>
      <c r="G838" t="s">
        <v>222</v>
      </c>
      <c r="H838" t="s">
        <v>223</v>
      </c>
      <c r="I838" t="s">
        <v>249</v>
      </c>
      <c r="J838" s="2">
        <v>46217</v>
      </c>
      <c r="K838" s="1">
        <v>0.87152777777777779</v>
      </c>
      <c r="L838" s="10">
        <f t="shared" si="136"/>
        <v>5.9999999999999787</v>
      </c>
      <c r="M838" s="1" t="str">
        <f t="shared" si="135"/>
        <v>On Time</v>
      </c>
      <c r="N838" s="27" t="str">
        <f t="shared" si="137"/>
        <v>GetJet Airlines</v>
      </c>
      <c r="O838" s="3" t="s">
        <v>1385</v>
      </c>
      <c r="P838" s="20">
        <f t="shared" si="138"/>
        <v>20</v>
      </c>
      <c r="Q838" s="3" t="s">
        <v>1385</v>
      </c>
      <c r="R838" s="23" t="str">
        <f t="shared" si="139"/>
        <v>Tuesday</v>
      </c>
      <c r="S838" s="3" t="s">
        <v>1385</v>
      </c>
      <c r="T838" s="23" t="s">
        <v>124</v>
      </c>
      <c r="U838" s="3" t="s">
        <v>1385</v>
      </c>
      <c r="AO838" s="15"/>
      <c r="AP838" s="15"/>
      <c r="AQ838" s="15"/>
      <c r="AR838" s="23"/>
      <c r="AS838" s="15"/>
      <c r="AT838" s="15"/>
      <c r="AU838" s="23"/>
      <c r="AV838" s="23"/>
    </row>
    <row r="839" spans="1:48" x14ac:dyDescent="0.25">
      <c r="A839" t="s">
        <v>228</v>
      </c>
      <c r="B839" t="s">
        <v>69</v>
      </c>
      <c r="C839" s="10">
        <v>-26</v>
      </c>
      <c r="D839" t="s">
        <v>538</v>
      </c>
      <c r="E839" s="2">
        <f t="shared" si="134"/>
        <v>46217</v>
      </c>
      <c r="F839" s="3">
        <f t="shared" si="140"/>
        <v>0.8881944444444444</v>
      </c>
      <c r="G839" t="s">
        <v>71</v>
      </c>
      <c r="H839" t="s">
        <v>72</v>
      </c>
      <c r="I839" t="s">
        <v>73</v>
      </c>
      <c r="J839" s="2">
        <v>46217</v>
      </c>
      <c r="K839" s="1">
        <v>0.88194444444444453</v>
      </c>
      <c r="L839" s="10">
        <f t="shared" si="136"/>
        <v>-8.9999999999998082</v>
      </c>
      <c r="M839" s="1" t="str">
        <f t="shared" si="135"/>
        <v>On Time</v>
      </c>
      <c r="N839" s="27" t="str">
        <f t="shared" si="137"/>
        <v>Finnair</v>
      </c>
      <c r="O839" s="3" t="s">
        <v>1385</v>
      </c>
      <c r="P839" s="20">
        <f t="shared" si="138"/>
        <v>21</v>
      </c>
      <c r="Q839" s="3" t="s">
        <v>1385</v>
      </c>
      <c r="R839" s="23" t="str">
        <f t="shared" si="139"/>
        <v>Tuesday</v>
      </c>
      <c r="S839" s="3" t="s">
        <v>1385</v>
      </c>
      <c r="T839" s="23" t="s">
        <v>69</v>
      </c>
      <c r="U839" s="3" t="s">
        <v>1385</v>
      </c>
      <c r="AO839" s="15"/>
      <c r="AP839" s="15"/>
      <c r="AQ839" s="15"/>
      <c r="AR839" s="23"/>
      <c r="AS839" s="15"/>
      <c r="AT839" s="15"/>
      <c r="AU839" s="23"/>
      <c r="AV839" s="23"/>
    </row>
    <row r="840" spans="1:48" x14ac:dyDescent="0.25">
      <c r="A840" t="s">
        <v>233</v>
      </c>
      <c r="B840" t="s">
        <v>7</v>
      </c>
      <c r="C840" s="10">
        <v>-6</v>
      </c>
      <c r="D840" t="s">
        <v>460</v>
      </c>
      <c r="E840" s="2">
        <f t="shared" si="134"/>
        <v>46217</v>
      </c>
      <c r="F840" s="3">
        <f t="shared" si="140"/>
        <v>0.89583333333333337</v>
      </c>
      <c r="G840" t="s">
        <v>76</v>
      </c>
      <c r="H840" t="s">
        <v>77</v>
      </c>
      <c r="I840" t="s">
        <v>11</v>
      </c>
      <c r="J840" s="2">
        <v>46217</v>
      </c>
      <c r="K840" s="1">
        <v>0.90625</v>
      </c>
      <c r="L840" s="10">
        <f t="shared" si="136"/>
        <v>14.999999999999947</v>
      </c>
      <c r="M840" s="1" t="str">
        <f t="shared" si="135"/>
        <v>On Time</v>
      </c>
      <c r="N840" s="27" t="str">
        <f t="shared" si="137"/>
        <v>airBaltic</v>
      </c>
      <c r="O840" s="3" t="s">
        <v>1385</v>
      </c>
      <c r="P840" s="20">
        <f t="shared" si="138"/>
        <v>21</v>
      </c>
      <c r="Q840" s="3" t="s">
        <v>1385</v>
      </c>
      <c r="R840" s="23" t="str">
        <f t="shared" si="139"/>
        <v>Tuesday</v>
      </c>
      <c r="S840" s="3" t="s">
        <v>1385</v>
      </c>
      <c r="T840" s="23" t="s">
        <v>7</v>
      </c>
      <c r="U840" s="3" t="s">
        <v>1385</v>
      </c>
      <c r="AO840" s="15"/>
      <c r="AP840" s="15"/>
      <c r="AQ840" s="15"/>
      <c r="AR840" s="23"/>
      <c r="AS840" s="15"/>
      <c r="AT840" s="15"/>
      <c r="AU840" s="23"/>
      <c r="AV840" s="23"/>
    </row>
    <row r="841" spans="1:48" x14ac:dyDescent="0.25">
      <c r="A841" t="s">
        <v>506</v>
      </c>
      <c r="B841" t="s">
        <v>117</v>
      </c>
      <c r="C841" s="10">
        <v>-19</v>
      </c>
      <c r="D841" t="s">
        <v>542</v>
      </c>
      <c r="E841" s="2">
        <f t="shared" si="134"/>
        <v>46217</v>
      </c>
      <c r="F841" s="3">
        <f t="shared" si="140"/>
        <v>0.92013888888888884</v>
      </c>
      <c r="G841" t="s">
        <v>119</v>
      </c>
      <c r="H841" t="s">
        <v>120</v>
      </c>
      <c r="I841" t="s">
        <v>83</v>
      </c>
      <c r="J841" s="2">
        <v>46217</v>
      </c>
      <c r="K841" s="1">
        <v>0.92013888888888884</v>
      </c>
      <c r="L841" s="10">
        <f t="shared" si="136"/>
        <v>0</v>
      </c>
      <c r="M841" s="1" t="str">
        <f t="shared" si="135"/>
        <v>On Time</v>
      </c>
      <c r="N841" s="27" t="str">
        <f t="shared" si="137"/>
        <v>Heston Airlines</v>
      </c>
      <c r="O841" s="3" t="s">
        <v>1385</v>
      </c>
      <c r="P841" s="20">
        <f t="shared" si="138"/>
        <v>22</v>
      </c>
      <c r="Q841" s="3" t="s">
        <v>1385</v>
      </c>
      <c r="R841" s="23" t="str">
        <f t="shared" si="139"/>
        <v>Tuesday</v>
      </c>
      <c r="S841" s="3" t="s">
        <v>1385</v>
      </c>
      <c r="T841" s="23" t="s">
        <v>117</v>
      </c>
      <c r="U841" s="3" t="s">
        <v>1385</v>
      </c>
      <c r="AO841" s="15"/>
      <c r="AP841" s="15"/>
      <c r="AQ841" s="15"/>
      <c r="AR841" s="23"/>
      <c r="AS841" s="15"/>
      <c r="AT841" s="15"/>
      <c r="AU841" s="23"/>
      <c r="AV841" s="23"/>
    </row>
    <row r="842" spans="1:48" x14ac:dyDescent="0.25">
      <c r="A842" t="s">
        <v>235</v>
      </c>
      <c r="B842" t="s">
        <v>19</v>
      </c>
      <c r="C842" s="10">
        <v>-17</v>
      </c>
      <c r="D842" t="s">
        <v>982</v>
      </c>
      <c r="E842" s="2">
        <f t="shared" si="134"/>
        <v>46217</v>
      </c>
      <c r="F842" s="3">
        <f t="shared" si="140"/>
        <v>0.92569444444444438</v>
      </c>
      <c r="G842" t="s">
        <v>21</v>
      </c>
      <c r="H842" t="s">
        <v>22</v>
      </c>
      <c r="I842" t="s">
        <v>276</v>
      </c>
      <c r="J842" s="2">
        <v>46217</v>
      </c>
      <c r="K842" s="1">
        <v>0.93055555555555547</v>
      </c>
      <c r="L842" s="10">
        <f t="shared" si="136"/>
        <v>6.9999999999999751</v>
      </c>
      <c r="M842" s="1" t="str">
        <f t="shared" si="135"/>
        <v>On Time</v>
      </c>
      <c r="N842" s="27" t="str">
        <f t="shared" si="137"/>
        <v>LOT</v>
      </c>
      <c r="O842" s="3" t="s">
        <v>1385</v>
      </c>
      <c r="P842" s="20">
        <f t="shared" si="138"/>
        <v>22</v>
      </c>
      <c r="Q842" s="3" t="s">
        <v>1385</v>
      </c>
      <c r="R842" s="23" t="str">
        <f t="shared" si="139"/>
        <v>Tuesday</v>
      </c>
      <c r="S842" s="3" t="s">
        <v>1385</v>
      </c>
      <c r="T842" s="23" t="s">
        <v>19</v>
      </c>
      <c r="U842" s="3" t="s">
        <v>1385</v>
      </c>
      <c r="AO842" s="15"/>
      <c r="AP842" s="15"/>
      <c r="AQ842" s="15"/>
      <c r="AR842" s="23"/>
      <c r="AS842" s="15"/>
      <c r="AT842" s="15"/>
      <c r="AU842" s="23"/>
      <c r="AV842" s="23"/>
    </row>
    <row r="843" spans="1:48" x14ac:dyDescent="0.25">
      <c r="A843" t="s">
        <v>150</v>
      </c>
      <c r="B843" t="s">
        <v>151</v>
      </c>
      <c r="C843" s="10">
        <v>-33</v>
      </c>
      <c r="D843" t="s">
        <v>880</v>
      </c>
      <c r="E843" s="2">
        <f t="shared" si="134"/>
        <v>46217</v>
      </c>
      <c r="F843" s="3">
        <f t="shared" si="140"/>
        <v>0.94374999999999998</v>
      </c>
      <c r="G843" t="s">
        <v>153</v>
      </c>
      <c r="H843" t="s">
        <v>154</v>
      </c>
      <c r="I843" t="s">
        <v>983</v>
      </c>
      <c r="J843" s="2">
        <v>46217</v>
      </c>
      <c r="K843" s="1">
        <v>0.93402777777777779</v>
      </c>
      <c r="L843" s="10">
        <f t="shared" si="136"/>
        <v>-13.99999999999995</v>
      </c>
      <c r="M843" s="1" t="str">
        <f t="shared" si="135"/>
        <v>On Time</v>
      </c>
      <c r="N843" s="27" t="e">
        <f t="shared" si="137"/>
        <v>#N/A</v>
      </c>
      <c r="O843" s="3" t="s">
        <v>1385</v>
      </c>
      <c r="P843" s="20">
        <f t="shared" si="138"/>
        <v>22</v>
      </c>
      <c r="Q843" s="3" t="s">
        <v>1385</v>
      </c>
      <c r="R843" s="23" t="str">
        <f t="shared" si="139"/>
        <v>Tuesday</v>
      </c>
      <c r="S843" s="3" t="s">
        <v>1385</v>
      </c>
      <c r="T843" s="23" t="s">
        <v>151</v>
      </c>
      <c r="U843" s="3" t="s">
        <v>1385</v>
      </c>
      <c r="AO843" s="15"/>
      <c r="AP843" s="15"/>
      <c r="AQ843" s="15"/>
      <c r="AR843" s="23"/>
      <c r="AS843" s="15"/>
      <c r="AT843" s="15"/>
      <c r="AU843" s="23"/>
      <c r="AV843" s="23"/>
    </row>
    <row r="844" spans="1:48" x14ac:dyDescent="0.25">
      <c r="A844" t="s">
        <v>483</v>
      </c>
      <c r="B844" t="s">
        <v>7</v>
      </c>
      <c r="C844" s="10">
        <v>-46</v>
      </c>
      <c r="D844" t="s">
        <v>984</v>
      </c>
      <c r="E844" s="2">
        <f t="shared" si="134"/>
        <v>46217</v>
      </c>
      <c r="F844" s="3">
        <f t="shared" si="140"/>
        <v>0.9472222222222223</v>
      </c>
      <c r="G844" t="s">
        <v>485</v>
      </c>
      <c r="H844" t="s">
        <v>486</v>
      </c>
      <c r="I844" t="s">
        <v>11</v>
      </c>
      <c r="J844" s="2">
        <v>46217</v>
      </c>
      <c r="K844" s="1">
        <v>0.94791666666666663</v>
      </c>
      <c r="L844" s="10">
        <f t="shared" si="136"/>
        <v>0.99999999999983658</v>
      </c>
      <c r="M844" s="1" t="str">
        <f t="shared" si="135"/>
        <v>On Time</v>
      </c>
      <c r="N844" s="27" t="str">
        <f t="shared" si="137"/>
        <v>airBaltic</v>
      </c>
      <c r="O844" s="3" t="s">
        <v>1385</v>
      </c>
      <c r="P844" s="20">
        <f t="shared" si="138"/>
        <v>22</v>
      </c>
      <c r="Q844" s="3" t="s">
        <v>1385</v>
      </c>
      <c r="R844" s="23" t="str">
        <f t="shared" si="139"/>
        <v>Tuesday</v>
      </c>
      <c r="S844" s="3" t="s">
        <v>1385</v>
      </c>
      <c r="T844" s="23" t="s">
        <v>7</v>
      </c>
      <c r="U844" s="3" t="s">
        <v>1385</v>
      </c>
      <c r="AO844" s="15"/>
      <c r="AP844" s="15"/>
      <c r="AQ844" s="15"/>
      <c r="AR844" s="23"/>
      <c r="AS844" s="15"/>
      <c r="AT844" s="15"/>
      <c r="AU844" s="23"/>
      <c r="AV844" s="23"/>
    </row>
    <row r="845" spans="1:48" x14ac:dyDescent="0.25">
      <c r="A845" t="s">
        <v>250</v>
      </c>
      <c r="B845" t="s">
        <v>7</v>
      </c>
      <c r="C845" s="10">
        <v>-42</v>
      </c>
      <c r="D845" t="s">
        <v>985</v>
      </c>
      <c r="E845" s="2">
        <f t="shared" ref="E845:E908" si="141">J845</f>
        <v>46217</v>
      </c>
      <c r="F845" s="3">
        <f t="shared" si="140"/>
        <v>0.96805555555555556</v>
      </c>
      <c r="G845" t="s">
        <v>252</v>
      </c>
      <c r="H845" t="s">
        <v>253</v>
      </c>
      <c r="I845" t="s">
        <v>11</v>
      </c>
      <c r="J845" s="2">
        <v>46217</v>
      </c>
      <c r="K845" s="1">
        <v>0.96180555555555547</v>
      </c>
      <c r="L845" s="10">
        <f t="shared" si="136"/>
        <v>-9.0000000000001279</v>
      </c>
      <c r="M845" s="1" t="str">
        <f t="shared" si="135"/>
        <v>On Time</v>
      </c>
      <c r="N845" s="27" t="str">
        <f t="shared" si="137"/>
        <v>airBaltic</v>
      </c>
      <c r="O845" s="3" t="s">
        <v>1385</v>
      </c>
      <c r="P845" s="20">
        <f t="shared" si="138"/>
        <v>23</v>
      </c>
      <c r="Q845" s="3" t="s">
        <v>1385</v>
      </c>
      <c r="R845" s="23" t="str">
        <f t="shared" si="139"/>
        <v>Tuesday</v>
      </c>
      <c r="S845" s="3" t="s">
        <v>1385</v>
      </c>
      <c r="T845" s="23" t="s">
        <v>7</v>
      </c>
      <c r="U845" s="3" t="s">
        <v>1385</v>
      </c>
      <c r="AO845" s="15"/>
      <c r="AP845" s="15"/>
      <c r="AQ845" s="15"/>
      <c r="AR845" s="23"/>
      <c r="AS845" s="15"/>
      <c r="AT845" s="15"/>
      <c r="AU845" s="23"/>
      <c r="AV845" s="23"/>
    </row>
    <row r="846" spans="1:48" x14ac:dyDescent="0.25">
      <c r="A846" t="s">
        <v>685</v>
      </c>
      <c r="B846" t="s">
        <v>231</v>
      </c>
      <c r="C846" s="10">
        <v>-36</v>
      </c>
      <c r="D846" t="s">
        <v>468</v>
      </c>
      <c r="E846" s="2">
        <f t="shared" si="141"/>
        <v>46217</v>
      </c>
      <c r="F846" s="3">
        <f t="shared" si="140"/>
        <v>0.97638888888888886</v>
      </c>
      <c r="G846" t="s">
        <v>81</v>
      </c>
      <c r="H846" t="s">
        <v>82</v>
      </c>
      <c r="I846" t="s">
        <v>83</v>
      </c>
      <c r="J846" s="2">
        <v>46217</v>
      </c>
      <c r="K846" s="1">
        <v>0.96875</v>
      </c>
      <c r="L846" s="10">
        <f t="shared" si="136"/>
        <v>-10.999999999999961</v>
      </c>
      <c r="M846" s="1" t="str">
        <f t="shared" si="135"/>
        <v>On Time</v>
      </c>
      <c r="N846" s="27" t="e">
        <f t="shared" si="137"/>
        <v>#N/A</v>
      </c>
      <c r="O846" s="3" t="s">
        <v>1385</v>
      </c>
      <c r="P846" s="20">
        <f t="shared" si="138"/>
        <v>23</v>
      </c>
      <c r="Q846" s="3" t="s">
        <v>1385</v>
      </c>
      <c r="R846" s="23" t="str">
        <f t="shared" si="139"/>
        <v>Tuesday</v>
      </c>
      <c r="S846" s="3" t="s">
        <v>1385</v>
      </c>
      <c r="T846" s="23" t="s">
        <v>231</v>
      </c>
      <c r="U846" s="3" t="s">
        <v>1385</v>
      </c>
      <c r="AO846" s="15"/>
      <c r="AP846" s="15"/>
      <c r="AQ846" s="15"/>
      <c r="AR846" s="23"/>
      <c r="AS846" s="15"/>
      <c r="AT846" s="15"/>
      <c r="AU846" s="23"/>
      <c r="AV846" s="23"/>
    </row>
    <row r="847" spans="1:48" x14ac:dyDescent="0.25">
      <c r="A847" t="s">
        <v>62</v>
      </c>
      <c r="B847" t="s">
        <v>85</v>
      </c>
      <c r="C847" s="10">
        <v>-27</v>
      </c>
      <c r="D847" t="s">
        <v>882</v>
      </c>
      <c r="E847" s="2">
        <f t="shared" si="141"/>
        <v>46217</v>
      </c>
      <c r="F847" s="3">
        <f t="shared" si="140"/>
        <v>0.98402777777777783</v>
      </c>
      <c r="G847" t="s">
        <v>65</v>
      </c>
      <c r="H847" t="s">
        <v>66</v>
      </c>
      <c r="I847" t="s">
        <v>89</v>
      </c>
      <c r="J847" s="2">
        <v>46217</v>
      </c>
      <c r="K847" s="1">
        <v>0.98611111111111116</v>
      </c>
      <c r="L847" s="10">
        <f t="shared" si="136"/>
        <v>2.9999999999999893</v>
      </c>
      <c r="M847" s="1" t="str">
        <f t="shared" si="135"/>
        <v>On Time</v>
      </c>
      <c r="N847" s="27" t="str">
        <f t="shared" si="137"/>
        <v>Ryanair</v>
      </c>
      <c r="O847" s="3" t="s">
        <v>1385</v>
      </c>
      <c r="P847" s="20">
        <f t="shared" si="138"/>
        <v>23</v>
      </c>
      <c r="Q847" s="3" t="s">
        <v>1385</v>
      </c>
      <c r="R847" s="23" t="str">
        <f t="shared" si="139"/>
        <v>Tuesday</v>
      </c>
      <c r="S847" s="3" t="s">
        <v>1385</v>
      </c>
      <c r="T847" s="23" t="s">
        <v>85</v>
      </c>
      <c r="U847" s="3" t="s">
        <v>1385</v>
      </c>
      <c r="AO847" s="15"/>
      <c r="AP847" s="15"/>
      <c r="AQ847" s="15"/>
      <c r="AR847" s="23"/>
      <c r="AS847" s="15"/>
      <c r="AT847" s="15"/>
      <c r="AU847" s="23"/>
      <c r="AV847" s="23"/>
    </row>
    <row r="848" spans="1:48" x14ac:dyDescent="0.25">
      <c r="A848" t="s">
        <v>258</v>
      </c>
      <c r="B848" t="s">
        <v>190</v>
      </c>
      <c r="C848" s="10">
        <v>-19</v>
      </c>
      <c r="D848" t="s">
        <v>986</v>
      </c>
      <c r="E848" s="2">
        <f t="shared" si="141"/>
        <v>46217</v>
      </c>
      <c r="F848" s="3">
        <f t="shared" si="140"/>
        <v>0.9868055555555556</v>
      </c>
      <c r="G848" t="s">
        <v>110</v>
      </c>
      <c r="H848" t="s">
        <v>111</v>
      </c>
      <c r="I848" t="s">
        <v>210</v>
      </c>
      <c r="J848" s="2">
        <v>46217</v>
      </c>
      <c r="K848" s="1">
        <v>0.99305555555555547</v>
      </c>
      <c r="L848" s="10">
        <f t="shared" si="136"/>
        <v>8.9999999999998082</v>
      </c>
      <c r="M848" s="1" t="str">
        <f t="shared" si="135"/>
        <v>On Time</v>
      </c>
      <c r="N848" s="27" t="str">
        <f t="shared" si="137"/>
        <v>Lufthansa</v>
      </c>
      <c r="O848" s="3" t="s">
        <v>1385</v>
      </c>
      <c r="P848" s="20">
        <f t="shared" si="138"/>
        <v>23</v>
      </c>
      <c r="Q848" s="3" t="s">
        <v>1385</v>
      </c>
      <c r="R848" s="23" t="str">
        <f t="shared" si="139"/>
        <v>Tuesday</v>
      </c>
      <c r="S848" s="3" t="s">
        <v>1385</v>
      </c>
      <c r="T848" s="23" t="s">
        <v>190</v>
      </c>
      <c r="U848" s="3" t="s">
        <v>1385</v>
      </c>
      <c r="AO848" s="15"/>
      <c r="AP848" s="15"/>
      <c r="AQ848" s="15"/>
      <c r="AR848" s="23"/>
      <c r="AS848" s="15"/>
      <c r="AT848" s="15"/>
      <c r="AU848" s="23"/>
      <c r="AV848" s="23"/>
    </row>
    <row r="849" spans="1:48" x14ac:dyDescent="0.25">
      <c r="A849" t="s">
        <v>267</v>
      </c>
      <c r="B849" t="s">
        <v>13</v>
      </c>
      <c r="C849" s="10">
        <v>2</v>
      </c>
      <c r="D849" t="s">
        <v>396</v>
      </c>
      <c r="E849" s="2">
        <v>46217</v>
      </c>
      <c r="F849" s="3">
        <f t="shared" si="140"/>
        <v>0.99305555555555547</v>
      </c>
      <c r="G849" t="s">
        <v>269</v>
      </c>
      <c r="H849" t="s">
        <v>270</v>
      </c>
      <c r="I849" t="s">
        <v>17</v>
      </c>
      <c r="J849" s="2">
        <v>46218</v>
      </c>
      <c r="K849" s="1">
        <v>1.0416666666666666E-2</v>
      </c>
      <c r="L849" s="10">
        <f t="shared" si="136"/>
        <v>25.000000000000231</v>
      </c>
      <c r="M849" s="1" t="str">
        <f t="shared" si="135"/>
        <v>On Time</v>
      </c>
      <c r="N849" s="27" t="str">
        <f t="shared" si="137"/>
        <v>Wizz Air</v>
      </c>
      <c r="O849" s="3" t="s">
        <v>1385</v>
      </c>
      <c r="P849" s="20">
        <f t="shared" si="138"/>
        <v>23</v>
      </c>
      <c r="Q849" s="3" t="s">
        <v>1385</v>
      </c>
      <c r="R849" s="23" t="str">
        <f t="shared" si="139"/>
        <v>Tuesday</v>
      </c>
      <c r="S849" s="3" t="s">
        <v>1385</v>
      </c>
      <c r="T849" s="23" t="s">
        <v>13</v>
      </c>
      <c r="U849" s="3" t="s">
        <v>1385</v>
      </c>
      <c r="AO849" s="15"/>
      <c r="AP849" s="15"/>
      <c r="AQ849" s="15"/>
      <c r="AR849" s="23"/>
      <c r="AS849" s="15"/>
      <c r="AT849" s="15"/>
      <c r="AU849" s="23"/>
      <c r="AV849" s="23"/>
    </row>
    <row r="850" spans="1:48" x14ac:dyDescent="0.25">
      <c r="A850" t="s">
        <v>6</v>
      </c>
      <c r="B850" t="s">
        <v>7</v>
      </c>
      <c r="C850" s="10">
        <v>-43</v>
      </c>
      <c r="D850" t="s">
        <v>967</v>
      </c>
      <c r="E850" s="2">
        <f t="shared" si="141"/>
        <v>46218</v>
      </c>
      <c r="F850" s="3">
        <f t="shared" si="140"/>
        <v>3.888888888888889E-2</v>
      </c>
      <c r="G850" t="s">
        <v>9</v>
      </c>
      <c r="H850" t="s">
        <v>10</v>
      </c>
      <c r="I850" t="s">
        <v>11</v>
      </c>
      <c r="J850" s="2">
        <v>46218</v>
      </c>
      <c r="K850" s="1">
        <v>2.0833333333333332E-2</v>
      </c>
      <c r="L850" s="10">
        <f t="shared" si="136"/>
        <v>-26.000000000000004</v>
      </c>
      <c r="M850" s="1" t="str">
        <f t="shared" si="135"/>
        <v>Delayed</v>
      </c>
      <c r="N850" s="27" t="str">
        <f t="shared" si="137"/>
        <v>airBaltic</v>
      </c>
      <c r="O850" s="3" t="s">
        <v>1318</v>
      </c>
      <c r="P850" s="20">
        <f t="shared" si="138"/>
        <v>0</v>
      </c>
      <c r="Q850" s="3" t="s">
        <v>1318</v>
      </c>
      <c r="R850" s="23" t="str">
        <f t="shared" si="139"/>
        <v>Wednesday</v>
      </c>
      <c r="S850" s="3" t="s">
        <v>1318</v>
      </c>
      <c r="T850" s="23" t="s">
        <v>7</v>
      </c>
      <c r="U850" s="3" t="s">
        <v>1318</v>
      </c>
      <c r="AO850" s="15"/>
      <c r="AP850" s="15"/>
      <c r="AQ850" s="15"/>
      <c r="AR850" s="23"/>
      <c r="AS850" s="15"/>
      <c r="AT850" s="15"/>
      <c r="AU850" s="23"/>
      <c r="AV850" s="23"/>
    </row>
    <row r="851" spans="1:48" x14ac:dyDescent="0.25">
      <c r="A851" t="s">
        <v>12</v>
      </c>
      <c r="B851" t="s">
        <v>13</v>
      </c>
      <c r="C851" s="10">
        <v>-27</v>
      </c>
      <c r="D851" t="s">
        <v>987</v>
      </c>
      <c r="E851" s="2">
        <f t="shared" si="141"/>
        <v>46218</v>
      </c>
      <c r="F851" s="3">
        <f t="shared" si="140"/>
        <v>1.0416666666666666E-2</v>
      </c>
      <c r="G851" t="s">
        <v>15</v>
      </c>
      <c r="H851" t="s">
        <v>16</v>
      </c>
      <c r="I851" t="s">
        <v>17</v>
      </c>
      <c r="J851" s="2">
        <v>46218</v>
      </c>
      <c r="K851" s="1">
        <v>2.0833333333333332E-2</v>
      </c>
      <c r="L851" s="10">
        <f t="shared" si="136"/>
        <v>15</v>
      </c>
      <c r="M851" s="1" t="str">
        <f t="shared" ref="M851:M914" si="142">IF(L851&gt;=-15, "On Time", "Delayed")</f>
        <v>On Time</v>
      </c>
      <c r="N851" s="27" t="str">
        <f t="shared" si="137"/>
        <v>Wizz Air</v>
      </c>
      <c r="O851" s="3" t="s">
        <v>1385</v>
      </c>
      <c r="P851" s="20">
        <f t="shared" si="138"/>
        <v>0</v>
      </c>
      <c r="Q851" s="3" t="s">
        <v>1385</v>
      </c>
      <c r="R851" s="23" t="str">
        <f t="shared" si="139"/>
        <v>Wednesday</v>
      </c>
      <c r="S851" s="3" t="s">
        <v>1385</v>
      </c>
      <c r="T851" s="23" t="s">
        <v>13</v>
      </c>
      <c r="U851" s="3" t="s">
        <v>1385</v>
      </c>
      <c r="AO851" s="15"/>
      <c r="AP851" s="15"/>
      <c r="AQ851" s="15"/>
      <c r="AR851" s="23"/>
      <c r="AS851" s="15"/>
      <c r="AT851" s="15"/>
      <c r="AU851" s="23"/>
      <c r="AV851" s="23"/>
    </row>
    <row r="852" spans="1:48" x14ac:dyDescent="0.25">
      <c r="A852" t="s">
        <v>18</v>
      </c>
      <c r="B852" t="s">
        <v>19</v>
      </c>
      <c r="C852" s="10">
        <v>-19</v>
      </c>
      <c r="D852" t="s">
        <v>885</v>
      </c>
      <c r="E852" s="2">
        <f t="shared" si="141"/>
        <v>46218</v>
      </c>
      <c r="F852" s="3">
        <f t="shared" si="140"/>
        <v>2.5694444444444447E-2</v>
      </c>
      <c r="G852" t="s">
        <v>21</v>
      </c>
      <c r="H852" t="s">
        <v>22</v>
      </c>
      <c r="I852" t="s">
        <v>188</v>
      </c>
      <c r="J852" s="2">
        <v>46218</v>
      </c>
      <c r="K852" s="1">
        <v>2.7777777777777776E-2</v>
      </c>
      <c r="L852" s="10">
        <f t="shared" si="136"/>
        <v>2.9999999999999942</v>
      </c>
      <c r="M852" s="1" t="str">
        <f t="shared" si="142"/>
        <v>On Time</v>
      </c>
      <c r="N852" s="27" t="str">
        <f t="shared" si="137"/>
        <v>LOT</v>
      </c>
      <c r="O852" s="3" t="s">
        <v>1385</v>
      </c>
      <c r="P852" s="20">
        <f t="shared" si="138"/>
        <v>0</v>
      </c>
      <c r="Q852" s="3" t="s">
        <v>1385</v>
      </c>
      <c r="R852" s="23" t="str">
        <f t="shared" si="139"/>
        <v>Wednesday</v>
      </c>
      <c r="S852" s="3" t="s">
        <v>1385</v>
      </c>
      <c r="T852" s="23" t="s">
        <v>19</v>
      </c>
      <c r="U852" s="3" t="s">
        <v>1385</v>
      </c>
      <c r="AO852" s="15"/>
      <c r="AP852" s="15"/>
      <c r="AQ852" s="15"/>
      <c r="AR852" s="23"/>
      <c r="AS852" s="15"/>
      <c r="AT852" s="15"/>
      <c r="AU852" s="23"/>
      <c r="AV852" s="23"/>
    </row>
    <row r="853" spans="1:48" x14ac:dyDescent="0.25">
      <c r="A853" t="s">
        <v>470</v>
      </c>
      <c r="B853" t="s">
        <v>13</v>
      </c>
      <c r="C853" s="10">
        <v>-4</v>
      </c>
      <c r="D853" t="s">
        <v>988</v>
      </c>
      <c r="E853" s="2">
        <f t="shared" si="141"/>
        <v>46218</v>
      </c>
      <c r="F853" s="3">
        <f t="shared" si="140"/>
        <v>2.2916666666666669E-2</v>
      </c>
      <c r="G853" t="s">
        <v>280</v>
      </c>
      <c r="H853" t="s">
        <v>281</v>
      </c>
      <c r="I853" t="s">
        <v>17</v>
      </c>
      <c r="J853" s="2">
        <v>46218</v>
      </c>
      <c r="K853" s="1">
        <v>2.7777777777777776E-2</v>
      </c>
      <c r="L853" s="10">
        <f t="shared" si="136"/>
        <v>6.9999999999999947</v>
      </c>
      <c r="M853" s="1" t="str">
        <f t="shared" si="142"/>
        <v>On Time</v>
      </c>
      <c r="N853" s="27" t="str">
        <f t="shared" si="137"/>
        <v>Wizz Air</v>
      </c>
      <c r="O853" s="3" t="s">
        <v>1385</v>
      </c>
      <c r="P853" s="20">
        <f t="shared" si="138"/>
        <v>0</v>
      </c>
      <c r="Q853" s="3" t="s">
        <v>1385</v>
      </c>
      <c r="R853" s="23" t="str">
        <f t="shared" si="139"/>
        <v>Wednesday</v>
      </c>
      <c r="S853" s="3" t="s">
        <v>1385</v>
      </c>
      <c r="T853" s="23" t="s">
        <v>13</v>
      </c>
      <c r="U853" s="3" t="s">
        <v>1385</v>
      </c>
      <c r="AO853" s="15"/>
      <c r="AP853" s="15"/>
      <c r="AQ853" s="15"/>
      <c r="AR853" s="23"/>
      <c r="AS853" s="15"/>
      <c r="AT853" s="15"/>
      <c r="AU853" s="23"/>
      <c r="AV853" s="23"/>
    </row>
    <row r="854" spans="1:48" x14ac:dyDescent="0.25">
      <c r="A854" t="s">
        <v>693</v>
      </c>
      <c r="B854" t="s">
        <v>85</v>
      </c>
      <c r="C854" s="10">
        <v>-57</v>
      </c>
      <c r="D854" t="s">
        <v>989</v>
      </c>
      <c r="E854" s="2">
        <f t="shared" si="141"/>
        <v>46218</v>
      </c>
      <c r="F854" s="3">
        <f t="shared" si="140"/>
        <v>6.7361111111111108E-2</v>
      </c>
      <c r="G854" t="s">
        <v>15</v>
      </c>
      <c r="H854" t="s">
        <v>16</v>
      </c>
      <c r="I854" t="s">
        <v>89</v>
      </c>
      <c r="J854" s="2">
        <v>46218</v>
      </c>
      <c r="K854" s="1">
        <v>5.2083333333333336E-2</v>
      </c>
      <c r="L854" s="10">
        <f t="shared" si="136"/>
        <v>-21.999999999999993</v>
      </c>
      <c r="M854" s="1" t="str">
        <f t="shared" si="142"/>
        <v>Delayed</v>
      </c>
      <c r="N854" s="27" t="str">
        <f t="shared" si="137"/>
        <v>Ryanair</v>
      </c>
      <c r="O854" s="3" t="s">
        <v>1318</v>
      </c>
      <c r="P854" s="20">
        <f t="shared" si="138"/>
        <v>1</v>
      </c>
      <c r="Q854" s="3" t="s">
        <v>1318</v>
      </c>
      <c r="R854" s="23" t="str">
        <f t="shared" si="139"/>
        <v>Wednesday</v>
      </c>
      <c r="S854" s="3" t="s">
        <v>1318</v>
      </c>
      <c r="T854" s="23" t="s">
        <v>85</v>
      </c>
      <c r="U854" s="3" t="s">
        <v>1318</v>
      </c>
      <c r="AO854" s="15"/>
      <c r="AP854" s="15"/>
      <c r="AQ854" s="15"/>
      <c r="AR854" s="23"/>
      <c r="AS854" s="15"/>
      <c r="AT854" s="15"/>
      <c r="AU854" s="23"/>
      <c r="AV854" s="23"/>
    </row>
    <row r="855" spans="1:48" x14ac:dyDescent="0.25">
      <c r="A855" t="s">
        <v>36</v>
      </c>
      <c r="B855" t="s">
        <v>7</v>
      </c>
      <c r="C855" s="10">
        <v>-69</v>
      </c>
      <c r="D855" t="s">
        <v>990</v>
      </c>
      <c r="E855" s="2">
        <f t="shared" si="141"/>
        <v>46218</v>
      </c>
      <c r="F855" s="3">
        <f t="shared" si="140"/>
        <v>8.4027777777777771E-2</v>
      </c>
      <c r="G855" t="s">
        <v>38</v>
      </c>
      <c r="H855" t="s">
        <v>39</v>
      </c>
      <c r="I855" t="s">
        <v>11</v>
      </c>
      <c r="J855" s="2">
        <v>46218</v>
      </c>
      <c r="K855" s="1">
        <v>5.9027777777777783E-2</v>
      </c>
      <c r="L855" s="10">
        <f t="shared" si="136"/>
        <v>-35.999999999999979</v>
      </c>
      <c r="M855" s="1" t="str">
        <f t="shared" si="142"/>
        <v>Delayed</v>
      </c>
      <c r="N855" s="27" t="str">
        <f t="shared" si="137"/>
        <v>airBaltic</v>
      </c>
      <c r="O855" s="3" t="s">
        <v>1318</v>
      </c>
      <c r="P855" s="20">
        <f t="shared" si="138"/>
        <v>2</v>
      </c>
      <c r="Q855" s="3" t="s">
        <v>1318</v>
      </c>
      <c r="R855" s="23" t="str">
        <f t="shared" si="139"/>
        <v>Wednesday</v>
      </c>
      <c r="S855" s="3" t="s">
        <v>1318</v>
      </c>
      <c r="T855" s="23" t="s">
        <v>7</v>
      </c>
      <c r="U855" s="3" t="s">
        <v>1318</v>
      </c>
      <c r="AO855" s="15"/>
      <c r="AP855" s="15"/>
      <c r="AQ855" s="15"/>
      <c r="AR855" s="23"/>
      <c r="AS855" s="15"/>
      <c r="AT855" s="15"/>
      <c r="AU855" s="23"/>
      <c r="AV855" s="23"/>
    </row>
    <row r="856" spans="1:48" x14ac:dyDescent="0.25">
      <c r="A856" t="s">
        <v>40</v>
      </c>
      <c r="B856" t="s">
        <v>555</v>
      </c>
      <c r="C856" s="10">
        <v>-14</v>
      </c>
      <c r="D856" t="s">
        <v>408</v>
      </c>
      <c r="E856" s="2">
        <f t="shared" si="141"/>
        <v>46218</v>
      </c>
      <c r="F856" s="3">
        <f t="shared" si="140"/>
        <v>5.9027777777777783E-2</v>
      </c>
      <c r="G856" t="s">
        <v>43</v>
      </c>
      <c r="H856" t="s">
        <v>44</v>
      </c>
      <c r="I856" t="s">
        <v>557</v>
      </c>
      <c r="J856" s="2">
        <v>46218</v>
      </c>
      <c r="K856" s="1">
        <v>5.9027777777777783E-2</v>
      </c>
      <c r="L856" s="10">
        <f t="shared" si="136"/>
        <v>0</v>
      </c>
      <c r="M856" s="1" t="str">
        <f t="shared" si="142"/>
        <v>On Time</v>
      </c>
      <c r="N856" s="27" t="e">
        <f t="shared" si="137"/>
        <v>#N/A</v>
      </c>
      <c r="O856" s="3" t="s">
        <v>1385</v>
      </c>
      <c r="P856" s="20">
        <f t="shared" si="138"/>
        <v>1</v>
      </c>
      <c r="Q856" s="3" t="s">
        <v>1385</v>
      </c>
      <c r="R856" s="23" t="str">
        <f t="shared" si="139"/>
        <v>Wednesday</v>
      </c>
      <c r="S856" s="3" t="s">
        <v>1385</v>
      </c>
      <c r="T856" s="23" t="s">
        <v>555</v>
      </c>
      <c r="U856" s="3" t="s">
        <v>1385</v>
      </c>
      <c r="AO856" s="15"/>
      <c r="AP856" s="15"/>
      <c r="AQ856" s="15"/>
      <c r="AR856" s="23"/>
      <c r="AS856" s="15"/>
      <c r="AT856" s="15"/>
      <c r="AU856" s="23"/>
      <c r="AV856" s="23"/>
    </row>
    <row r="857" spans="1:48" x14ac:dyDescent="0.25">
      <c r="A857" t="s">
        <v>54</v>
      </c>
      <c r="B857" t="s">
        <v>55</v>
      </c>
      <c r="C857" s="10">
        <v>-16</v>
      </c>
      <c r="D857" t="s">
        <v>753</v>
      </c>
      <c r="E857" s="2">
        <f t="shared" si="141"/>
        <v>46218</v>
      </c>
      <c r="F857" s="3">
        <f t="shared" si="140"/>
        <v>0.3215277777777778</v>
      </c>
      <c r="G857" t="s">
        <v>57</v>
      </c>
      <c r="H857" t="s">
        <v>58</v>
      </c>
      <c r="I857" t="s">
        <v>59</v>
      </c>
      <c r="J857" s="2">
        <v>46218</v>
      </c>
      <c r="K857" s="1">
        <v>0.3215277777777778</v>
      </c>
      <c r="L857" s="10">
        <f t="shared" si="136"/>
        <v>0</v>
      </c>
      <c r="M857" s="1" t="str">
        <f t="shared" si="142"/>
        <v>On Time</v>
      </c>
      <c r="N857" s="27" t="e">
        <f t="shared" si="137"/>
        <v>#N/A</v>
      </c>
      <c r="O857" s="3" t="s">
        <v>1385</v>
      </c>
      <c r="P857" s="20">
        <f t="shared" si="138"/>
        <v>7</v>
      </c>
      <c r="Q857" s="3" t="s">
        <v>1385</v>
      </c>
      <c r="R857" s="23" t="str">
        <f t="shared" si="139"/>
        <v>Wednesday</v>
      </c>
      <c r="S857" s="3" t="s">
        <v>1385</v>
      </c>
      <c r="T857" s="23" t="s">
        <v>55</v>
      </c>
      <c r="U857" s="3" t="s">
        <v>1385</v>
      </c>
      <c r="AO857" s="15"/>
      <c r="AP857" s="15"/>
      <c r="AQ857" s="15"/>
      <c r="AR857" s="23"/>
      <c r="AS857" s="15"/>
      <c r="AT857" s="15"/>
      <c r="AU857" s="23"/>
      <c r="AV857" s="23"/>
    </row>
    <row r="858" spans="1:48" x14ac:dyDescent="0.25">
      <c r="A858" t="s">
        <v>60</v>
      </c>
      <c r="B858" t="s">
        <v>7</v>
      </c>
      <c r="C858" s="10">
        <v>-11</v>
      </c>
      <c r="D858" t="s">
        <v>991</v>
      </c>
      <c r="E858" s="2">
        <f t="shared" si="141"/>
        <v>46218</v>
      </c>
      <c r="F858" s="3">
        <f t="shared" si="140"/>
        <v>0.35902777777777778</v>
      </c>
      <c r="G858" t="s">
        <v>9</v>
      </c>
      <c r="H858" t="s">
        <v>10</v>
      </c>
      <c r="I858" t="s">
        <v>11</v>
      </c>
      <c r="J858" s="2">
        <v>46218</v>
      </c>
      <c r="K858" s="1">
        <v>0.3611111111111111</v>
      </c>
      <c r="L858" s="10">
        <f t="shared" si="136"/>
        <v>2.9999999999999893</v>
      </c>
      <c r="M858" s="1" t="str">
        <f t="shared" si="142"/>
        <v>On Time</v>
      </c>
      <c r="N858" s="27" t="str">
        <f t="shared" si="137"/>
        <v>airBaltic</v>
      </c>
      <c r="O858" s="3" t="s">
        <v>1385</v>
      </c>
      <c r="P858" s="20">
        <f t="shared" si="138"/>
        <v>8</v>
      </c>
      <c r="Q858" s="3" t="s">
        <v>1385</v>
      </c>
      <c r="R858" s="23" t="str">
        <f t="shared" si="139"/>
        <v>Wednesday</v>
      </c>
      <c r="S858" s="3" t="s">
        <v>1385</v>
      </c>
      <c r="T858" s="23" t="s">
        <v>7</v>
      </c>
      <c r="U858" s="3" t="s">
        <v>1385</v>
      </c>
      <c r="AO858" s="15"/>
      <c r="AP858" s="15"/>
      <c r="AQ858" s="15"/>
      <c r="AR858" s="23"/>
      <c r="AS858" s="15"/>
      <c r="AT858" s="15"/>
      <c r="AU858" s="23"/>
      <c r="AV858" s="23"/>
    </row>
    <row r="859" spans="1:48" x14ac:dyDescent="0.25">
      <c r="A859" t="s">
        <v>291</v>
      </c>
      <c r="B859" t="s">
        <v>13</v>
      </c>
      <c r="C859" s="10">
        <v>-3</v>
      </c>
      <c r="D859" t="s">
        <v>992</v>
      </c>
      <c r="E859" s="2">
        <f t="shared" si="141"/>
        <v>46218</v>
      </c>
      <c r="F859" s="3">
        <f t="shared" si="140"/>
        <v>0.35555555555555557</v>
      </c>
      <c r="G859" t="s">
        <v>293</v>
      </c>
      <c r="H859" t="s">
        <v>294</v>
      </c>
      <c r="I859" t="s">
        <v>17</v>
      </c>
      <c r="J859" s="2">
        <v>46218</v>
      </c>
      <c r="K859" s="1">
        <v>0.36805555555555558</v>
      </c>
      <c r="L859" s="10">
        <f t="shared" si="136"/>
        <v>18.000000000000014</v>
      </c>
      <c r="M859" s="1" t="str">
        <f t="shared" si="142"/>
        <v>On Time</v>
      </c>
      <c r="N859" s="27" t="str">
        <f t="shared" si="137"/>
        <v>Wizz Air</v>
      </c>
      <c r="O859" s="3" t="s">
        <v>1385</v>
      </c>
      <c r="P859" s="20">
        <f t="shared" si="138"/>
        <v>8</v>
      </c>
      <c r="Q859" s="3" t="s">
        <v>1385</v>
      </c>
      <c r="R859" s="23" t="str">
        <f t="shared" si="139"/>
        <v>Wednesday</v>
      </c>
      <c r="S859" s="3" t="s">
        <v>1385</v>
      </c>
      <c r="T859" s="23" t="s">
        <v>13</v>
      </c>
      <c r="U859" s="3" t="s">
        <v>1385</v>
      </c>
      <c r="AO859" s="15"/>
      <c r="AP859" s="15"/>
      <c r="AQ859" s="15"/>
      <c r="AR859" s="23"/>
      <c r="AS859" s="15"/>
      <c r="AT859" s="15"/>
      <c r="AU859" s="23"/>
      <c r="AV859" s="23"/>
    </row>
    <row r="860" spans="1:48" x14ac:dyDescent="0.25">
      <c r="A860" t="s">
        <v>68</v>
      </c>
      <c r="B860" t="s">
        <v>69</v>
      </c>
      <c r="C860" s="10">
        <v>-5</v>
      </c>
      <c r="D860" t="s">
        <v>573</v>
      </c>
      <c r="E860" s="2">
        <f t="shared" si="141"/>
        <v>46218</v>
      </c>
      <c r="F860" s="3">
        <f t="shared" si="140"/>
        <v>0.37916666666666665</v>
      </c>
      <c r="G860" t="s">
        <v>71</v>
      </c>
      <c r="H860" t="s">
        <v>72</v>
      </c>
      <c r="I860" t="s">
        <v>73</v>
      </c>
      <c r="J860" s="2">
        <v>46218</v>
      </c>
      <c r="K860" s="1">
        <v>0.38541666666666669</v>
      </c>
      <c r="L860" s="10">
        <f t="shared" si="136"/>
        <v>9.000000000000048</v>
      </c>
      <c r="M860" s="1" t="str">
        <f t="shared" si="142"/>
        <v>On Time</v>
      </c>
      <c r="N860" s="27" t="str">
        <f t="shared" si="137"/>
        <v>Finnair</v>
      </c>
      <c r="O860" s="3" t="s">
        <v>1385</v>
      </c>
      <c r="P860" s="20">
        <f t="shared" si="138"/>
        <v>9</v>
      </c>
      <c r="Q860" s="3" t="s">
        <v>1385</v>
      </c>
      <c r="R860" s="23" t="str">
        <f t="shared" si="139"/>
        <v>Wednesday</v>
      </c>
      <c r="S860" s="3" t="s">
        <v>1385</v>
      </c>
      <c r="T860" s="23" t="s">
        <v>69</v>
      </c>
      <c r="U860" s="3" t="s">
        <v>1385</v>
      </c>
      <c r="AO860" s="15"/>
      <c r="AP860" s="15"/>
      <c r="AQ860" s="15"/>
      <c r="AR860" s="23"/>
      <c r="AS860" s="15"/>
      <c r="AT860" s="15"/>
      <c r="AU860" s="23"/>
      <c r="AV860" s="23"/>
    </row>
    <row r="861" spans="1:48" x14ac:dyDescent="0.25">
      <c r="A861" t="s">
        <v>74</v>
      </c>
      <c r="B861" t="s">
        <v>13</v>
      </c>
      <c r="C861" s="10">
        <v>3</v>
      </c>
      <c r="D861" t="s">
        <v>492</v>
      </c>
      <c r="E861" s="2">
        <f t="shared" si="141"/>
        <v>46218</v>
      </c>
      <c r="F861" s="3">
        <f t="shared" si="140"/>
        <v>0.36944444444444446</v>
      </c>
      <c r="G861" t="s">
        <v>76</v>
      </c>
      <c r="H861" t="s">
        <v>77</v>
      </c>
      <c r="I861" t="s">
        <v>17</v>
      </c>
      <c r="J861" s="2">
        <v>46218</v>
      </c>
      <c r="K861" s="1">
        <v>0.3888888888888889</v>
      </c>
      <c r="L861" s="10">
        <f t="shared" si="136"/>
        <v>27.999999999999979</v>
      </c>
      <c r="M861" s="1" t="str">
        <f t="shared" si="142"/>
        <v>On Time</v>
      </c>
      <c r="N861" s="27" t="str">
        <f t="shared" si="137"/>
        <v>Wizz Air</v>
      </c>
      <c r="O861" s="3" t="s">
        <v>1385</v>
      </c>
      <c r="P861" s="20">
        <f t="shared" si="138"/>
        <v>8</v>
      </c>
      <c r="Q861" s="3" t="s">
        <v>1385</v>
      </c>
      <c r="R861" s="23" t="str">
        <f t="shared" si="139"/>
        <v>Wednesday</v>
      </c>
      <c r="S861" s="3" t="s">
        <v>1385</v>
      </c>
      <c r="T861" s="23" t="s">
        <v>13</v>
      </c>
      <c r="U861" s="3" t="s">
        <v>1385</v>
      </c>
      <c r="AO861" s="15"/>
      <c r="AP861" s="15"/>
      <c r="AQ861" s="15"/>
      <c r="AR861" s="23"/>
      <c r="AS861" s="15"/>
      <c r="AT861" s="15"/>
      <c r="AU861" s="23"/>
      <c r="AV861" s="23"/>
    </row>
    <row r="862" spans="1:48" x14ac:dyDescent="0.25">
      <c r="A862" t="s">
        <v>93</v>
      </c>
      <c r="B862" t="s">
        <v>7</v>
      </c>
      <c r="C862" s="10">
        <v>-13</v>
      </c>
      <c r="D862" t="s">
        <v>993</v>
      </c>
      <c r="E862" s="2">
        <f t="shared" si="141"/>
        <v>46218</v>
      </c>
      <c r="F862" s="3">
        <f t="shared" si="140"/>
        <v>0.41180555555555554</v>
      </c>
      <c r="G862" t="s">
        <v>76</v>
      </c>
      <c r="H862" t="s">
        <v>77</v>
      </c>
      <c r="I862" t="s">
        <v>11</v>
      </c>
      <c r="J862" s="2">
        <v>46218</v>
      </c>
      <c r="K862" s="1">
        <v>0.41666666666666669</v>
      </c>
      <c r="L862" s="10">
        <f t="shared" si="136"/>
        <v>7.0000000000000551</v>
      </c>
      <c r="M862" s="1" t="str">
        <f t="shared" si="142"/>
        <v>On Time</v>
      </c>
      <c r="N862" s="27" t="str">
        <f t="shared" si="137"/>
        <v>airBaltic</v>
      </c>
      <c r="O862" s="3" t="s">
        <v>1385</v>
      </c>
      <c r="P862" s="20">
        <f t="shared" si="138"/>
        <v>9</v>
      </c>
      <c r="Q862" s="3" t="s">
        <v>1385</v>
      </c>
      <c r="R862" s="23" t="str">
        <f t="shared" si="139"/>
        <v>Wednesday</v>
      </c>
      <c r="S862" s="3" t="s">
        <v>1385</v>
      </c>
      <c r="T862" s="23" t="s">
        <v>7</v>
      </c>
      <c r="U862" s="3" t="s">
        <v>1385</v>
      </c>
      <c r="AO862" s="15"/>
      <c r="AP862" s="15"/>
      <c r="AQ862" s="15"/>
      <c r="AR862" s="23"/>
      <c r="AS862" s="15"/>
      <c r="AT862" s="15"/>
      <c r="AU862" s="23"/>
      <c r="AV862" s="23"/>
    </row>
    <row r="863" spans="1:48" x14ac:dyDescent="0.25">
      <c r="A863" t="s">
        <v>90</v>
      </c>
      <c r="B863" t="s">
        <v>19</v>
      </c>
      <c r="C863" s="10">
        <v>-16</v>
      </c>
      <c r="D863" t="s">
        <v>973</v>
      </c>
      <c r="E863" s="2">
        <f t="shared" si="141"/>
        <v>46218</v>
      </c>
      <c r="F863" s="3">
        <f t="shared" si="140"/>
        <v>0.4152777777777778</v>
      </c>
      <c r="G863" t="s">
        <v>21</v>
      </c>
      <c r="H863" t="s">
        <v>22</v>
      </c>
      <c r="I863" t="s">
        <v>143</v>
      </c>
      <c r="J863" s="2">
        <v>46218</v>
      </c>
      <c r="K863" s="1">
        <v>0.4201388888888889</v>
      </c>
      <c r="L863" s="10">
        <f t="shared" si="136"/>
        <v>6.9999999999999751</v>
      </c>
      <c r="M863" s="1" t="str">
        <f t="shared" si="142"/>
        <v>On Time</v>
      </c>
      <c r="N863" s="27" t="str">
        <f t="shared" si="137"/>
        <v>LOT</v>
      </c>
      <c r="O863" s="3" t="s">
        <v>1385</v>
      </c>
      <c r="P863" s="20">
        <f t="shared" si="138"/>
        <v>9</v>
      </c>
      <c r="Q863" s="3" t="s">
        <v>1385</v>
      </c>
      <c r="R863" s="23" t="str">
        <f t="shared" si="139"/>
        <v>Wednesday</v>
      </c>
      <c r="S863" s="3" t="s">
        <v>1385</v>
      </c>
      <c r="T863" s="23" t="s">
        <v>19</v>
      </c>
      <c r="U863" s="3" t="s">
        <v>1385</v>
      </c>
      <c r="AO863" s="15"/>
      <c r="AP863" s="15"/>
      <c r="AQ863" s="15"/>
      <c r="AR863" s="23"/>
      <c r="AS863" s="15"/>
      <c r="AT863" s="15"/>
      <c r="AU863" s="23"/>
      <c r="AV863" s="23"/>
    </row>
    <row r="864" spans="1:48" x14ac:dyDescent="0.25">
      <c r="A864" t="s">
        <v>95</v>
      </c>
      <c r="B864" t="s">
        <v>96</v>
      </c>
      <c r="C864" s="10">
        <v>-24</v>
      </c>
      <c r="D864" t="s">
        <v>994</v>
      </c>
      <c r="E864" s="2">
        <f t="shared" si="141"/>
        <v>46218</v>
      </c>
      <c r="F864" s="3">
        <f t="shared" si="140"/>
        <v>0.44375000000000003</v>
      </c>
      <c r="G864" t="s">
        <v>98</v>
      </c>
      <c r="H864" t="s">
        <v>99</v>
      </c>
      <c r="I864" t="s">
        <v>188</v>
      </c>
      <c r="J864" s="2">
        <v>46218</v>
      </c>
      <c r="K864" s="1">
        <v>0.44791666666666669</v>
      </c>
      <c r="L864" s="10">
        <f t="shared" si="136"/>
        <v>5.9999999999999787</v>
      </c>
      <c r="M864" s="1" t="str">
        <f t="shared" si="142"/>
        <v>On Time</v>
      </c>
      <c r="N864" s="27" t="str">
        <f t="shared" si="137"/>
        <v>Turkish Airlines</v>
      </c>
      <c r="O864" s="3" t="s">
        <v>1385</v>
      </c>
      <c r="P864" s="20">
        <f t="shared" si="138"/>
        <v>10</v>
      </c>
      <c r="Q864" s="3" t="s">
        <v>1385</v>
      </c>
      <c r="R864" s="23" t="str">
        <f t="shared" si="139"/>
        <v>Wednesday</v>
      </c>
      <c r="S864" s="3" t="s">
        <v>1385</v>
      </c>
      <c r="T864" s="23" t="s">
        <v>96</v>
      </c>
      <c r="U864" s="3" t="s">
        <v>1385</v>
      </c>
      <c r="AO864" s="15"/>
      <c r="AP864" s="15"/>
      <c r="AQ864" s="15"/>
      <c r="AR864" s="23"/>
      <c r="AS864" s="15"/>
      <c r="AT864" s="15"/>
      <c r="AU864" s="23"/>
      <c r="AV864" s="23"/>
    </row>
    <row r="865" spans="1:48" x14ac:dyDescent="0.25">
      <c r="A865" t="s">
        <v>306</v>
      </c>
      <c r="B865" t="s">
        <v>239</v>
      </c>
      <c r="D865" t="s">
        <v>995</v>
      </c>
      <c r="E865" s="2">
        <f t="shared" si="141"/>
        <v>46218</v>
      </c>
      <c r="F865" s="3">
        <f t="shared" si="140"/>
        <v>0.46249999999999997</v>
      </c>
      <c r="G865" t="s">
        <v>308</v>
      </c>
      <c r="H865" t="s">
        <v>309</v>
      </c>
      <c r="I865" t="s">
        <v>83</v>
      </c>
      <c r="J865" s="2">
        <v>46218</v>
      </c>
      <c r="K865" s="1">
        <v>0.45833333333333331</v>
      </c>
      <c r="L865" s="10">
        <f t="shared" si="136"/>
        <v>-5.9999999999999787</v>
      </c>
      <c r="M865" s="1" t="str">
        <f t="shared" si="142"/>
        <v>On Time</v>
      </c>
      <c r="N865" s="27" t="str">
        <f t="shared" si="137"/>
        <v>Eurowings</v>
      </c>
      <c r="O865" s="3" t="s">
        <v>1385</v>
      </c>
      <c r="P865" s="20">
        <f t="shared" si="138"/>
        <v>11</v>
      </c>
      <c r="Q865" s="3" t="s">
        <v>1385</v>
      </c>
      <c r="R865" s="23" t="str">
        <f t="shared" si="139"/>
        <v>Wednesday</v>
      </c>
      <c r="S865" s="3" t="s">
        <v>1385</v>
      </c>
      <c r="T865" s="23" t="s">
        <v>239</v>
      </c>
      <c r="U865" s="3" t="s">
        <v>1385</v>
      </c>
      <c r="AO865" s="15"/>
      <c r="AP865" s="15"/>
      <c r="AQ865" s="15"/>
      <c r="AR865" s="23"/>
      <c r="AS865" s="15"/>
      <c r="AT865" s="15"/>
      <c r="AU865" s="23"/>
      <c r="AV865" s="23"/>
    </row>
    <row r="866" spans="1:48" x14ac:dyDescent="0.25">
      <c r="A866" t="s">
        <v>100</v>
      </c>
      <c r="B866" t="s">
        <v>85</v>
      </c>
      <c r="C866" s="10">
        <v>-14</v>
      </c>
      <c r="D866" t="s">
        <v>996</v>
      </c>
      <c r="E866" s="2">
        <f t="shared" si="141"/>
        <v>46218</v>
      </c>
      <c r="F866" s="3">
        <f t="shared" si="140"/>
        <v>0.46388888888888885</v>
      </c>
      <c r="G866" t="s">
        <v>102</v>
      </c>
      <c r="H866" t="s">
        <v>103</v>
      </c>
      <c r="I866" t="s">
        <v>89</v>
      </c>
      <c r="J866" s="2">
        <v>46218</v>
      </c>
      <c r="K866" s="1">
        <v>0.46527777777777773</v>
      </c>
      <c r="L866" s="10">
        <f t="shared" si="136"/>
        <v>1.9999999999999929</v>
      </c>
      <c r="M866" s="1" t="str">
        <f t="shared" si="142"/>
        <v>On Time</v>
      </c>
      <c r="N866" s="27" t="str">
        <f t="shared" si="137"/>
        <v>Ryanair</v>
      </c>
      <c r="O866" s="3" t="s">
        <v>1385</v>
      </c>
      <c r="P866" s="20">
        <f t="shared" si="138"/>
        <v>11</v>
      </c>
      <c r="Q866" s="3" t="s">
        <v>1385</v>
      </c>
      <c r="R866" s="23" t="str">
        <f t="shared" si="139"/>
        <v>Wednesday</v>
      </c>
      <c r="S866" s="3" t="s">
        <v>1385</v>
      </c>
      <c r="T866" s="23" t="s">
        <v>85</v>
      </c>
      <c r="U866" s="3" t="s">
        <v>1385</v>
      </c>
      <c r="AO866" s="15"/>
      <c r="AP866" s="15"/>
      <c r="AQ866" s="15"/>
      <c r="AR866" s="23"/>
      <c r="AS866" s="15"/>
      <c r="AT866" s="15"/>
      <c r="AU866" s="23"/>
      <c r="AV866" s="23"/>
    </row>
    <row r="867" spans="1:48" x14ac:dyDescent="0.25">
      <c r="A867" t="s">
        <v>52</v>
      </c>
      <c r="B867" t="s">
        <v>7</v>
      </c>
      <c r="D867" t="s">
        <v>974</v>
      </c>
      <c r="E867" s="2">
        <f t="shared" si="141"/>
        <v>46218</v>
      </c>
      <c r="F867" s="3">
        <f t="shared" si="140"/>
        <v>0.4694444444444445</v>
      </c>
      <c r="G867" t="s">
        <v>9</v>
      </c>
      <c r="H867" t="s">
        <v>10</v>
      </c>
      <c r="I867" t="s">
        <v>11</v>
      </c>
      <c r="J867" s="2">
        <v>46218</v>
      </c>
      <c r="K867" s="1">
        <v>0.4826388888888889</v>
      </c>
      <c r="L867" s="10">
        <f t="shared" si="136"/>
        <v>18.999999999999932</v>
      </c>
      <c r="M867" s="1" t="str">
        <f t="shared" si="142"/>
        <v>On Time</v>
      </c>
      <c r="N867" s="27" t="str">
        <f t="shared" si="137"/>
        <v>airBaltic</v>
      </c>
      <c r="O867" s="3" t="s">
        <v>1385</v>
      </c>
      <c r="P867" s="20">
        <f t="shared" si="138"/>
        <v>11</v>
      </c>
      <c r="Q867" s="3" t="s">
        <v>1385</v>
      </c>
      <c r="R867" s="23" t="str">
        <f t="shared" si="139"/>
        <v>Wednesday</v>
      </c>
      <c r="S867" s="3" t="s">
        <v>1385</v>
      </c>
      <c r="T867" s="23" t="s">
        <v>7</v>
      </c>
      <c r="U867" s="3" t="s">
        <v>1385</v>
      </c>
      <c r="AO867" s="15"/>
      <c r="AP867" s="15"/>
      <c r="AQ867" s="15"/>
      <c r="AR867" s="23"/>
      <c r="AS867" s="15"/>
      <c r="AT867" s="15"/>
      <c r="AU867" s="23"/>
      <c r="AV867" s="23"/>
    </row>
    <row r="868" spans="1:48" x14ac:dyDescent="0.25">
      <c r="A868" t="s">
        <v>418</v>
      </c>
      <c r="B868" t="s">
        <v>85</v>
      </c>
      <c r="C868" s="10">
        <v>-65</v>
      </c>
      <c r="D868" t="s">
        <v>997</v>
      </c>
      <c r="E868" s="2">
        <f t="shared" si="141"/>
        <v>46218</v>
      </c>
      <c r="F868" s="3">
        <f t="shared" si="140"/>
        <v>0.51180555555555551</v>
      </c>
      <c r="G868" t="s">
        <v>419</v>
      </c>
      <c r="H868" t="s">
        <v>420</v>
      </c>
      <c r="I868" t="s">
        <v>89</v>
      </c>
      <c r="J868" s="2">
        <v>46218</v>
      </c>
      <c r="K868" s="1">
        <v>0.4826388888888889</v>
      </c>
      <c r="L868" s="10">
        <f t="shared" si="136"/>
        <v>-41.999999999999929</v>
      </c>
      <c r="M868" s="1" t="str">
        <f t="shared" si="142"/>
        <v>Delayed</v>
      </c>
      <c r="N868" s="27" t="str">
        <f t="shared" si="137"/>
        <v>Ryanair</v>
      </c>
      <c r="O868" s="3" t="s">
        <v>1318</v>
      </c>
      <c r="P868" s="20">
        <f t="shared" si="138"/>
        <v>12</v>
      </c>
      <c r="Q868" s="3" t="s">
        <v>1318</v>
      </c>
      <c r="R868" s="23" t="str">
        <f t="shared" si="139"/>
        <v>Wednesday</v>
      </c>
      <c r="S868" s="3" t="s">
        <v>1318</v>
      </c>
      <c r="T868" s="23" t="s">
        <v>85</v>
      </c>
      <c r="U868" s="3" t="s">
        <v>1318</v>
      </c>
      <c r="AO868" s="15"/>
      <c r="AP868" s="15"/>
      <c r="AQ868" s="15"/>
      <c r="AR868" s="23"/>
      <c r="AS868" s="15"/>
      <c r="AT868" s="15"/>
      <c r="AU868" s="23"/>
      <c r="AV868" s="23"/>
    </row>
    <row r="869" spans="1:48" x14ac:dyDescent="0.25">
      <c r="A869" t="s">
        <v>213</v>
      </c>
      <c r="B869" t="s">
        <v>85</v>
      </c>
      <c r="C869" s="10">
        <v>-9</v>
      </c>
      <c r="D869" t="s">
        <v>646</v>
      </c>
      <c r="E869" s="2">
        <f t="shared" si="141"/>
        <v>46218</v>
      </c>
      <c r="F869" s="3">
        <f t="shared" si="140"/>
        <v>0.48888888888888887</v>
      </c>
      <c r="G869" t="s">
        <v>102</v>
      </c>
      <c r="H869" t="s">
        <v>115</v>
      </c>
      <c r="I869" t="s">
        <v>162</v>
      </c>
      <c r="J869" s="2">
        <v>46218</v>
      </c>
      <c r="K869" s="1">
        <v>0.49652777777777773</v>
      </c>
      <c r="L869" s="10">
        <f t="shared" si="136"/>
        <v>10.999999999999961</v>
      </c>
      <c r="M869" s="1" t="str">
        <f t="shared" si="142"/>
        <v>On Time</v>
      </c>
      <c r="N869" s="27" t="str">
        <f t="shared" si="137"/>
        <v>Ryanair</v>
      </c>
      <c r="O869" s="3" t="s">
        <v>1385</v>
      </c>
      <c r="P869" s="20">
        <f t="shared" si="138"/>
        <v>11</v>
      </c>
      <c r="Q869" s="3" t="s">
        <v>1385</v>
      </c>
      <c r="R869" s="23" t="str">
        <f t="shared" si="139"/>
        <v>Wednesday</v>
      </c>
      <c r="S869" s="3" t="s">
        <v>1385</v>
      </c>
      <c r="T869" s="23" t="s">
        <v>85</v>
      </c>
      <c r="U869" s="3" t="s">
        <v>1385</v>
      </c>
      <c r="AO869" s="15"/>
      <c r="AP869" s="15"/>
      <c r="AQ869" s="15"/>
      <c r="AR869" s="23"/>
      <c r="AS869" s="15"/>
      <c r="AT869" s="15"/>
      <c r="AU869" s="23"/>
      <c r="AV869" s="23"/>
    </row>
    <row r="870" spans="1:48" x14ac:dyDescent="0.25">
      <c r="A870" t="s">
        <v>319</v>
      </c>
      <c r="B870" t="s">
        <v>85</v>
      </c>
      <c r="C870" s="10">
        <v>-24</v>
      </c>
      <c r="D870" t="s">
        <v>998</v>
      </c>
      <c r="E870" s="2">
        <f t="shared" si="141"/>
        <v>46218</v>
      </c>
      <c r="F870" s="3">
        <f t="shared" si="140"/>
        <v>0.4909722222222222</v>
      </c>
      <c r="G870" t="s">
        <v>15</v>
      </c>
      <c r="H870" t="s">
        <v>16</v>
      </c>
      <c r="I870" t="s">
        <v>89</v>
      </c>
      <c r="J870" s="2">
        <v>46218</v>
      </c>
      <c r="K870" s="1">
        <v>0.5</v>
      </c>
      <c r="L870" s="10">
        <f t="shared" si="136"/>
        <v>13.000000000000034</v>
      </c>
      <c r="M870" s="1" t="str">
        <f t="shared" si="142"/>
        <v>On Time</v>
      </c>
      <c r="N870" s="27" t="str">
        <f t="shared" si="137"/>
        <v>Ryanair</v>
      </c>
      <c r="O870" s="3" t="s">
        <v>1385</v>
      </c>
      <c r="P870" s="20">
        <f t="shared" si="138"/>
        <v>11</v>
      </c>
      <c r="Q870" s="3" t="s">
        <v>1385</v>
      </c>
      <c r="R870" s="23" t="str">
        <f t="shared" si="139"/>
        <v>Wednesday</v>
      </c>
      <c r="S870" s="3" t="s">
        <v>1385</v>
      </c>
      <c r="T870" s="23" t="s">
        <v>85</v>
      </c>
      <c r="U870" s="3" t="s">
        <v>1385</v>
      </c>
      <c r="AO870" s="15"/>
      <c r="AP870" s="15"/>
      <c r="AQ870" s="15"/>
      <c r="AR870" s="23"/>
      <c r="AS870" s="15"/>
      <c r="AT870" s="15"/>
      <c r="AU870" s="23"/>
      <c r="AV870" s="23"/>
    </row>
    <row r="871" spans="1:48" x14ac:dyDescent="0.25">
      <c r="A871" t="s">
        <v>999</v>
      </c>
      <c r="B871" t="s">
        <v>1000</v>
      </c>
      <c r="D871" t="s">
        <v>1001</v>
      </c>
      <c r="E871" s="2">
        <f t="shared" si="141"/>
        <v>46218</v>
      </c>
      <c r="F871" s="3">
        <f t="shared" si="140"/>
        <v>0.50972222222222219</v>
      </c>
      <c r="G871" t="s">
        <v>287</v>
      </c>
      <c r="H871" t="s">
        <v>288</v>
      </c>
      <c r="I871" t="s">
        <v>1002</v>
      </c>
      <c r="J871" s="2">
        <v>46218</v>
      </c>
      <c r="K871" s="1">
        <v>0.50624999999999998</v>
      </c>
      <c r="L871" s="10">
        <f t="shared" si="136"/>
        <v>-4.9999999999999822</v>
      </c>
      <c r="M871" s="1" t="str">
        <f t="shared" si="142"/>
        <v>On Time</v>
      </c>
      <c r="N871" s="27" t="e">
        <f t="shared" si="137"/>
        <v>#N/A</v>
      </c>
      <c r="O871" s="3" t="s">
        <v>1385</v>
      </c>
      <c r="P871" s="20">
        <f t="shared" si="138"/>
        <v>12</v>
      </c>
      <c r="Q871" s="3" t="s">
        <v>1385</v>
      </c>
      <c r="R871" s="23" t="str">
        <f t="shared" si="139"/>
        <v>Wednesday</v>
      </c>
      <c r="S871" s="3" t="s">
        <v>1385</v>
      </c>
      <c r="T871" s="23" t="s">
        <v>1000</v>
      </c>
      <c r="U871" s="3" t="s">
        <v>1385</v>
      </c>
      <c r="AO871" s="15"/>
      <c r="AP871" s="15"/>
      <c r="AQ871" s="15"/>
      <c r="AR871" s="23"/>
      <c r="AS871" s="15"/>
      <c r="AT871" s="15"/>
      <c r="AU871" s="23"/>
      <c r="AV871" s="23"/>
    </row>
    <row r="872" spans="1:48" x14ac:dyDescent="0.25">
      <c r="A872" t="s">
        <v>108</v>
      </c>
      <c r="B872" t="s">
        <v>190</v>
      </c>
      <c r="C872" s="10">
        <v>-25</v>
      </c>
      <c r="D872" t="s">
        <v>767</v>
      </c>
      <c r="E872" s="2">
        <f t="shared" si="141"/>
        <v>46218</v>
      </c>
      <c r="F872" s="3">
        <f t="shared" si="140"/>
        <v>0.52708333333333335</v>
      </c>
      <c r="G872" t="s">
        <v>110</v>
      </c>
      <c r="H872" t="s">
        <v>111</v>
      </c>
      <c r="I872" t="s">
        <v>260</v>
      </c>
      <c r="J872" s="2">
        <v>46218</v>
      </c>
      <c r="K872" s="1">
        <v>0.52777777777777779</v>
      </c>
      <c r="L872" s="10">
        <f t="shared" si="136"/>
        <v>0.99999999999999645</v>
      </c>
      <c r="M872" s="1" t="str">
        <f t="shared" si="142"/>
        <v>On Time</v>
      </c>
      <c r="N872" s="27" t="str">
        <f t="shared" si="137"/>
        <v>Lufthansa</v>
      </c>
      <c r="O872" s="3" t="s">
        <v>1385</v>
      </c>
      <c r="P872" s="20">
        <f t="shared" si="138"/>
        <v>12</v>
      </c>
      <c r="Q872" s="3" t="s">
        <v>1385</v>
      </c>
      <c r="R872" s="23" t="str">
        <f t="shared" si="139"/>
        <v>Wednesday</v>
      </c>
      <c r="S872" s="3" t="s">
        <v>1385</v>
      </c>
      <c r="T872" s="23" t="s">
        <v>190</v>
      </c>
      <c r="U872" s="3" t="s">
        <v>1385</v>
      </c>
      <c r="AO872" s="15"/>
      <c r="AP872" s="15"/>
      <c r="AQ872" s="15"/>
      <c r="AR872" s="23"/>
      <c r="AS872" s="15"/>
      <c r="AT872" s="15"/>
      <c r="AU872" s="23"/>
      <c r="AV872" s="23"/>
    </row>
    <row r="873" spans="1:48" x14ac:dyDescent="0.25">
      <c r="A873" t="s">
        <v>113</v>
      </c>
      <c r="B873" t="s">
        <v>13</v>
      </c>
      <c r="C873" s="10">
        <v>-13</v>
      </c>
      <c r="D873" t="s">
        <v>1003</v>
      </c>
      <c r="E873" s="2">
        <f t="shared" si="141"/>
        <v>46218</v>
      </c>
      <c r="F873" s="3">
        <f t="shared" si="140"/>
        <v>0.53055555555555556</v>
      </c>
      <c r="G873" t="s">
        <v>102</v>
      </c>
      <c r="H873" t="s">
        <v>115</v>
      </c>
      <c r="I873" t="s">
        <v>17</v>
      </c>
      <c r="J873" s="2">
        <v>46218</v>
      </c>
      <c r="K873" s="1">
        <v>0.53472222222222221</v>
      </c>
      <c r="L873" s="10">
        <f t="shared" si="136"/>
        <v>5.9999999999999787</v>
      </c>
      <c r="M873" s="1" t="str">
        <f t="shared" si="142"/>
        <v>On Time</v>
      </c>
      <c r="N873" s="27" t="str">
        <f t="shared" si="137"/>
        <v>Wizz Air</v>
      </c>
      <c r="O873" s="3" t="s">
        <v>1385</v>
      </c>
      <c r="P873" s="20">
        <f t="shared" si="138"/>
        <v>12</v>
      </c>
      <c r="Q873" s="3" t="s">
        <v>1385</v>
      </c>
      <c r="R873" s="23" t="str">
        <f t="shared" si="139"/>
        <v>Wednesday</v>
      </c>
      <c r="S873" s="3" t="s">
        <v>1385</v>
      </c>
      <c r="T873" s="23" t="s">
        <v>13</v>
      </c>
      <c r="U873" s="3" t="s">
        <v>1385</v>
      </c>
      <c r="AO873" s="15"/>
      <c r="AP873" s="15"/>
      <c r="AQ873" s="15"/>
      <c r="AR873" s="23"/>
      <c r="AS873" s="15"/>
      <c r="AT873" s="15"/>
      <c r="AU873" s="23"/>
      <c r="AV873" s="23"/>
    </row>
    <row r="874" spans="1:48" x14ac:dyDescent="0.25">
      <c r="A874" t="s">
        <v>121</v>
      </c>
      <c r="B874" t="s">
        <v>69</v>
      </c>
      <c r="C874" s="10">
        <v>2</v>
      </c>
      <c r="D874" t="s">
        <v>503</v>
      </c>
      <c r="E874" s="2">
        <f t="shared" si="141"/>
        <v>46218</v>
      </c>
      <c r="F874" s="3">
        <f t="shared" si="140"/>
        <v>0.53333333333333333</v>
      </c>
      <c r="G874" t="s">
        <v>71</v>
      </c>
      <c r="H874" t="s">
        <v>72</v>
      </c>
      <c r="I874" t="s">
        <v>73</v>
      </c>
      <c r="J874" s="2">
        <v>46218</v>
      </c>
      <c r="K874" s="1">
        <v>0.54166666666666663</v>
      </c>
      <c r="L874" s="10">
        <f t="shared" si="136"/>
        <v>11.999999999999957</v>
      </c>
      <c r="M874" s="1" t="str">
        <f t="shared" si="142"/>
        <v>On Time</v>
      </c>
      <c r="N874" s="27" t="str">
        <f t="shared" si="137"/>
        <v>Finnair</v>
      </c>
      <c r="O874" s="3" t="s">
        <v>1385</v>
      </c>
      <c r="P874" s="20">
        <f t="shared" si="138"/>
        <v>12</v>
      </c>
      <c r="Q874" s="3" t="s">
        <v>1385</v>
      </c>
      <c r="R874" s="23" t="str">
        <f t="shared" si="139"/>
        <v>Wednesday</v>
      </c>
      <c r="S874" s="3" t="s">
        <v>1385</v>
      </c>
      <c r="T874" s="23" t="s">
        <v>69</v>
      </c>
      <c r="U874" s="3" t="s">
        <v>1385</v>
      </c>
      <c r="AO874" s="15"/>
      <c r="AP874" s="15"/>
      <c r="AQ874" s="15"/>
      <c r="AR874" s="23"/>
      <c r="AS874" s="15"/>
      <c r="AT874" s="15"/>
      <c r="AU874" s="23"/>
      <c r="AV874" s="23"/>
    </row>
    <row r="875" spans="1:48" x14ac:dyDescent="0.25">
      <c r="A875" t="s">
        <v>372</v>
      </c>
      <c r="B875" t="s">
        <v>85</v>
      </c>
      <c r="C875" s="10">
        <v>4</v>
      </c>
      <c r="D875" t="s">
        <v>429</v>
      </c>
      <c r="E875" s="2">
        <f t="shared" si="141"/>
        <v>46218</v>
      </c>
      <c r="F875" s="3">
        <f t="shared" si="140"/>
        <v>0.53402777777777777</v>
      </c>
      <c r="G875" t="s">
        <v>368</v>
      </c>
      <c r="H875" t="s">
        <v>369</v>
      </c>
      <c r="I875" t="s">
        <v>89</v>
      </c>
      <c r="J875" s="2">
        <v>46218</v>
      </c>
      <c r="K875" s="1">
        <v>0.54861111111111105</v>
      </c>
      <c r="L875" s="10">
        <f t="shared" si="136"/>
        <v>20.999999999999925</v>
      </c>
      <c r="M875" s="1" t="str">
        <f t="shared" si="142"/>
        <v>On Time</v>
      </c>
      <c r="N875" s="27" t="str">
        <f t="shared" si="137"/>
        <v>Ryanair</v>
      </c>
      <c r="O875" s="3" t="s">
        <v>1385</v>
      </c>
      <c r="P875" s="20">
        <f t="shared" si="138"/>
        <v>12</v>
      </c>
      <c r="Q875" s="3" t="s">
        <v>1385</v>
      </c>
      <c r="R875" s="23" t="str">
        <f t="shared" si="139"/>
        <v>Wednesday</v>
      </c>
      <c r="S875" s="3" t="s">
        <v>1385</v>
      </c>
      <c r="T875" s="23" t="s">
        <v>85</v>
      </c>
      <c r="U875" s="3" t="s">
        <v>1385</v>
      </c>
      <c r="AO875" s="15"/>
      <c r="AP875" s="15"/>
      <c r="AQ875" s="15"/>
      <c r="AR875" s="23"/>
      <c r="AS875" s="15"/>
      <c r="AT875" s="15"/>
      <c r="AU875" s="23"/>
      <c r="AV875" s="23"/>
    </row>
    <row r="876" spans="1:48" x14ac:dyDescent="0.25">
      <c r="A876" t="s">
        <v>427</v>
      </c>
      <c r="B876" t="s">
        <v>117</v>
      </c>
      <c r="C876" s="10">
        <v>-22</v>
      </c>
      <c r="D876" t="s">
        <v>1004</v>
      </c>
      <c r="E876" s="2">
        <f t="shared" si="141"/>
        <v>46218</v>
      </c>
      <c r="F876" s="3">
        <f t="shared" si="140"/>
        <v>0.54513888888888895</v>
      </c>
      <c r="G876" t="s">
        <v>119</v>
      </c>
      <c r="H876" t="s">
        <v>120</v>
      </c>
      <c r="I876" t="s">
        <v>83</v>
      </c>
      <c r="J876" s="2">
        <v>46218</v>
      </c>
      <c r="K876" s="1">
        <v>0.54861111111111105</v>
      </c>
      <c r="L876" s="10">
        <f t="shared" si="136"/>
        <v>4.9999999999998224</v>
      </c>
      <c r="M876" s="1" t="str">
        <f t="shared" si="142"/>
        <v>On Time</v>
      </c>
      <c r="N876" s="27" t="str">
        <f t="shared" si="137"/>
        <v>Heston Airlines</v>
      </c>
      <c r="O876" s="3" t="s">
        <v>1385</v>
      </c>
      <c r="P876" s="20">
        <f t="shared" si="138"/>
        <v>13</v>
      </c>
      <c r="Q876" s="3" t="s">
        <v>1385</v>
      </c>
      <c r="R876" s="23" t="str">
        <f t="shared" si="139"/>
        <v>Wednesday</v>
      </c>
      <c r="S876" s="3" t="s">
        <v>1385</v>
      </c>
      <c r="T876" s="23" t="s">
        <v>117</v>
      </c>
      <c r="U876" s="3" t="s">
        <v>1385</v>
      </c>
      <c r="AO876" s="15"/>
      <c r="AP876" s="15"/>
      <c r="AQ876" s="15"/>
      <c r="AR876" s="23"/>
      <c r="AS876" s="15"/>
      <c r="AT876" s="15"/>
      <c r="AU876" s="23"/>
      <c r="AV876" s="23"/>
    </row>
    <row r="877" spans="1:48" x14ac:dyDescent="0.25">
      <c r="A877" t="s">
        <v>133</v>
      </c>
      <c r="B877" t="s">
        <v>7</v>
      </c>
      <c r="C877" s="10">
        <v>-39</v>
      </c>
      <c r="D877" t="s">
        <v>1005</v>
      </c>
      <c r="E877" s="2">
        <f t="shared" si="141"/>
        <v>46218</v>
      </c>
      <c r="F877" s="3">
        <f t="shared" si="140"/>
        <v>0.57777777777777783</v>
      </c>
      <c r="G877" t="s">
        <v>135</v>
      </c>
      <c r="H877" t="s">
        <v>136</v>
      </c>
      <c r="I877" t="s">
        <v>11</v>
      </c>
      <c r="J877" s="2">
        <v>46218</v>
      </c>
      <c r="K877" s="1">
        <v>0.55902777777777779</v>
      </c>
      <c r="L877" s="10">
        <f t="shared" si="136"/>
        <v>-27.000000000000064</v>
      </c>
      <c r="M877" s="1" t="str">
        <f t="shared" si="142"/>
        <v>Delayed</v>
      </c>
      <c r="N877" s="27" t="str">
        <f t="shared" si="137"/>
        <v>airBaltic</v>
      </c>
      <c r="O877" s="3" t="s">
        <v>1318</v>
      </c>
      <c r="P877" s="20">
        <f t="shared" si="138"/>
        <v>13</v>
      </c>
      <c r="Q877" s="3" t="s">
        <v>1318</v>
      </c>
      <c r="R877" s="23" t="str">
        <f t="shared" si="139"/>
        <v>Wednesday</v>
      </c>
      <c r="S877" s="3" t="s">
        <v>1318</v>
      </c>
      <c r="T877" s="23" t="s">
        <v>7</v>
      </c>
      <c r="U877" s="3" t="s">
        <v>1318</v>
      </c>
      <c r="AO877" s="15"/>
      <c r="AP877" s="15"/>
      <c r="AQ877" s="15"/>
      <c r="AR877" s="23"/>
      <c r="AS877" s="15"/>
      <c r="AT877" s="15"/>
      <c r="AU877" s="23"/>
      <c r="AV877" s="23"/>
    </row>
    <row r="878" spans="1:48" x14ac:dyDescent="0.25">
      <c r="A878" t="s">
        <v>123</v>
      </c>
      <c r="B878" t="s">
        <v>124</v>
      </c>
      <c r="D878" t="s">
        <v>938</v>
      </c>
      <c r="E878" s="2">
        <f t="shared" si="141"/>
        <v>46218</v>
      </c>
      <c r="F878" s="3">
        <f t="shared" si="140"/>
        <v>0.54861111111111105</v>
      </c>
      <c r="G878" t="s">
        <v>119</v>
      </c>
      <c r="H878" t="s">
        <v>120</v>
      </c>
      <c r="I878" t="s">
        <v>126</v>
      </c>
      <c r="J878" s="2">
        <v>46218</v>
      </c>
      <c r="K878" s="1">
        <v>0.56041666666666667</v>
      </c>
      <c r="L878" s="10">
        <f t="shared" si="136"/>
        <v>17.000000000000099</v>
      </c>
      <c r="M878" s="1" t="str">
        <f t="shared" si="142"/>
        <v>On Time</v>
      </c>
      <c r="N878" s="27" t="str">
        <f t="shared" si="137"/>
        <v>GetJet Airlines</v>
      </c>
      <c r="O878" s="3" t="s">
        <v>1385</v>
      </c>
      <c r="P878" s="20">
        <f t="shared" si="138"/>
        <v>13</v>
      </c>
      <c r="Q878" s="3" t="s">
        <v>1385</v>
      </c>
      <c r="R878" s="23" t="str">
        <f t="shared" si="139"/>
        <v>Wednesday</v>
      </c>
      <c r="S878" s="3" t="s">
        <v>1385</v>
      </c>
      <c r="T878" s="23" t="s">
        <v>124</v>
      </c>
      <c r="U878" s="3" t="s">
        <v>1385</v>
      </c>
      <c r="AO878" s="15"/>
      <c r="AP878" s="15"/>
      <c r="AQ878" s="15"/>
      <c r="AR878" s="23"/>
      <c r="AS878" s="15"/>
      <c r="AT878" s="15"/>
      <c r="AU878" s="23"/>
      <c r="AV878" s="23"/>
    </row>
    <row r="879" spans="1:48" x14ac:dyDescent="0.25">
      <c r="A879" t="s">
        <v>245</v>
      </c>
      <c r="B879" t="s">
        <v>124</v>
      </c>
      <c r="D879" t="s">
        <v>1006</v>
      </c>
      <c r="E879" s="2">
        <f t="shared" si="141"/>
        <v>46218</v>
      </c>
      <c r="F879" s="3">
        <f t="shared" si="140"/>
        <v>0.55555555555555558</v>
      </c>
      <c r="G879" t="s">
        <v>247</v>
      </c>
      <c r="H879" t="s">
        <v>248</v>
      </c>
      <c r="I879" t="s">
        <v>249</v>
      </c>
      <c r="J879" s="2">
        <v>46218</v>
      </c>
      <c r="K879" s="1">
        <v>0.56805555555555554</v>
      </c>
      <c r="L879" s="10">
        <f t="shared" si="136"/>
        <v>17.999999999999936</v>
      </c>
      <c r="M879" s="1" t="str">
        <f t="shared" si="142"/>
        <v>On Time</v>
      </c>
      <c r="N879" s="27" t="str">
        <f t="shared" si="137"/>
        <v>GetJet Airlines</v>
      </c>
      <c r="O879" s="3" t="s">
        <v>1385</v>
      </c>
      <c r="P879" s="20">
        <f t="shared" si="138"/>
        <v>13</v>
      </c>
      <c r="Q879" s="3" t="s">
        <v>1385</v>
      </c>
      <c r="R879" s="23" t="str">
        <f t="shared" si="139"/>
        <v>Wednesday</v>
      </c>
      <c r="S879" s="3" t="s">
        <v>1385</v>
      </c>
      <c r="T879" s="23" t="s">
        <v>124</v>
      </c>
      <c r="U879" s="3" t="s">
        <v>1385</v>
      </c>
      <c r="AO879" s="15"/>
      <c r="AP879" s="15"/>
      <c r="AQ879" s="15"/>
      <c r="AR879" s="23"/>
      <c r="AS879" s="15"/>
      <c r="AT879" s="15"/>
      <c r="AU879" s="23"/>
      <c r="AV879" s="23"/>
    </row>
    <row r="880" spans="1:48" x14ac:dyDescent="0.25">
      <c r="A880" t="s">
        <v>254</v>
      </c>
      <c r="B880" t="s">
        <v>85</v>
      </c>
      <c r="C880" s="10">
        <v>-11</v>
      </c>
      <c r="D880" t="s">
        <v>511</v>
      </c>
      <c r="E880" s="2">
        <f t="shared" si="141"/>
        <v>46218</v>
      </c>
      <c r="F880" s="3">
        <f t="shared" si="140"/>
        <v>0.57361111111111118</v>
      </c>
      <c r="G880" t="s">
        <v>256</v>
      </c>
      <c r="H880" t="s">
        <v>257</v>
      </c>
      <c r="I880" t="s">
        <v>89</v>
      </c>
      <c r="J880" s="2">
        <v>46218</v>
      </c>
      <c r="K880" s="1">
        <v>0.57638888888888895</v>
      </c>
      <c r="L880" s="10">
        <f t="shared" si="136"/>
        <v>3.9999999999999858</v>
      </c>
      <c r="M880" s="1" t="str">
        <f t="shared" si="142"/>
        <v>On Time</v>
      </c>
      <c r="N880" s="27" t="str">
        <f t="shared" si="137"/>
        <v>Ryanair</v>
      </c>
      <c r="O880" s="3" t="s">
        <v>1385</v>
      </c>
      <c r="P880" s="20">
        <f t="shared" si="138"/>
        <v>13</v>
      </c>
      <c r="Q880" s="3" t="s">
        <v>1385</v>
      </c>
      <c r="R880" s="23" t="str">
        <f t="shared" si="139"/>
        <v>Wednesday</v>
      </c>
      <c r="S880" s="3" t="s">
        <v>1385</v>
      </c>
      <c r="T880" s="23" t="s">
        <v>85</v>
      </c>
      <c r="U880" s="3" t="s">
        <v>1385</v>
      </c>
      <c r="AO880" s="15"/>
      <c r="AP880" s="15"/>
      <c r="AQ880" s="15"/>
      <c r="AR880" s="23"/>
      <c r="AS880" s="15"/>
      <c r="AT880" s="15"/>
      <c r="AU880" s="23"/>
      <c r="AV880" s="23"/>
    </row>
    <row r="881" spans="1:48" x14ac:dyDescent="0.25">
      <c r="A881" t="s">
        <v>141</v>
      </c>
      <c r="B881" t="s">
        <v>19</v>
      </c>
      <c r="C881" s="10">
        <v>-12</v>
      </c>
      <c r="D881" t="s">
        <v>437</v>
      </c>
      <c r="E881" s="2">
        <f t="shared" si="141"/>
        <v>46218</v>
      </c>
      <c r="F881" s="3">
        <f t="shared" si="140"/>
        <v>0.56874999999999998</v>
      </c>
      <c r="G881" t="s">
        <v>21</v>
      </c>
      <c r="H881" t="s">
        <v>22</v>
      </c>
      <c r="I881" t="s">
        <v>276</v>
      </c>
      <c r="J881" s="2">
        <v>46218</v>
      </c>
      <c r="K881" s="1">
        <v>0.57638888888888895</v>
      </c>
      <c r="L881" s="10">
        <f t="shared" si="136"/>
        <v>11.000000000000121</v>
      </c>
      <c r="M881" s="1" t="str">
        <f t="shared" si="142"/>
        <v>On Time</v>
      </c>
      <c r="N881" s="27" t="str">
        <f t="shared" si="137"/>
        <v>LOT</v>
      </c>
      <c r="O881" s="3" t="s">
        <v>1385</v>
      </c>
      <c r="P881" s="20">
        <f t="shared" si="138"/>
        <v>13</v>
      </c>
      <c r="Q881" s="3" t="s">
        <v>1385</v>
      </c>
      <c r="R881" s="23" t="str">
        <f t="shared" si="139"/>
        <v>Wednesday</v>
      </c>
      <c r="S881" s="3" t="s">
        <v>1385</v>
      </c>
      <c r="T881" s="23" t="s">
        <v>19</v>
      </c>
      <c r="U881" s="3" t="s">
        <v>1385</v>
      </c>
      <c r="AO881" s="15"/>
      <c r="AP881" s="15"/>
      <c r="AQ881" s="15"/>
      <c r="AR881" s="23"/>
      <c r="AS881" s="15"/>
      <c r="AT881" s="15"/>
      <c r="AU881" s="23"/>
      <c r="AV881" s="23"/>
    </row>
    <row r="882" spans="1:48" x14ac:dyDescent="0.25">
      <c r="A882" t="s">
        <v>178</v>
      </c>
      <c r="B882" t="s">
        <v>85</v>
      </c>
      <c r="C882" s="10">
        <v>-65</v>
      </c>
      <c r="D882" t="s">
        <v>1007</v>
      </c>
      <c r="E882" s="2">
        <f t="shared" si="141"/>
        <v>46218</v>
      </c>
      <c r="F882" s="3">
        <f t="shared" si="140"/>
        <v>0.6166666666666667</v>
      </c>
      <c r="G882" t="s">
        <v>180</v>
      </c>
      <c r="H882" t="s">
        <v>181</v>
      </c>
      <c r="I882" t="s">
        <v>89</v>
      </c>
      <c r="J882" s="2">
        <v>46218</v>
      </c>
      <c r="K882" s="1">
        <v>0.58680555555555558</v>
      </c>
      <c r="L882" s="10">
        <f t="shared" si="136"/>
        <v>-43.000000000000007</v>
      </c>
      <c r="M882" s="1" t="str">
        <f t="shared" si="142"/>
        <v>Delayed</v>
      </c>
      <c r="N882" s="27" t="str">
        <f t="shared" si="137"/>
        <v>Ryanair</v>
      </c>
      <c r="O882" s="3" t="s">
        <v>1318</v>
      </c>
      <c r="P882" s="20">
        <f t="shared" si="138"/>
        <v>14</v>
      </c>
      <c r="Q882" s="3" t="s">
        <v>1318</v>
      </c>
      <c r="R882" s="23" t="str">
        <f t="shared" si="139"/>
        <v>Wednesday</v>
      </c>
      <c r="S882" s="3" t="s">
        <v>1318</v>
      </c>
      <c r="T882" s="23" t="s">
        <v>85</v>
      </c>
      <c r="U882" s="3" t="s">
        <v>1318</v>
      </c>
      <c r="AO882" s="15"/>
      <c r="AP882" s="15"/>
      <c r="AQ882" s="15"/>
      <c r="AR882" s="23"/>
      <c r="AS882" s="15"/>
      <c r="AT882" s="15"/>
      <c r="AU882" s="23"/>
      <c r="AV882" s="23"/>
    </row>
    <row r="883" spans="1:48" x14ac:dyDescent="0.25">
      <c r="A883" t="s">
        <v>327</v>
      </c>
      <c r="B883" t="s">
        <v>13</v>
      </c>
      <c r="C883" s="10">
        <v>-3</v>
      </c>
      <c r="D883" t="s">
        <v>142</v>
      </c>
      <c r="E883" s="2">
        <f t="shared" si="141"/>
        <v>46218</v>
      </c>
      <c r="F883" s="3">
        <f t="shared" si="140"/>
        <v>0.5756944444444444</v>
      </c>
      <c r="G883" t="s">
        <v>329</v>
      </c>
      <c r="H883" t="s">
        <v>330</v>
      </c>
      <c r="I883" t="s">
        <v>17</v>
      </c>
      <c r="J883" s="2">
        <v>46218</v>
      </c>
      <c r="K883" s="1">
        <v>0.59027777777777779</v>
      </c>
      <c r="L883" s="10">
        <f t="shared" si="136"/>
        <v>21.000000000000085</v>
      </c>
      <c r="M883" s="1" t="str">
        <f t="shared" si="142"/>
        <v>On Time</v>
      </c>
      <c r="N883" s="27" t="str">
        <f t="shared" si="137"/>
        <v>Wizz Air</v>
      </c>
      <c r="O883" s="3" t="s">
        <v>1385</v>
      </c>
      <c r="P883" s="20">
        <f t="shared" si="138"/>
        <v>13</v>
      </c>
      <c r="Q883" s="3" t="s">
        <v>1385</v>
      </c>
      <c r="R883" s="23" t="str">
        <f t="shared" si="139"/>
        <v>Wednesday</v>
      </c>
      <c r="S883" s="3" t="s">
        <v>1385</v>
      </c>
      <c r="T883" s="23" t="s">
        <v>13</v>
      </c>
      <c r="U883" s="3" t="s">
        <v>1385</v>
      </c>
      <c r="AO883" s="15"/>
      <c r="AP883" s="15"/>
      <c r="AQ883" s="15"/>
      <c r="AR883" s="23"/>
      <c r="AS883" s="15"/>
      <c r="AT883" s="15"/>
      <c r="AU883" s="23"/>
      <c r="AV883" s="23"/>
    </row>
    <row r="884" spans="1:48" x14ac:dyDescent="0.25">
      <c r="A884" t="s">
        <v>148</v>
      </c>
      <c r="B884" t="s">
        <v>7</v>
      </c>
      <c r="C884" s="10">
        <v>-41</v>
      </c>
      <c r="D884" t="s">
        <v>1008</v>
      </c>
      <c r="E884" s="2">
        <f t="shared" si="141"/>
        <v>46218</v>
      </c>
      <c r="F884" s="3">
        <f t="shared" si="140"/>
        <v>0.62430555555555556</v>
      </c>
      <c r="G884" t="s">
        <v>9</v>
      </c>
      <c r="H884" t="s">
        <v>10</v>
      </c>
      <c r="I884" t="s">
        <v>11</v>
      </c>
      <c r="J884" s="2">
        <v>46218</v>
      </c>
      <c r="K884" s="1">
        <v>0.60763888888888895</v>
      </c>
      <c r="L884" s="10">
        <f t="shared" si="136"/>
        <v>-23.999999999999915</v>
      </c>
      <c r="M884" s="1" t="str">
        <f t="shared" si="142"/>
        <v>Delayed</v>
      </c>
      <c r="N884" s="27" t="str">
        <f t="shared" si="137"/>
        <v>airBaltic</v>
      </c>
      <c r="O884" s="3" t="s">
        <v>1318</v>
      </c>
      <c r="P884" s="20">
        <f t="shared" si="138"/>
        <v>14</v>
      </c>
      <c r="Q884" s="3" t="s">
        <v>1318</v>
      </c>
      <c r="R884" s="23" t="str">
        <f t="shared" si="139"/>
        <v>Wednesday</v>
      </c>
      <c r="S884" s="3" t="s">
        <v>1318</v>
      </c>
      <c r="T884" s="23" t="s">
        <v>7</v>
      </c>
      <c r="U884" s="3" t="s">
        <v>1318</v>
      </c>
      <c r="AO884" s="15"/>
      <c r="AP884" s="15"/>
      <c r="AQ884" s="15"/>
      <c r="AR884" s="23"/>
      <c r="AS884" s="15"/>
      <c r="AT884" s="15"/>
      <c r="AU884" s="23"/>
      <c r="AV884" s="23"/>
    </row>
    <row r="885" spans="1:48" x14ac:dyDescent="0.25">
      <c r="A885" t="s">
        <v>512</v>
      </c>
      <c r="B885" t="s">
        <v>7</v>
      </c>
      <c r="C885" s="10">
        <v>-23</v>
      </c>
      <c r="D885" t="s">
        <v>583</v>
      </c>
      <c r="E885" s="2">
        <f t="shared" si="141"/>
        <v>46218</v>
      </c>
      <c r="F885" s="3">
        <f t="shared" si="140"/>
        <v>0.63611111111111118</v>
      </c>
      <c r="G885" t="s">
        <v>65</v>
      </c>
      <c r="H885" t="s">
        <v>66</v>
      </c>
      <c r="I885" t="s">
        <v>11</v>
      </c>
      <c r="J885" s="2">
        <v>46218</v>
      </c>
      <c r="K885" s="1">
        <v>0.63194444444444442</v>
      </c>
      <c r="L885" s="10">
        <f t="shared" si="136"/>
        <v>-6.0000000000001386</v>
      </c>
      <c r="M885" s="1" t="str">
        <f t="shared" si="142"/>
        <v>On Time</v>
      </c>
      <c r="N885" s="27" t="str">
        <f t="shared" si="137"/>
        <v>airBaltic</v>
      </c>
      <c r="O885" s="3" t="s">
        <v>1385</v>
      </c>
      <c r="P885" s="20">
        <f t="shared" si="138"/>
        <v>15</v>
      </c>
      <c r="Q885" s="3" t="s">
        <v>1385</v>
      </c>
      <c r="R885" s="23" t="str">
        <f t="shared" si="139"/>
        <v>Wednesday</v>
      </c>
      <c r="S885" s="3" t="s">
        <v>1385</v>
      </c>
      <c r="T885" s="23" t="s">
        <v>7</v>
      </c>
      <c r="U885" s="3" t="s">
        <v>1385</v>
      </c>
      <c r="AO885" s="15"/>
      <c r="AP885" s="15"/>
      <c r="AQ885" s="15"/>
      <c r="AR885" s="23"/>
      <c r="AS885" s="15"/>
      <c r="AT885" s="15"/>
      <c r="AU885" s="23"/>
      <c r="AV885" s="23"/>
    </row>
    <row r="886" spans="1:48" x14ac:dyDescent="0.25">
      <c r="A886" t="s">
        <v>156</v>
      </c>
      <c r="B886" t="s">
        <v>41</v>
      </c>
      <c r="C886" s="10">
        <v>-20</v>
      </c>
      <c r="D886" t="s">
        <v>777</v>
      </c>
      <c r="E886" s="2">
        <f t="shared" si="141"/>
        <v>46218</v>
      </c>
      <c r="F886" s="3">
        <f t="shared" si="140"/>
        <v>0.64097222222222217</v>
      </c>
      <c r="G886" t="s">
        <v>43</v>
      </c>
      <c r="H886" t="s">
        <v>44</v>
      </c>
      <c r="I886" t="s">
        <v>158</v>
      </c>
      <c r="J886" s="2">
        <v>46218</v>
      </c>
      <c r="K886" s="1">
        <v>0.63541666666666663</v>
      </c>
      <c r="L886" s="10">
        <f t="shared" si="136"/>
        <v>-7.9999999999999716</v>
      </c>
      <c r="M886" s="1" t="str">
        <f t="shared" si="142"/>
        <v>On Time</v>
      </c>
      <c r="N886" s="27" t="str">
        <f t="shared" si="137"/>
        <v>SAS</v>
      </c>
      <c r="O886" s="3" t="s">
        <v>1385</v>
      </c>
      <c r="P886" s="20">
        <f t="shared" si="138"/>
        <v>15</v>
      </c>
      <c r="Q886" s="3" t="s">
        <v>1385</v>
      </c>
      <c r="R886" s="23" t="str">
        <f t="shared" si="139"/>
        <v>Wednesday</v>
      </c>
      <c r="S886" s="3" t="s">
        <v>1385</v>
      </c>
      <c r="T886" s="23" t="s">
        <v>41</v>
      </c>
      <c r="U886" s="3" t="s">
        <v>1385</v>
      </c>
      <c r="AO886" s="15"/>
      <c r="AP886" s="15"/>
      <c r="AQ886" s="15"/>
      <c r="AR886" s="23"/>
      <c r="AS886" s="15"/>
      <c r="AT886" s="15"/>
      <c r="AU886" s="23"/>
      <c r="AV886" s="23"/>
    </row>
    <row r="887" spans="1:48" x14ac:dyDescent="0.25">
      <c r="A887" t="s">
        <v>348</v>
      </c>
      <c r="B887" t="s">
        <v>13</v>
      </c>
      <c r="C887" s="10">
        <v>-32</v>
      </c>
      <c r="D887" t="s">
        <v>902</v>
      </c>
      <c r="E887" s="2">
        <f t="shared" si="141"/>
        <v>46218</v>
      </c>
      <c r="F887" s="3">
        <f t="shared" si="140"/>
        <v>0.64861111111111114</v>
      </c>
      <c r="G887" t="s">
        <v>349</v>
      </c>
      <c r="H887" t="s">
        <v>350</v>
      </c>
      <c r="I887" t="s">
        <v>17</v>
      </c>
      <c r="J887" s="2">
        <v>46218</v>
      </c>
      <c r="K887" s="1">
        <v>0.64930555555555558</v>
      </c>
      <c r="L887" s="10">
        <f t="shared" si="136"/>
        <v>0.99999999999999645</v>
      </c>
      <c r="M887" s="1" t="str">
        <f t="shared" si="142"/>
        <v>On Time</v>
      </c>
      <c r="N887" s="27" t="str">
        <f t="shared" si="137"/>
        <v>Wizz Air</v>
      </c>
      <c r="O887" s="3" t="s">
        <v>1385</v>
      </c>
      <c r="P887" s="20">
        <f t="shared" si="138"/>
        <v>15</v>
      </c>
      <c r="Q887" s="3" t="s">
        <v>1385</v>
      </c>
      <c r="R887" s="23" t="str">
        <f t="shared" si="139"/>
        <v>Wednesday</v>
      </c>
      <c r="S887" s="3" t="s">
        <v>1385</v>
      </c>
      <c r="T887" s="23" t="s">
        <v>13</v>
      </c>
      <c r="U887" s="3" t="s">
        <v>1385</v>
      </c>
      <c r="AO887" s="15"/>
      <c r="AP887" s="15"/>
      <c r="AQ887" s="15"/>
      <c r="AR887" s="23"/>
      <c r="AS887" s="15"/>
      <c r="AT887" s="15"/>
      <c r="AU887" s="23"/>
      <c r="AV887" s="23"/>
    </row>
    <row r="888" spans="1:48" x14ac:dyDescent="0.25">
      <c r="A888" t="s">
        <v>175</v>
      </c>
      <c r="B888" t="s">
        <v>19</v>
      </c>
      <c r="C888" s="10">
        <v>-18</v>
      </c>
      <c r="D888" t="s">
        <v>1009</v>
      </c>
      <c r="E888" s="2">
        <f t="shared" si="141"/>
        <v>46218</v>
      </c>
      <c r="F888" s="3">
        <f t="shared" si="140"/>
        <v>0.67708333333333337</v>
      </c>
      <c r="G888" t="s">
        <v>21</v>
      </c>
      <c r="H888" t="s">
        <v>22</v>
      </c>
      <c r="I888" t="s">
        <v>836</v>
      </c>
      <c r="J888" s="2">
        <v>46218</v>
      </c>
      <c r="K888" s="1">
        <v>0.68055555555555547</v>
      </c>
      <c r="L888" s="10">
        <f t="shared" si="136"/>
        <v>4.9999999999998224</v>
      </c>
      <c r="M888" s="1" t="str">
        <f t="shared" si="142"/>
        <v>On Time</v>
      </c>
      <c r="N888" s="27" t="str">
        <f t="shared" si="137"/>
        <v>LOT</v>
      </c>
      <c r="O888" s="3" t="s">
        <v>1385</v>
      </c>
      <c r="P888" s="20">
        <f t="shared" si="138"/>
        <v>16</v>
      </c>
      <c r="Q888" s="3" t="s">
        <v>1385</v>
      </c>
      <c r="R888" s="23" t="str">
        <f t="shared" si="139"/>
        <v>Wednesday</v>
      </c>
      <c r="S888" s="3" t="s">
        <v>1385</v>
      </c>
      <c r="T888" s="23" t="s">
        <v>19</v>
      </c>
      <c r="U888" s="3" t="s">
        <v>1385</v>
      </c>
      <c r="AO888" s="15"/>
      <c r="AP888" s="15"/>
      <c r="AQ888" s="15"/>
      <c r="AR888" s="23"/>
      <c r="AS888" s="15"/>
      <c r="AT888" s="15"/>
      <c r="AU888" s="23"/>
      <c r="AV888" s="23"/>
    </row>
    <row r="889" spans="1:48" x14ac:dyDescent="0.25">
      <c r="A889" t="s">
        <v>182</v>
      </c>
      <c r="B889" t="s">
        <v>69</v>
      </c>
      <c r="C889" s="10">
        <v>-13</v>
      </c>
      <c r="D889" t="s">
        <v>1010</v>
      </c>
      <c r="E889" s="2">
        <f t="shared" si="141"/>
        <v>46218</v>
      </c>
      <c r="F889" s="3">
        <f t="shared" si="140"/>
        <v>0.71111111111111114</v>
      </c>
      <c r="G889" t="s">
        <v>71</v>
      </c>
      <c r="H889" t="s">
        <v>72</v>
      </c>
      <c r="I889" t="s">
        <v>1002</v>
      </c>
      <c r="J889" s="2">
        <v>46218</v>
      </c>
      <c r="K889" s="1">
        <v>0.71527777777777779</v>
      </c>
      <c r="L889" s="10">
        <f t="shared" si="136"/>
        <v>5.9999999999999787</v>
      </c>
      <c r="M889" s="1" t="str">
        <f t="shared" si="142"/>
        <v>On Time</v>
      </c>
      <c r="N889" s="27" t="str">
        <f t="shared" si="137"/>
        <v>Finnair</v>
      </c>
      <c r="O889" s="3" t="s">
        <v>1385</v>
      </c>
      <c r="P889" s="20">
        <f t="shared" si="138"/>
        <v>17</v>
      </c>
      <c r="Q889" s="3" t="s">
        <v>1385</v>
      </c>
      <c r="R889" s="23" t="str">
        <f t="shared" si="139"/>
        <v>Wednesday</v>
      </c>
      <c r="S889" s="3" t="s">
        <v>1385</v>
      </c>
      <c r="T889" s="23" t="s">
        <v>69</v>
      </c>
      <c r="U889" s="3" t="s">
        <v>1385</v>
      </c>
      <c r="AO889" s="15"/>
      <c r="AP889" s="15"/>
      <c r="AQ889" s="15"/>
      <c r="AR889" s="23"/>
      <c r="AS889" s="15"/>
      <c r="AT889" s="15"/>
      <c r="AU889" s="23"/>
      <c r="AV889" s="23"/>
    </row>
    <row r="890" spans="1:48" x14ac:dyDescent="0.25">
      <c r="A890" t="s">
        <v>184</v>
      </c>
      <c r="B890" t="s">
        <v>85</v>
      </c>
      <c r="C890" s="10">
        <v>-5</v>
      </c>
      <c r="D890" t="s">
        <v>1011</v>
      </c>
      <c r="E890" s="2">
        <f t="shared" si="141"/>
        <v>46218</v>
      </c>
      <c r="F890" s="3">
        <f t="shared" si="140"/>
        <v>0.72986111111111107</v>
      </c>
      <c r="G890" t="s">
        <v>153</v>
      </c>
      <c r="H890" t="s">
        <v>154</v>
      </c>
      <c r="I890" t="s">
        <v>89</v>
      </c>
      <c r="J890" s="2">
        <v>46218</v>
      </c>
      <c r="K890" s="1">
        <v>0.73958333333333337</v>
      </c>
      <c r="L890" s="10">
        <f t="shared" si="136"/>
        <v>14.00000000000011</v>
      </c>
      <c r="M890" s="1" t="str">
        <f t="shared" si="142"/>
        <v>On Time</v>
      </c>
      <c r="N890" s="27" t="str">
        <f t="shared" si="137"/>
        <v>Ryanair</v>
      </c>
      <c r="O890" s="3" t="s">
        <v>1385</v>
      </c>
      <c r="P890" s="20">
        <f t="shared" si="138"/>
        <v>17</v>
      </c>
      <c r="Q890" s="3" t="s">
        <v>1385</v>
      </c>
      <c r="R890" s="23" t="str">
        <f t="shared" si="139"/>
        <v>Wednesday</v>
      </c>
      <c r="S890" s="3" t="s">
        <v>1385</v>
      </c>
      <c r="T890" s="23" t="s">
        <v>85</v>
      </c>
      <c r="U890" s="3" t="s">
        <v>1385</v>
      </c>
      <c r="AO890" s="15"/>
      <c r="AP890" s="15"/>
      <c r="AQ890" s="15"/>
      <c r="AR890" s="23"/>
      <c r="AS890" s="15"/>
      <c r="AT890" s="15"/>
      <c r="AU890" s="23"/>
      <c r="AV890" s="23"/>
    </row>
    <row r="891" spans="1:48" x14ac:dyDescent="0.25">
      <c r="A891" t="s">
        <v>186</v>
      </c>
      <c r="B891" t="s">
        <v>19</v>
      </c>
      <c r="C891" s="10">
        <v>-28</v>
      </c>
      <c r="D891" t="s">
        <v>668</v>
      </c>
      <c r="E891" s="2">
        <f t="shared" si="141"/>
        <v>46218</v>
      </c>
      <c r="F891" s="3">
        <f t="shared" si="140"/>
        <v>0.77847222222222223</v>
      </c>
      <c r="G891" t="s">
        <v>21</v>
      </c>
      <c r="H891" t="s">
        <v>22</v>
      </c>
      <c r="I891" t="s">
        <v>276</v>
      </c>
      <c r="J891" s="2">
        <v>46218</v>
      </c>
      <c r="K891" s="1">
        <v>0.77430555555555547</v>
      </c>
      <c r="L891" s="10">
        <f t="shared" si="136"/>
        <v>-6.0000000000001386</v>
      </c>
      <c r="M891" s="1" t="str">
        <f t="shared" si="142"/>
        <v>On Time</v>
      </c>
      <c r="N891" s="27" t="str">
        <f t="shared" si="137"/>
        <v>LOT</v>
      </c>
      <c r="O891" s="3" t="s">
        <v>1385</v>
      </c>
      <c r="P891" s="20">
        <f t="shared" si="138"/>
        <v>18</v>
      </c>
      <c r="Q891" s="3" t="s">
        <v>1385</v>
      </c>
      <c r="R891" s="23" t="str">
        <f t="shared" si="139"/>
        <v>Wednesday</v>
      </c>
      <c r="S891" s="3" t="s">
        <v>1385</v>
      </c>
      <c r="T891" s="23" t="s">
        <v>19</v>
      </c>
      <c r="U891" s="3" t="s">
        <v>1385</v>
      </c>
      <c r="AO891" s="15"/>
      <c r="AP891" s="15"/>
      <c r="AQ891" s="15"/>
      <c r="AR891" s="23"/>
      <c r="AS891" s="15"/>
      <c r="AT891" s="15"/>
      <c r="AU891" s="23"/>
      <c r="AV891" s="23"/>
    </row>
    <row r="892" spans="1:48" x14ac:dyDescent="0.25">
      <c r="A892" t="s">
        <v>215</v>
      </c>
      <c r="B892" t="s">
        <v>13</v>
      </c>
      <c r="C892" s="10">
        <v>-7</v>
      </c>
      <c r="D892" t="s">
        <v>1012</v>
      </c>
      <c r="E892" s="2">
        <f t="shared" si="141"/>
        <v>46218</v>
      </c>
      <c r="F892" s="3">
        <f t="shared" si="140"/>
        <v>0.76736111111111116</v>
      </c>
      <c r="G892" t="s">
        <v>217</v>
      </c>
      <c r="H892" t="s">
        <v>218</v>
      </c>
      <c r="I892" t="s">
        <v>17</v>
      </c>
      <c r="J892" s="2">
        <v>46218</v>
      </c>
      <c r="K892" s="1">
        <v>0.77430555555555547</v>
      </c>
      <c r="L892" s="10">
        <f t="shared" si="136"/>
        <v>9.9999999999998046</v>
      </c>
      <c r="M892" s="1" t="str">
        <f t="shared" si="142"/>
        <v>On Time</v>
      </c>
      <c r="N892" s="27" t="str">
        <f t="shared" si="137"/>
        <v>Wizz Air</v>
      </c>
      <c r="O892" s="3" t="s">
        <v>1385</v>
      </c>
      <c r="P892" s="20">
        <f t="shared" si="138"/>
        <v>18</v>
      </c>
      <c r="Q892" s="3" t="s">
        <v>1385</v>
      </c>
      <c r="R892" s="23" t="str">
        <f t="shared" si="139"/>
        <v>Wednesday</v>
      </c>
      <c r="S892" s="3" t="s">
        <v>1385</v>
      </c>
      <c r="T892" s="23" t="s">
        <v>13</v>
      </c>
      <c r="U892" s="3" t="s">
        <v>1385</v>
      </c>
      <c r="AO892" s="15"/>
      <c r="AP892" s="15"/>
      <c r="AQ892" s="15"/>
      <c r="AR892" s="23"/>
      <c r="AS892" s="15"/>
      <c r="AT892" s="15"/>
      <c r="AU892" s="23"/>
      <c r="AV892" s="23"/>
    </row>
    <row r="893" spans="1:48" x14ac:dyDescent="0.25">
      <c r="A893" t="s">
        <v>189</v>
      </c>
      <c r="B893" t="s">
        <v>190</v>
      </c>
      <c r="C893" s="10">
        <v>-38</v>
      </c>
      <c r="D893" t="s">
        <v>367</v>
      </c>
      <c r="E893" s="2">
        <f t="shared" si="141"/>
        <v>46218</v>
      </c>
      <c r="F893" s="3">
        <f t="shared" si="140"/>
        <v>0.79305555555555562</v>
      </c>
      <c r="G893" t="s">
        <v>110</v>
      </c>
      <c r="H893" t="s">
        <v>111</v>
      </c>
      <c r="I893" t="s">
        <v>112</v>
      </c>
      <c r="J893" s="2">
        <v>46218</v>
      </c>
      <c r="K893" s="1">
        <v>0.78472222222222221</v>
      </c>
      <c r="L893" s="10">
        <f t="shared" si="136"/>
        <v>-12.000000000000117</v>
      </c>
      <c r="M893" s="1" t="str">
        <f t="shared" si="142"/>
        <v>On Time</v>
      </c>
      <c r="N893" s="27" t="str">
        <f t="shared" si="137"/>
        <v>Lufthansa</v>
      </c>
      <c r="O893" s="3" t="s">
        <v>1385</v>
      </c>
      <c r="P893" s="20">
        <f t="shared" si="138"/>
        <v>19</v>
      </c>
      <c r="Q893" s="3" t="s">
        <v>1385</v>
      </c>
      <c r="R893" s="23" t="str">
        <f t="shared" si="139"/>
        <v>Wednesday</v>
      </c>
      <c r="S893" s="3" t="s">
        <v>1385</v>
      </c>
      <c r="T893" s="23" t="s">
        <v>190</v>
      </c>
      <c r="U893" s="3" t="s">
        <v>1385</v>
      </c>
      <c r="AO893" s="15"/>
      <c r="AP893" s="15"/>
      <c r="AQ893" s="15"/>
      <c r="AR893" s="23"/>
      <c r="AS893" s="15"/>
      <c r="AT893" s="15"/>
      <c r="AU893" s="23"/>
      <c r="AV893" s="23"/>
    </row>
    <row r="894" spans="1:48" x14ac:dyDescent="0.25">
      <c r="A894" t="s">
        <v>487</v>
      </c>
      <c r="B894" t="s">
        <v>7</v>
      </c>
      <c r="C894" s="10">
        <v>-25</v>
      </c>
      <c r="D894" t="s">
        <v>608</v>
      </c>
      <c r="E894" s="2">
        <f t="shared" si="141"/>
        <v>46218</v>
      </c>
      <c r="F894" s="3">
        <f t="shared" si="140"/>
        <v>0.8041666666666667</v>
      </c>
      <c r="G894" t="s">
        <v>489</v>
      </c>
      <c r="H894" t="s">
        <v>490</v>
      </c>
      <c r="I894" t="s">
        <v>11</v>
      </c>
      <c r="J894" s="2">
        <v>46218</v>
      </c>
      <c r="K894" s="1">
        <v>0.80208333333333337</v>
      </c>
      <c r="L894" s="10">
        <f t="shared" si="136"/>
        <v>-2.9999999999999893</v>
      </c>
      <c r="M894" s="1" t="str">
        <f t="shared" si="142"/>
        <v>On Time</v>
      </c>
      <c r="N894" s="27" t="str">
        <f t="shared" si="137"/>
        <v>airBaltic</v>
      </c>
      <c r="O894" s="3" t="s">
        <v>1385</v>
      </c>
      <c r="P894" s="20">
        <f t="shared" si="138"/>
        <v>19</v>
      </c>
      <c r="Q894" s="3" t="s">
        <v>1385</v>
      </c>
      <c r="R894" s="23" t="str">
        <f t="shared" si="139"/>
        <v>Wednesday</v>
      </c>
      <c r="S894" s="3" t="s">
        <v>1385</v>
      </c>
      <c r="T894" s="23" t="s">
        <v>7</v>
      </c>
      <c r="U894" s="3" t="s">
        <v>1385</v>
      </c>
      <c r="AO894" s="15"/>
      <c r="AP894" s="15"/>
      <c r="AQ894" s="15"/>
      <c r="AR894" s="23"/>
      <c r="AS894" s="15"/>
      <c r="AT894" s="15"/>
      <c r="AU894" s="23"/>
      <c r="AV894" s="23"/>
    </row>
    <row r="895" spans="1:48" x14ac:dyDescent="0.25">
      <c r="A895" t="s">
        <v>208</v>
      </c>
      <c r="B895" t="s">
        <v>96</v>
      </c>
      <c r="C895" s="10">
        <v>-23</v>
      </c>
      <c r="D895" t="s">
        <v>875</v>
      </c>
      <c r="E895" s="2">
        <f t="shared" si="141"/>
        <v>46218</v>
      </c>
      <c r="F895" s="3">
        <f t="shared" si="140"/>
        <v>0.80902777777777779</v>
      </c>
      <c r="G895" t="s">
        <v>98</v>
      </c>
      <c r="H895" t="s">
        <v>99</v>
      </c>
      <c r="I895" t="s">
        <v>305</v>
      </c>
      <c r="J895" s="2">
        <v>46218</v>
      </c>
      <c r="K895" s="1">
        <v>0.8125</v>
      </c>
      <c r="L895" s="10">
        <f t="shared" si="136"/>
        <v>4.9999999999999822</v>
      </c>
      <c r="M895" s="1" t="str">
        <f t="shared" si="142"/>
        <v>On Time</v>
      </c>
      <c r="N895" s="27" t="str">
        <f t="shared" si="137"/>
        <v>Turkish Airlines</v>
      </c>
      <c r="O895" s="3" t="s">
        <v>1385</v>
      </c>
      <c r="P895" s="20">
        <f t="shared" si="138"/>
        <v>19</v>
      </c>
      <c r="Q895" s="3" t="s">
        <v>1385</v>
      </c>
      <c r="R895" s="23" t="str">
        <f t="shared" si="139"/>
        <v>Wednesday</v>
      </c>
      <c r="S895" s="3" t="s">
        <v>1385</v>
      </c>
      <c r="T895" s="23" t="s">
        <v>96</v>
      </c>
      <c r="U895" s="3" t="s">
        <v>1385</v>
      </c>
      <c r="AO895" s="15"/>
      <c r="AP895" s="15"/>
      <c r="AQ895" s="15"/>
      <c r="AR895" s="23"/>
      <c r="AS895" s="15"/>
      <c r="AT895" s="15"/>
      <c r="AU895" s="23"/>
      <c r="AV895" s="23"/>
    </row>
    <row r="896" spans="1:48" x14ac:dyDescent="0.25">
      <c r="A896" t="s">
        <v>211</v>
      </c>
      <c r="B896" t="s">
        <v>7</v>
      </c>
      <c r="C896" s="10">
        <v>0</v>
      </c>
      <c r="D896" t="s">
        <v>1013</v>
      </c>
      <c r="E896" s="2">
        <f t="shared" si="141"/>
        <v>46218</v>
      </c>
      <c r="F896" s="3">
        <f t="shared" si="140"/>
        <v>0.81666666666666676</v>
      </c>
      <c r="G896" t="s">
        <v>135</v>
      </c>
      <c r="H896" t="s">
        <v>136</v>
      </c>
      <c r="I896" t="s">
        <v>11</v>
      </c>
      <c r="J896" s="2">
        <v>46218</v>
      </c>
      <c r="K896" s="1">
        <v>0.82638888888888884</v>
      </c>
      <c r="L896" s="10">
        <f t="shared" si="136"/>
        <v>13.99999999999979</v>
      </c>
      <c r="M896" s="1" t="str">
        <f t="shared" si="142"/>
        <v>On Time</v>
      </c>
      <c r="N896" s="27" t="str">
        <f t="shared" si="137"/>
        <v>airBaltic</v>
      </c>
      <c r="O896" s="3" t="s">
        <v>1385</v>
      </c>
      <c r="P896" s="20">
        <f t="shared" si="138"/>
        <v>19</v>
      </c>
      <c r="Q896" s="3" t="s">
        <v>1385</v>
      </c>
      <c r="R896" s="23" t="str">
        <f t="shared" si="139"/>
        <v>Wednesday</v>
      </c>
      <c r="S896" s="3" t="s">
        <v>1385</v>
      </c>
      <c r="T896" s="23" t="s">
        <v>7</v>
      </c>
      <c r="U896" s="3" t="s">
        <v>1385</v>
      </c>
      <c r="AO896" s="15"/>
      <c r="AP896" s="15"/>
      <c r="AQ896" s="15"/>
      <c r="AR896" s="23"/>
      <c r="AS896" s="15"/>
      <c r="AT896" s="15"/>
      <c r="AU896" s="23"/>
      <c r="AV896" s="23"/>
    </row>
    <row r="897" spans="1:48" x14ac:dyDescent="0.25">
      <c r="A897" t="s">
        <v>533</v>
      </c>
      <c r="B897" t="s">
        <v>117</v>
      </c>
      <c r="D897" t="s">
        <v>1014</v>
      </c>
      <c r="E897" s="2">
        <f t="shared" si="141"/>
        <v>46218</v>
      </c>
      <c r="F897" s="3">
        <f t="shared" si="140"/>
        <v>0.83680555555555547</v>
      </c>
      <c r="G897" t="s">
        <v>308</v>
      </c>
      <c r="H897" t="s">
        <v>309</v>
      </c>
      <c r="I897" t="s">
        <v>83</v>
      </c>
      <c r="J897" s="2">
        <v>46218</v>
      </c>
      <c r="K897" s="1">
        <v>0.8305555555555556</v>
      </c>
      <c r="L897" s="10">
        <f t="shared" si="136"/>
        <v>-8.9999999999998082</v>
      </c>
      <c r="M897" s="1" t="str">
        <f t="shared" si="142"/>
        <v>On Time</v>
      </c>
      <c r="N897" s="27" t="str">
        <f t="shared" si="137"/>
        <v>Heston Airlines</v>
      </c>
      <c r="O897" s="3" t="s">
        <v>1385</v>
      </c>
      <c r="P897" s="20">
        <f t="shared" si="138"/>
        <v>20</v>
      </c>
      <c r="Q897" s="3" t="s">
        <v>1385</v>
      </c>
      <c r="R897" s="23" t="str">
        <f t="shared" si="139"/>
        <v>Wednesday</v>
      </c>
      <c r="S897" s="3" t="s">
        <v>1385</v>
      </c>
      <c r="T897" s="23" t="s">
        <v>117</v>
      </c>
      <c r="U897" s="3" t="s">
        <v>1385</v>
      </c>
      <c r="AO897" s="15"/>
      <c r="AP897" s="15"/>
      <c r="AQ897" s="15"/>
      <c r="AR897" s="23"/>
      <c r="AS897" s="15"/>
      <c r="AT897" s="15"/>
      <c r="AU897" s="23"/>
      <c r="AV897" s="23"/>
    </row>
    <row r="898" spans="1:48" x14ac:dyDescent="0.25">
      <c r="A898" t="s">
        <v>536</v>
      </c>
      <c r="B898" t="s">
        <v>239</v>
      </c>
      <c r="D898" t="s">
        <v>1015</v>
      </c>
      <c r="E898" s="2">
        <f t="shared" si="141"/>
        <v>46218</v>
      </c>
      <c r="F898" s="3">
        <f t="shared" si="140"/>
        <v>0.84513888888888899</v>
      </c>
      <c r="G898" t="s">
        <v>222</v>
      </c>
      <c r="H898" t="s">
        <v>223</v>
      </c>
      <c r="I898" t="s">
        <v>83</v>
      </c>
      <c r="J898" s="2">
        <v>46218</v>
      </c>
      <c r="K898" s="1">
        <v>0.85763888888888884</v>
      </c>
      <c r="L898" s="10">
        <f t="shared" ref="L898:L961" si="143">IF(J898&gt;E898,(K898+1-F898)*1440,IF(J898&lt;E898,-(F898+1-K898)*1440,(K898-F898)*1440))</f>
        <v>17.999999999999776</v>
      </c>
      <c r="M898" s="1" t="str">
        <f t="shared" si="142"/>
        <v>On Time</v>
      </c>
      <c r="N898" s="27" t="str">
        <f t="shared" ref="N898:N961" si="144">IF(COUNTIFS($B$2:$B$1553,B898,$M$2:$M$1553,"&lt;&gt;#N/A")&gt;=30,B898,NA())</f>
        <v>Eurowings</v>
      </c>
      <c r="O898" s="3" t="s">
        <v>1385</v>
      </c>
      <c r="P898" s="20">
        <f t="shared" ref="P898:P961" si="145">HOUR(F898)</f>
        <v>20</v>
      </c>
      <c r="Q898" s="3" t="s">
        <v>1385</v>
      </c>
      <c r="R898" s="23" t="str">
        <f t="shared" ref="R898:R961" si="146">TEXT(E898, "dddd")</f>
        <v>Wednesday</v>
      </c>
      <c r="S898" s="3" t="s">
        <v>1385</v>
      </c>
      <c r="T898" s="23" t="s">
        <v>239</v>
      </c>
      <c r="U898" s="3" t="s">
        <v>1385</v>
      </c>
      <c r="AO898" s="15"/>
      <c r="AP898" s="15"/>
      <c r="AQ898" s="15"/>
      <c r="AR898" s="23"/>
      <c r="AS898" s="15"/>
      <c r="AT898" s="15"/>
      <c r="AU898" s="23"/>
      <c r="AV898" s="23"/>
    </row>
    <row r="899" spans="1:48" x14ac:dyDescent="0.25">
      <c r="A899" t="s">
        <v>228</v>
      </c>
      <c r="B899" t="s">
        <v>69</v>
      </c>
      <c r="C899" s="10">
        <v>-16</v>
      </c>
      <c r="D899" t="s">
        <v>1016</v>
      </c>
      <c r="E899" s="2">
        <f t="shared" si="141"/>
        <v>46218</v>
      </c>
      <c r="F899" s="3">
        <f t="shared" ref="F899:F962" si="147">IF(ISNUMBER(SEARCH("Landed", D899)), TIMEVALUE(_xlfn.TEXTAFTER(D899, " ")), NA())</f>
        <v>0.8847222222222223</v>
      </c>
      <c r="G899" t="s">
        <v>71</v>
      </c>
      <c r="H899" t="s">
        <v>72</v>
      </c>
      <c r="I899" t="s">
        <v>73</v>
      </c>
      <c r="J899" s="2">
        <v>46218</v>
      </c>
      <c r="K899" s="1">
        <v>0.88194444444444453</v>
      </c>
      <c r="L899" s="10">
        <f t="shared" si="143"/>
        <v>-3.9999999999999858</v>
      </c>
      <c r="M899" s="1" t="str">
        <f t="shared" si="142"/>
        <v>On Time</v>
      </c>
      <c r="N899" s="27" t="str">
        <f t="shared" si="144"/>
        <v>Finnair</v>
      </c>
      <c r="O899" s="3" t="s">
        <v>1385</v>
      </c>
      <c r="P899" s="20">
        <f t="shared" si="145"/>
        <v>21</v>
      </c>
      <c r="Q899" s="3" t="s">
        <v>1385</v>
      </c>
      <c r="R899" s="23" t="str">
        <f t="shared" si="146"/>
        <v>Wednesday</v>
      </c>
      <c r="S899" s="3" t="s">
        <v>1385</v>
      </c>
      <c r="T899" s="23" t="s">
        <v>69</v>
      </c>
      <c r="U899" s="3" t="s">
        <v>1385</v>
      </c>
      <c r="AO899" s="15"/>
      <c r="AP899" s="15"/>
      <c r="AQ899" s="15"/>
      <c r="AR899" s="23"/>
      <c r="AS899" s="15"/>
      <c r="AT899" s="15"/>
      <c r="AU899" s="23"/>
      <c r="AV899" s="23"/>
    </row>
    <row r="900" spans="1:48" x14ac:dyDescent="0.25">
      <c r="A900" t="s">
        <v>104</v>
      </c>
      <c r="B900" t="s">
        <v>85</v>
      </c>
      <c r="C900" s="10">
        <v>-5</v>
      </c>
      <c r="D900" t="s">
        <v>1017</v>
      </c>
      <c r="E900" s="2">
        <f t="shared" si="141"/>
        <v>46218</v>
      </c>
      <c r="F900" s="3">
        <f t="shared" si="147"/>
        <v>0.87708333333333333</v>
      </c>
      <c r="G900" t="s">
        <v>106</v>
      </c>
      <c r="H900" t="s">
        <v>107</v>
      </c>
      <c r="I900" t="s">
        <v>89</v>
      </c>
      <c r="J900" s="2">
        <v>46218</v>
      </c>
      <c r="K900" s="1">
        <v>0.88541666666666663</v>
      </c>
      <c r="L900" s="10">
        <f t="shared" si="143"/>
        <v>11.999999999999957</v>
      </c>
      <c r="M900" s="1" t="str">
        <f t="shared" si="142"/>
        <v>On Time</v>
      </c>
      <c r="N900" s="27" t="str">
        <f t="shared" si="144"/>
        <v>Ryanair</v>
      </c>
      <c r="O900" s="3" t="s">
        <v>1385</v>
      </c>
      <c r="P900" s="20">
        <f t="shared" si="145"/>
        <v>21</v>
      </c>
      <c r="Q900" s="3" t="s">
        <v>1385</v>
      </c>
      <c r="R900" s="23" t="str">
        <f t="shared" si="146"/>
        <v>Wednesday</v>
      </c>
      <c r="S900" s="3" t="s">
        <v>1385</v>
      </c>
      <c r="T900" s="23" t="s">
        <v>85</v>
      </c>
      <c r="U900" s="3" t="s">
        <v>1385</v>
      </c>
      <c r="AO900" s="15"/>
      <c r="AP900" s="15"/>
      <c r="AQ900" s="15"/>
      <c r="AR900" s="23"/>
      <c r="AS900" s="15"/>
      <c r="AT900" s="15"/>
      <c r="AU900" s="23"/>
      <c r="AV900" s="23"/>
    </row>
    <row r="901" spans="1:48" x14ac:dyDescent="0.25">
      <c r="A901" t="s">
        <v>123</v>
      </c>
      <c r="B901" t="s">
        <v>123</v>
      </c>
      <c r="D901" t="s">
        <v>795</v>
      </c>
      <c r="E901" s="2">
        <f t="shared" si="141"/>
        <v>46218</v>
      </c>
      <c r="F901" s="3">
        <f t="shared" si="147"/>
        <v>0.87569444444444444</v>
      </c>
      <c r="G901" t="s">
        <v>1018</v>
      </c>
      <c r="H901" t="s">
        <v>1019</v>
      </c>
      <c r="I901" t="s">
        <v>1020</v>
      </c>
      <c r="J901" s="2">
        <v>46218</v>
      </c>
      <c r="K901" s="1">
        <v>0.89097222222222217</v>
      </c>
      <c r="L901" s="10">
        <f t="shared" si="143"/>
        <v>21.999999999999922</v>
      </c>
      <c r="M901" s="1" t="str">
        <f t="shared" si="142"/>
        <v>On Time</v>
      </c>
      <c r="N901" s="27" t="e">
        <f t="shared" si="144"/>
        <v>#N/A</v>
      </c>
      <c r="O901" s="3" t="s">
        <v>1385</v>
      </c>
      <c r="P901" s="20">
        <f t="shared" si="145"/>
        <v>21</v>
      </c>
      <c r="Q901" s="3" t="s">
        <v>1385</v>
      </c>
      <c r="R901" s="23" t="str">
        <f t="shared" si="146"/>
        <v>Wednesday</v>
      </c>
      <c r="S901" s="3" t="s">
        <v>1385</v>
      </c>
      <c r="T901" s="23" t="s">
        <v>123</v>
      </c>
      <c r="U901" s="3" t="s">
        <v>1385</v>
      </c>
      <c r="AO901" s="15"/>
      <c r="AP901" s="15"/>
      <c r="AQ901" s="15"/>
      <c r="AR901" s="23"/>
      <c r="AS901" s="15"/>
      <c r="AT901" s="15"/>
      <c r="AU901" s="23"/>
      <c r="AV901" s="23"/>
    </row>
    <row r="902" spans="1:48" x14ac:dyDescent="0.25">
      <c r="A902" t="s">
        <v>540</v>
      </c>
      <c r="B902" t="s">
        <v>13</v>
      </c>
      <c r="C902" s="10" t="e">
        <f>NA()</f>
        <v>#N/A</v>
      </c>
      <c r="D902" t="s">
        <v>1021</v>
      </c>
      <c r="E902" s="2">
        <f t="shared" si="141"/>
        <v>46218</v>
      </c>
      <c r="F902" s="3" t="e">
        <f t="shared" si="147"/>
        <v>#N/A</v>
      </c>
      <c r="G902" t="s">
        <v>481</v>
      </c>
      <c r="H902" t="s">
        <v>482</v>
      </c>
      <c r="I902" t="s">
        <v>17</v>
      </c>
      <c r="J902" s="2">
        <v>46218</v>
      </c>
      <c r="K902" s="1">
        <v>0.89583333333333337</v>
      </c>
      <c r="L902" s="10" t="e">
        <f t="shared" si="143"/>
        <v>#N/A</v>
      </c>
      <c r="M902" s="1" t="e">
        <f t="shared" si="142"/>
        <v>#N/A</v>
      </c>
      <c r="N902" s="27" t="str">
        <f t="shared" si="144"/>
        <v>Wizz Air</v>
      </c>
      <c r="O902" s="3" t="e">
        <v>#N/A</v>
      </c>
      <c r="P902" s="20" t="e">
        <f t="shared" si="145"/>
        <v>#N/A</v>
      </c>
      <c r="Q902" s="3" t="e">
        <v>#N/A</v>
      </c>
      <c r="R902" s="23" t="str">
        <f t="shared" si="146"/>
        <v>Wednesday</v>
      </c>
      <c r="S902" s="3" t="e">
        <v>#N/A</v>
      </c>
      <c r="T902" s="23" t="s">
        <v>13</v>
      </c>
      <c r="AO902" s="15"/>
      <c r="AP902" s="15"/>
      <c r="AQ902" s="15"/>
      <c r="AR902" s="23"/>
      <c r="AS902" s="15"/>
      <c r="AT902" s="15"/>
      <c r="AU902" s="23"/>
      <c r="AV902" s="23"/>
    </row>
    <row r="903" spans="1:48" x14ac:dyDescent="0.25">
      <c r="A903" t="s">
        <v>233</v>
      </c>
      <c r="B903" t="s">
        <v>7</v>
      </c>
      <c r="C903" s="10">
        <v>-36</v>
      </c>
      <c r="D903" t="s">
        <v>1022</v>
      </c>
      <c r="E903" s="2">
        <f t="shared" si="141"/>
        <v>46218</v>
      </c>
      <c r="F903" s="3">
        <f t="shared" si="147"/>
        <v>0.91666666666666663</v>
      </c>
      <c r="G903" t="s">
        <v>76</v>
      </c>
      <c r="H903" t="s">
        <v>77</v>
      </c>
      <c r="I903" t="s">
        <v>11</v>
      </c>
      <c r="J903" s="2">
        <v>46218</v>
      </c>
      <c r="K903" s="1">
        <v>0.90625</v>
      </c>
      <c r="L903" s="10">
        <f t="shared" si="143"/>
        <v>-14.999999999999947</v>
      </c>
      <c r="M903" s="1" t="str">
        <f t="shared" si="142"/>
        <v>On Time</v>
      </c>
      <c r="N903" s="27" t="str">
        <f t="shared" si="144"/>
        <v>airBaltic</v>
      </c>
      <c r="O903" s="3" t="s">
        <v>1385</v>
      </c>
      <c r="P903" s="20">
        <f t="shared" si="145"/>
        <v>22</v>
      </c>
      <c r="Q903" s="3" t="s">
        <v>1385</v>
      </c>
      <c r="R903" s="23" t="str">
        <f t="shared" si="146"/>
        <v>Wednesday</v>
      </c>
      <c r="S903" s="3" t="s">
        <v>1385</v>
      </c>
      <c r="T903" s="23" t="s">
        <v>7</v>
      </c>
      <c r="U903" s="3" t="s">
        <v>1385</v>
      </c>
      <c r="AO903" s="15"/>
      <c r="AP903" s="15"/>
      <c r="AQ903" s="15"/>
      <c r="AR903" s="23"/>
      <c r="AS903" s="15"/>
      <c r="AT903" s="15"/>
      <c r="AU903" s="23"/>
      <c r="AV903" s="23"/>
    </row>
    <row r="904" spans="1:48" x14ac:dyDescent="0.25">
      <c r="A904" t="s">
        <v>519</v>
      </c>
      <c r="B904" t="s">
        <v>85</v>
      </c>
      <c r="C904" s="10">
        <v>-60</v>
      </c>
      <c r="D904" t="s">
        <v>1023</v>
      </c>
      <c r="E904" s="2">
        <f t="shared" si="141"/>
        <v>46218</v>
      </c>
      <c r="F904" s="3">
        <f t="shared" si="147"/>
        <v>0.95138888888888884</v>
      </c>
      <c r="G904" t="s">
        <v>110</v>
      </c>
      <c r="H904" t="s">
        <v>521</v>
      </c>
      <c r="I904" t="s">
        <v>89</v>
      </c>
      <c r="J904" s="2">
        <v>46218</v>
      </c>
      <c r="K904" s="1">
        <v>0.92361111111111116</v>
      </c>
      <c r="L904" s="10">
        <f t="shared" si="143"/>
        <v>-39.999999999999858</v>
      </c>
      <c r="M904" s="1" t="str">
        <f t="shared" si="142"/>
        <v>Delayed</v>
      </c>
      <c r="N904" s="27" t="str">
        <f t="shared" si="144"/>
        <v>Ryanair</v>
      </c>
      <c r="O904" s="3" t="s">
        <v>1318</v>
      </c>
      <c r="P904" s="20">
        <f t="shared" si="145"/>
        <v>22</v>
      </c>
      <c r="Q904" s="3" t="s">
        <v>1318</v>
      </c>
      <c r="R904" s="23" t="str">
        <f t="shared" si="146"/>
        <v>Wednesday</v>
      </c>
      <c r="S904" s="3" t="s">
        <v>1318</v>
      </c>
      <c r="T904" s="23" t="s">
        <v>85</v>
      </c>
      <c r="U904" s="3" t="s">
        <v>1318</v>
      </c>
      <c r="AO904" s="15"/>
      <c r="AP904" s="15"/>
      <c r="AQ904" s="15"/>
      <c r="AR904" s="23"/>
      <c r="AS904" s="15"/>
      <c r="AT904" s="15"/>
      <c r="AU904" s="23"/>
      <c r="AV904" s="23"/>
    </row>
    <row r="905" spans="1:48" x14ac:dyDescent="0.25">
      <c r="A905" t="s">
        <v>219</v>
      </c>
      <c r="B905" t="s">
        <v>7</v>
      </c>
      <c r="C905" s="10">
        <v>-160</v>
      </c>
      <c r="D905" t="s">
        <v>1024</v>
      </c>
      <c r="E905" s="2">
        <f t="shared" si="141"/>
        <v>46218</v>
      </c>
      <c r="F905" s="3" t="e">
        <f t="shared" si="147"/>
        <v>#N/A</v>
      </c>
      <c r="G905" t="s">
        <v>9</v>
      </c>
      <c r="H905" t="s">
        <v>10</v>
      </c>
      <c r="I905" t="s">
        <v>11</v>
      </c>
      <c r="J905" s="2">
        <v>46218</v>
      </c>
      <c r="K905" s="1">
        <v>0.93055555555555547</v>
      </c>
      <c r="L905" s="10">
        <v>-143</v>
      </c>
      <c r="M905" s="1" t="str">
        <f t="shared" si="142"/>
        <v>Delayed</v>
      </c>
      <c r="N905" s="27" t="str">
        <f t="shared" si="144"/>
        <v>airBaltic</v>
      </c>
      <c r="O905" s="3" t="e">
        <v>#N/A</v>
      </c>
      <c r="P905" s="20" t="e">
        <f t="shared" si="145"/>
        <v>#N/A</v>
      </c>
      <c r="Q905" s="3" t="e">
        <v>#N/A</v>
      </c>
      <c r="R905" s="23" t="str">
        <f t="shared" si="146"/>
        <v>Wednesday</v>
      </c>
      <c r="S905" s="3" t="e">
        <v>#N/A</v>
      </c>
      <c r="T905" s="23" t="s">
        <v>7</v>
      </c>
      <c r="AO905" s="15"/>
      <c r="AP905" s="15"/>
      <c r="AQ905" s="15"/>
      <c r="AR905" s="23"/>
      <c r="AS905" s="15"/>
      <c r="AT905" s="15"/>
      <c r="AU905" s="23"/>
      <c r="AV905" s="23"/>
    </row>
    <row r="906" spans="1:48" x14ac:dyDescent="0.25">
      <c r="A906" t="s">
        <v>1025</v>
      </c>
      <c r="B906" t="s">
        <v>585</v>
      </c>
      <c r="C906" s="10">
        <v>-34</v>
      </c>
      <c r="D906" t="s">
        <v>920</v>
      </c>
      <c r="E906" s="2">
        <f t="shared" si="141"/>
        <v>46218</v>
      </c>
      <c r="F906" s="3">
        <f t="shared" si="147"/>
        <v>0.95833333333333337</v>
      </c>
      <c r="G906" t="s">
        <v>71</v>
      </c>
      <c r="H906" t="s">
        <v>72</v>
      </c>
      <c r="I906" t="s">
        <v>586</v>
      </c>
      <c r="J906" s="2">
        <v>46218</v>
      </c>
      <c r="K906" s="1">
        <v>0.94791666666666663</v>
      </c>
      <c r="L906" s="10">
        <f t="shared" si="143"/>
        <v>-15.000000000000107</v>
      </c>
      <c r="M906" s="1" t="str">
        <f t="shared" si="142"/>
        <v>Delayed</v>
      </c>
      <c r="N906" s="27" t="e">
        <f t="shared" si="144"/>
        <v>#N/A</v>
      </c>
      <c r="O906" s="3" t="s">
        <v>1318</v>
      </c>
      <c r="P906" s="20">
        <f t="shared" si="145"/>
        <v>23</v>
      </c>
      <c r="Q906" s="3" t="s">
        <v>1318</v>
      </c>
      <c r="R906" s="23" t="str">
        <f t="shared" si="146"/>
        <v>Wednesday</v>
      </c>
      <c r="S906" s="3" t="s">
        <v>1318</v>
      </c>
      <c r="T906" s="23" t="s">
        <v>585</v>
      </c>
      <c r="U906" s="3" t="s">
        <v>1318</v>
      </c>
      <c r="AO906" s="15"/>
      <c r="AP906" s="15"/>
      <c r="AQ906" s="15"/>
      <c r="AR906" s="23"/>
      <c r="AS906" s="15"/>
      <c r="AT906" s="15"/>
      <c r="AU906" s="23"/>
      <c r="AV906" s="23"/>
    </row>
    <row r="907" spans="1:48" x14ac:dyDescent="0.25">
      <c r="A907" t="s">
        <v>387</v>
      </c>
      <c r="B907" t="s">
        <v>388</v>
      </c>
      <c r="D907" t="s">
        <v>259</v>
      </c>
      <c r="E907" s="2">
        <f t="shared" si="141"/>
        <v>46218</v>
      </c>
      <c r="F907" s="3">
        <f t="shared" si="147"/>
        <v>0.97291666666666676</v>
      </c>
      <c r="G907" t="s">
        <v>119</v>
      </c>
      <c r="H907" t="s">
        <v>120</v>
      </c>
      <c r="I907" t="s">
        <v>390</v>
      </c>
      <c r="J907" s="2">
        <v>46218</v>
      </c>
      <c r="K907" s="1">
        <v>0.96875</v>
      </c>
      <c r="L907" s="10">
        <f t="shared" si="143"/>
        <v>-6.0000000000001386</v>
      </c>
      <c r="M907" s="1" t="str">
        <f t="shared" si="142"/>
        <v>On Time</v>
      </c>
      <c r="N907" s="27" t="e">
        <f t="shared" si="144"/>
        <v>#N/A</v>
      </c>
      <c r="O907" s="3" t="s">
        <v>1385</v>
      </c>
      <c r="P907" s="20">
        <f t="shared" si="145"/>
        <v>23</v>
      </c>
      <c r="Q907" s="3" t="s">
        <v>1385</v>
      </c>
      <c r="R907" s="23" t="str">
        <f t="shared" si="146"/>
        <v>Wednesday</v>
      </c>
      <c r="S907" s="3" t="s">
        <v>1385</v>
      </c>
      <c r="T907" s="23" t="s">
        <v>388</v>
      </c>
      <c r="U907" s="3" t="s">
        <v>1385</v>
      </c>
      <c r="AO907" s="15"/>
      <c r="AP907" s="15"/>
      <c r="AQ907" s="15"/>
      <c r="AR907" s="23"/>
      <c r="AS907" s="15"/>
      <c r="AT907" s="15"/>
      <c r="AU907" s="23"/>
      <c r="AV907" s="23"/>
    </row>
    <row r="908" spans="1:48" x14ac:dyDescent="0.25">
      <c r="A908" t="s">
        <v>258</v>
      </c>
      <c r="B908" t="s">
        <v>190</v>
      </c>
      <c r="C908" s="10">
        <v>-23</v>
      </c>
      <c r="D908" t="s">
        <v>394</v>
      </c>
      <c r="E908" s="2">
        <f t="shared" si="141"/>
        <v>46218</v>
      </c>
      <c r="F908" s="3">
        <f t="shared" si="147"/>
        <v>0.98125000000000007</v>
      </c>
      <c r="G908" t="s">
        <v>110</v>
      </c>
      <c r="H908" t="s">
        <v>111</v>
      </c>
      <c r="I908" t="s">
        <v>67</v>
      </c>
      <c r="J908" s="2">
        <v>46218</v>
      </c>
      <c r="K908" s="1">
        <v>0.98263888888888884</v>
      </c>
      <c r="L908" s="10">
        <f t="shared" si="143"/>
        <v>1.999999999999833</v>
      </c>
      <c r="M908" s="1" t="str">
        <f t="shared" si="142"/>
        <v>On Time</v>
      </c>
      <c r="N908" s="27" t="str">
        <f t="shared" si="144"/>
        <v>Lufthansa</v>
      </c>
      <c r="O908" s="3" t="s">
        <v>1385</v>
      </c>
      <c r="P908" s="20">
        <f t="shared" si="145"/>
        <v>23</v>
      </c>
      <c r="Q908" s="3" t="s">
        <v>1385</v>
      </c>
      <c r="R908" s="23" t="str">
        <f t="shared" si="146"/>
        <v>Wednesday</v>
      </c>
      <c r="S908" s="3" t="s">
        <v>1385</v>
      </c>
      <c r="T908" s="23" t="s">
        <v>190</v>
      </c>
      <c r="U908" s="3" t="s">
        <v>1385</v>
      </c>
      <c r="AO908" s="15"/>
      <c r="AP908" s="15"/>
      <c r="AQ908" s="15"/>
      <c r="AR908" s="23"/>
      <c r="AS908" s="15"/>
      <c r="AT908" s="15"/>
      <c r="AU908" s="23"/>
      <c r="AV908" s="23"/>
    </row>
    <row r="909" spans="1:48" x14ac:dyDescent="0.25">
      <c r="A909" t="s">
        <v>250</v>
      </c>
      <c r="B909" t="s">
        <v>7</v>
      </c>
      <c r="C909" s="10">
        <v>-18</v>
      </c>
      <c r="D909" t="s">
        <v>246</v>
      </c>
      <c r="E909" s="2">
        <f t="shared" ref="E909:E972" si="148">J909</f>
        <v>46218</v>
      </c>
      <c r="F909" s="3">
        <f t="shared" si="147"/>
        <v>0.99930555555555556</v>
      </c>
      <c r="G909" t="s">
        <v>252</v>
      </c>
      <c r="H909" t="s">
        <v>253</v>
      </c>
      <c r="I909" t="s">
        <v>11</v>
      </c>
      <c r="J909" s="2">
        <v>46218</v>
      </c>
      <c r="K909" s="1">
        <v>0.99930555555555556</v>
      </c>
      <c r="L909" s="10">
        <f t="shared" si="143"/>
        <v>0</v>
      </c>
      <c r="M909" s="1" t="str">
        <f t="shared" si="142"/>
        <v>On Time</v>
      </c>
      <c r="N909" s="27" t="str">
        <f t="shared" si="144"/>
        <v>airBaltic</v>
      </c>
      <c r="O909" s="3" t="s">
        <v>1385</v>
      </c>
      <c r="P909" s="20">
        <f t="shared" si="145"/>
        <v>23</v>
      </c>
      <c r="Q909" s="3" t="s">
        <v>1385</v>
      </c>
      <c r="R909" s="23" t="str">
        <f t="shared" si="146"/>
        <v>Wednesday</v>
      </c>
      <c r="S909" s="3" t="s">
        <v>1385</v>
      </c>
      <c r="T909" s="23" t="s">
        <v>7</v>
      </c>
      <c r="U909" s="3" t="s">
        <v>1385</v>
      </c>
      <c r="AO909" s="15"/>
      <c r="AP909" s="15"/>
      <c r="AQ909" s="15"/>
      <c r="AR909" s="23"/>
      <c r="AS909" s="15"/>
      <c r="AT909" s="15"/>
      <c r="AU909" s="23"/>
      <c r="AV909" s="23"/>
    </row>
    <row r="910" spans="1:48" x14ac:dyDescent="0.25">
      <c r="A910" t="s">
        <v>395</v>
      </c>
      <c r="B910" t="s">
        <v>85</v>
      </c>
      <c r="C910" s="10">
        <v>-21</v>
      </c>
      <c r="D910" t="s">
        <v>471</v>
      </c>
      <c r="E910" s="2">
        <f t="shared" si="148"/>
        <v>46218</v>
      </c>
      <c r="F910" s="3">
        <f t="shared" si="147"/>
        <v>0.99722222222222223</v>
      </c>
      <c r="G910" t="s">
        <v>34</v>
      </c>
      <c r="H910" t="s">
        <v>161</v>
      </c>
      <c r="I910" t="s">
        <v>89</v>
      </c>
      <c r="J910" s="2">
        <v>46218</v>
      </c>
      <c r="K910" s="1">
        <v>0.99930555555555556</v>
      </c>
      <c r="L910" s="10">
        <f t="shared" si="143"/>
        <v>2.9999999999999893</v>
      </c>
      <c r="M910" s="1" t="str">
        <f t="shared" si="142"/>
        <v>On Time</v>
      </c>
      <c r="N910" s="27" t="str">
        <f t="shared" si="144"/>
        <v>Ryanair</v>
      </c>
      <c r="O910" s="3" t="s">
        <v>1385</v>
      </c>
      <c r="P910" s="20">
        <f t="shared" si="145"/>
        <v>23</v>
      </c>
      <c r="Q910" s="3" t="s">
        <v>1385</v>
      </c>
      <c r="R910" s="23" t="str">
        <f t="shared" si="146"/>
        <v>Wednesday</v>
      </c>
      <c r="S910" s="3" t="s">
        <v>1385</v>
      </c>
      <c r="T910" s="23" t="s">
        <v>85</v>
      </c>
      <c r="U910" s="3" t="s">
        <v>1385</v>
      </c>
      <c r="AO910" s="15"/>
      <c r="AP910" s="15"/>
      <c r="AQ910" s="15"/>
      <c r="AR910" s="23"/>
      <c r="AS910" s="15"/>
      <c r="AT910" s="15"/>
      <c r="AU910" s="23"/>
      <c r="AV910" s="23"/>
    </row>
    <row r="911" spans="1:48" x14ac:dyDescent="0.25">
      <c r="A911" t="s">
        <v>6</v>
      </c>
      <c r="B911" t="s">
        <v>7</v>
      </c>
      <c r="C911" s="10">
        <v>-59</v>
      </c>
      <c r="D911" t="s">
        <v>752</v>
      </c>
      <c r="E911" s="2">
        <f t="shared" si="148"/>
        <v>46219</v>
      </c>
      <c r="F911" s="3">
        <f t="shared" si="147"/>
        <v>5.0694444444444452E-2</v>
      </c>
      <c r="G911" t="s">
        <v>9</v>
      </c>
      <c r="H911" t="s">
        <v>10</v>
      </c>
      <c r="I911" t="s">
        <v>11</v>
      </c>
      <c r="J911" s="2">
        <v>46219</v>
      </c>
      <c r="K911" s="1">
        <v>2.0833333333333332E-2</v>
      </c>
      <c r="L911" s="10">
        <f t="shared" si="143"/>
        <v>-43.000000000000014</v>
      </c>
      <c r="M911" s="1" t="str">
        <f t="shared" si="142"/>
        <v>Delayed</v>
      </c>
      <c r="N911" s="27" t="str">
        <f t="shared" si="144"/>
        <v>airBaltic</v>
      </c>
      <c r="O911" s="3" t="s">
        <v>1318</v>
      </c>
      <c r="P911" s="20">
        <f t="shared" si="145"/>
        <v>1</v>
      </c>
      <c r="Q911" s="3" t="s">
        <v>1318</v>
      </c>
      <c r="R911" s="23" t="str">
        <f t="shared" si="146"/>
        <v>Thursday</v>
      </c>
      <c r="S911" s="3" t="s">
        <v>1318</v>
      </c>
      <c r="T911" s="23" t="s">
        <v>7</v>
      </c>
      <c r="U911" s="3" t="s">
        <v>1318</v>
      </c>
      <c r="AO911" s="15"/>
      <c r="AP911" s="15"/>
      <c r="AQ911" s="15"/>
      <c r="AR911" s="23"/>
      <c r="AS911" s="15"/>
      <c r="AT911" s="15"/>
      <c r="AU911" s="23"/>
      <c r="AV911" s="23"/>
    </row>
    <row r="912" spans="1:48" x14ac:dyDescent="0.25">
      <c r="A912" t="s">
        <v>12</v>
      </c>
      <c r="B912" t="s">
        <v>13</v>
      </c>
      <c r="C912" s="10">
        <v>-95</v>
      </c>
      <c r="D912" t="s">
        <v>408</v>
      </c>
      <c r="E912" s="2">
        <f t="shared" si="148"/>
        <v>46219</v>
      </c>
      <c r="F912" s="3">
        <f t="shared" si="147"/>
        <v>5.9027777777777783E-2</v>
      </c>
      <c r="G912" t="s">
        <v>15</v>
      </c>
      <c r="H912" t="s">
        <v>16</v>
      </c>
      <c r="I912" t="s">
        <v>17</v>
      </c>
      <c r="J912" s="2">
        <v>46219</v>
      </c>
      <c r="K912" s="1">
        <v>2.0833333333333332E-2</v>
      </c>
      <c r="L912" s="10">
        <f t="shared" si="143"/>
        <v>-55.000000000000007</v>
      </c>
      <c r="M912" s="1" t="str">
        <f t="shared" si="142"/>
        <v>Delayed</v>
      </c>
      <c r="N912" s="27" t="str">
        <f t="shared" si="144"/>
        <v>Wizz Air</v>
      </c>
      <c r="O912" s="3" t="s">
        <v>1318</v>
      </c>
      <c r="P912" s="20">
        <f t="shared" si="145"/>
        <v>1</v>
      </c>
      <c r="Q912" s="3" t="s">
        <v>1318</v>
      </c>
      <c r="R912" s="23" t="str">
        <f t="shared" si="146"/>
        <v>Thursday</v>
      </c>
      <c r="S912" s="3" t="s">
        <v>1318</v>
      </c>
      <c r="T912" s="23" t="s">
        <v>13</v>
      </c>
      <c r="U912" s="3" t="s">
        <v>1318</v>
      </c>
      <c r="AO912" s="15"/>
      <c r="AP912" s="15"/>
      <c r="AQ912" s="15"/>
      <c r="AR912" s="23"/>
      <c r="AS912" s="15"/>
      <c r="AT912" s="15"/>
      <c r="AU912" s="23"/>
      <c r="AV912" s="23"/>
    </row>
    <row r="913" spans="1:48" x14ac:dyDescent="0.25">
      <c r="A913" t="s">
        <v>18</v>
      </c>
      <c r="B913" t="s">
        <v>19</v>
      </c>
      <c r="C913" s="10">
        <v>-99</v>
      </c>
      <c r="D913" t="s">
        <v>1026</v>
      </c>
      <c r="E913" s="2">
        <f t="shared" si="148"/>
        <v>46219</v>
      </c>
      <c r="F913" s="3">
        <f t="shared" si="147"/>
        <v>7.9166666666666663E-2</v>
      </c>
      <c r="G913" t="s">
        <v>21</v>
      </c>
      <c r="H913" t="s">
        <v>22</v>
      </c>
      <c r="I913" t="s">
        <v>23</v>
      </c>
      <c r="J913" s="2">
        <v>46219</v>
      </c>
      <c r="K913" s="1">
        <v>2.7777777777777776E-2</v>
      </c>
      <c r="L913" s="10">
        <f t="shared" si="143"/>
        <v>-74</v>
      </c>
      <c r="M913" s="1" t="str">
        <f t="shared" si="142"/>
        <v>Delayed</v>
      </c>
      <c r="N913" s="27" t="str">
        <f t="shared" si="144"/>
        <v>LOT</v>
      </c>
      <c r="O913" s="3" t="s">
        <v>1318</v>
      </c>
      <c r="P913" s="20">
        <f t="shared" si="145"/>
        <v>1</v>
      </c>
      <c r="Q913" s="3" t="s">
        <v>1318</v>
      </c>
      <c r="R913" s="23" t="str">
        <f t="shared" si="146"/>
        <v>Thursday</v>
      </c>
      <c r="S913" s="3" t="s">
        <v>1318</v>
      </c>
      <c r="T913" s="23" t="s">
        <v>19</v>
      </c>
      <c r="U913" s="3" t="s">
        <v>1318</v>
      </c>
      <c r="AO913" s="15"/>
      <c r="AP913" s="15"/>
      <c r="AQ913" s="15"/>
      <c r="AR913" s="23"/>
      <c r="AS913" s="15"/>
      <c r="AT913" s="15"/>
      <c r="AU913" s="23"/>
      <c r="AV913" s="23"/>
    </row>
    <row r="914" spans="1:48" x14ac:dyDescent="0.25">
      <c r="A914" t="s">
        <v>1027</v>
      </c>
      <c r="B914" t="s">
        <v>7</v>
      </c>
      <c r="C914" s="10">
        <v>-17</v>
      </c>
      <c r="D914" t="s">
        <v>1028</v>
      </c>
      <c r="E914" s="2">
        <f t="shared" si="148"/>
        <v>46219</v>
      </c>
      <c r="F914" s="3">
        <f t="shared" si="147"/>
        <v>2.7083333333333334E-2</v>
      </c>
      <c r="G914" t="s">
        <v>26</v>
      </c>
      <c r="H914" t="s">
        <v>27</v>
      </c>
      <c r="I914" t="s">
        <v>11</v>
      </c>
      <c r="J914" s="2">
        <v>46219</v>
      </c>
      <c r="K914" s="1">
        <v>2.7777777777777776E-2</v>
      </c>
      <c r="L914" s="10">
        <f t="shared" si="143"/>
        <v>0.99999999999999645</v>
      </c>
      <c r="M914" s="1" t="str">
        <f t="shared" si="142"/>
        <v>On Time</v>
      </c>
      <c r="N914" s="27" t="str">
        <f t="shared" si="144"/>
        <v>airBaltic</v>
      </c>
      <c r="O914" s="3" t="s">
        <v>1385</v>
      </c>
      <c r="P914" s="20">
        <f t="shared" si="145"/>
        <v>0</v>
      </c>
      <c r="Q914" s="3" t="s">
        <v>1385</v>
      </c>
      <c r="R914" s="23" t="str">
        <f t="shared" si="146"/>
        <v>Thursday</v>
      </c>
      <c r="S914" s="3" t="s">
        <v>1385</v>
      </c>
      <c r="T914" s="23" t="s">
        <v>7</v>
      </c>
      <c r="U914" s="3" t="s">
        <v>1385</v>
      </c>
      <c r="AO914" s="15"/>
      <c r="AP914" s="15"/>
      <c r="AQ914" s="15"/>
      <c r="AR914" s="23"/>
      <c r="AS914" s="15"/>
      <c r="AT914" s="15"/>
      <c r="AU914" s="23"/>
      <c r="AV914" s="23"/>
    </row>
    <row r="915" spans="1:48" x14ac:dyDescent="0.25">
      <c r="A915" t="s">
        <v>28</v>
      </c>
      <c r="B915" t="s">
        <v>7</v>
      </c>
      <c r="C915" s="10">
        <v>-21</v>
      </c>
      <c r="D915" t="s">
        <v>277</v>
      </c>
      <c r="E915" s="2">
        <f t="shared" si="148"/>
        <v>46219</v>
      </c>
      <c r="F915" s="3">
        <f t="shared" si="147"/>
        <v>2.4999999999999998E-2</v>
      </c>
      <c r="G915" t="s">
        <v>30</v>
      </c>
      <c r="H915" t="s">
        <v>31</v>
      </c>
      <c r="I915" t="s">
        <v>11</v>
      </c>
      <c r="J915" s="2">
        <v>46219</v>
      </c>
      <c r="K915" s="1">
        <v>3.4722222222222224E-2</v>
      </c>
      <c r="L915" s="10">
        <f t="shared" si="143"/>
        <v>14.000000000000005</v>
      </c>
      <c r="M915" s="1" t="str">
        <f t="shared" ref="M915:M978" si="149">IF(L915&gt;=-15, "On Time", "Delayed")</f>
        <v>On Time</v>
      </c>
      <c r="N915" s="27" t="str">
        <f t="shared" si="144"/>
        <v>airBaltic</v>
      </c>
      <c r="O915" s="3" t="s">
        <v>1385</v>
      </c>
      <c r="P915" s="20">
        <f t="shared" si="145"/>
        <v>0</v>
      </c>
      <c r="Q915" s="3" t="s">
        <v>1385</v>
      </c>
      <c r="R915" s="23" t="str">
        <f t="shared" si="146"/>
        <v>Thursday</v>
      </c>
      <c r="S915" s="3" t="s">
        <v>1385</v>
      </c>
      <c r="T915" s="23" t="s">
        <v>7</v>
      </c>
      <c r="U915" s="3" t="s">
        <v>1385</v>
      </c>
      <c r="AO915" s="15"/>
      <c r="AP915" s="15"/>
      <c r="AQ915" s="15"/>
      <c r="AR915" s="23"/>
      <c r="AS915" s="15"/>
      <c r="AT915" s="15"/>
      <c r="AU915" s="23"/>
      <c r="AV915" s="23"/>
    </row>
    <row r="916" spans="1:48" x14ac:dyDescent="0.25">
      <c r="A916" t="s">
        <v>32</v>
      </c>
      <c r="B916" t="s">
        <v>13</v>
      </c>
      <c r="C916" s="10">
        <v>-117</v>
      </c>
      <c r="D916" t="s">
        <v>1029</v>
      </c>
      <c r="E916" s="2">
        <f t="shared" si="148"/>
        <v>46219</v>
      </c>
      <c r="F916" s="3">
        <f t="shared" si="147"/>
        <v>0.11597222222222221</v>
      </c>
      <c r="G916" t="s">
        <v>34</v>
      </c>
      <c r="H916" t="s">
        <v>35</v>
      </c>
      <c r="I916" t="s">
        <v>17</v>
      </c>
      <c r="J916" s="2">
        <v>46219</v>
      </c>
      <c r="K916" s="1">
        <v>5.5555555555555552E-2</v>
      </c>
      <c r="L916" s="10">
        <f t="shared" si="143"/>
        <v>-86.999999999999986</v>
      </c>
      <c r="M916" s="1" t="str">
        <f t="shared" si="149"/>
        <v>Delayed</v>
      </c>
      <c r="N916" s="27" t="str">
        <f t="shared" si="144"/>
        <v>Wizz Air</v>
      </c>
      <c r="O916" s="3" t="s">
        <v>1318</v>
      </c>
      <c r="P916" s="20">
        <f t="shared" si="145"/>
        <v>2</v>
      </c>
      <c r="Q916" s="3" t="s">
        <v>1318</v>
      </c>
      <c r="R916" s="23" t="str">
        <f t="shared" si="146"/>
        <v>Thursday</v>
      </c>
      <c r="S916" s="3" t="s">
        <v>1318</v>
      </c>
      <c r="T916" s="23" t="s">
        <v>13</v>
      </c>
      <c r="U916" s="3" t="s">
        <v>1318</v>
      </c>
      <c r="AO916" s="15"/>
      <c r="AP916" s="15"/>
      <c r="AQ916" s="15"/>
      <c r="AR916" s="23"/>
      <c r="AS916" s="15"/>
      <c r="AT916" s="15"/>
      <c r="AU916" s="23"/>
      <c r="AV916" s="23"/>
    </row>
    <row r="917" spans="1:48" x14ac:dyDescent="0.25">
      <c r="A917" t="s">
        <v>36</v>
      </c>
      <c r="B917" t="s">
        <v>7</v>
      </c>
      <c r="C917" s="10" t="e">
        <f>NA()</f>
        <v>#N/A</v>
      </c>
      <c r="D917" t="s">
        <v>377</v>
      </c>
      <c r="E917" s="2">
        <f t="shared" si="148"/>
        <v>46219</v>
      </c>
      <c r="F917" s="3" t="e">
        <f t="shared" si="147"/>
        <v>#N/A</v>
      </c>
      <c r="G917" t="s">
        <v>38</v>
      </c>
      <c r="H917" t="s">
        <v>39</v>
      </c>
      <c r="I917" t="s">
        <v>11</v>
      </c>
      <c r="J917" s="2">
        <v>46219</v>
      </c>
      <c r="K917" s="1">
        <v>5.9027777777777783E-2</v>
      </c>
      <c r="L917" s="10" t="e">
        <f t="shared" si="143"/>
        <v>#N/A</v>
      </c>
      <c r="M917" s="1" t="e">
        <f t="shared" si="149"/>
        <v>#N/A</v>
      </c>
      <c r="N917" s="27" t="str">
        <f t="shared" si="144"/>
        <v>airBaltic</v>
      </c>
      <c r="O917" s="3" t="e">
        <v>#N/A</v>
      </c>
      <c r="P917" s="20" t="e">
        <f t="shared" si="145"/>
        <v>#N/A</v>
      </c>
      <c r="Q917" s="3" t="e">
        <v>#N/A</v>
      </c>
      <c r="R917" s="23" t="str">
        <f t="shared" si="146"/>
        <v>Thursday</v>
      </c>
      <c r="S917" s="3" t="e">
        <v>#N/A</v>
      </c>
      <c r="T917" s="23" t="s">
        <v>7</v>
      </c>
      <c r="AO917" s="15"/>
      <c r="AP917" s="15"/>
      <c r="AQ917" s="15"/>
      <c r="AR917" s="23"/>
      <c r="AS917" s="15"/>
      <c r="AT917" s="15"/>
      <c r="AU917" s="23"/>
      <c r="AV917" s="23"/>
    </row>
    <row r="918" spans="1:48" x14ac:dyDescent="0.25">
      <c r="A918" t="s">
        <v>40</v>
      </c>
      <c r="B918" t="s">
        <v>41</v>
      </c>
      <c r="C918" s="10">
        <v>-4</v>
      </c>
      <c r="D918" t="s">
        <v>968</v>
      </c>
      <c r="E918" s="2">
        <f t="shared" si="148"/>
        <v>46219</v>
      </c>
      <c r="F918" s="3">
        <f t="shared" si="147"/>
        <v>6.1111111111111116E-2</v>
      </c>
      <c r="G918" t="s">
        <v>43</v>
      </c>
      <c r="H918" t="s">
        <v>44</v>
      </c>
      <c r="I918" t="s">
        <v>158</v>
      </c>
      <c r="J918" s="2">
        <v>46219</v>
      </c>
      <c r="K918" s="1">
        <v>5.9027777777777783E-2</v>
      </c>
      <c r="L918" s="10">
        <f t="shared" si="143"/>
        <v>-2.9999999999999991</v>
      </c>
      <c r="M918" s="1" t="str">
        <f t="shared" si="149"/>
        <v>On Time</v>
      </c>
      <c r="N918" s="27" t="str">
        <f t="shared" si="144"/>
        <v>SAS</v>
      </c>
      <c r="O918" s="3" t="s">
        <v>1385</v>
      </c>
      <c r="P918" s="20">
        <f t="shared" si="145"/>
        <v>1</v>
      </c>
      <c r="Q918" s="3" t="s">
        <v>1385</v>
      </c>
      <c r="R918" s="23" t="str">
        <f t="shared" si="146"/>
        <v>Thursday</v>
      </c>
      <c r="S918" s="3" t="s">
        <v>1385</v>
      </c>
      <c r="T918" s="23" t="s">
        <v>41</v>
      </c>
      <c r="U918" s="3" t="s">
        <v>1385</v>
      </c>
      <c r="AO918" s="15"/>
      <c r="AP918" s="15"/>
      <c r="AQ918" s="15"/>
      <c r="AR918" s="23"/>
      <c r="AS918" s="15"/>
      <c r="AT918" s="15"/>
      <c r="AU918" s="23"/>
      <c r="AV918" s="23"/>
    </row>
    <row r="919" spans="1:48" x14ac:dyDescent="0.25">
      <c r="A919" t="s">
        <v>54</v>
      </c>
      <c r="B919" t="s">
        <v>55</v>
      </c>
      <c r="D919" t="s">
        <v>969</v>
      </c>
      <c r="E919" s="2">
        <f t="shared" si="148"/>
        <v>46219</v>
      </c>
      <c r="F919" s="3">
        <f t="shared" si="147"/>
        <v>0.31597222222222221</v>
      </c>
      <c r="G919" t="s">
        <v>57</v>
      </c>
      <c r="H919" t="s">
        <v>58</v>
      </c>
      <c r="I919" t="s">
        <v>59</v>
      </c>
      <c r="J919" s="2">
        <v>46219</v>
      </c>
      <c r="K919" s="1">
        <v>0.32430555555555557</v>
      </c>
      <c r="L919" s="10">
        <f t="shared" si="143"/>
        <v>12.000000000000037</v>
      </c>
      <c r="M919" s="1" t="str">
        <f t="shared" si="149"/>
        <v>On Time</v>
      </c>
      <c r="N919" s="27" t="e">
        <f t="shared" si="144"/>
        <v>#N/A</v>
      </c>
      <c r="O919" s="3" t="s">
        <v>1385</v>
      </c>
      <c r="P919" s="20">
        <f t="shared" si="145"/>
        <v>7</v>
      </c>
      <c r="Q919" s="3" t="s">
        <v>1385</v>
      </c>
      <c r="R919" s="23" t="str">
        <f t="shared" si="146"/>
        <v>Thursday</v>
      </c>
      <c r="S919" s="3" t="s">
        <v>1385</v>
      </c>
      <c r="T919" s="23" t="s">
        <v>55</v>
      </c>
      <c r="U919" s="3" t="s">
        <v>1385</v>
      </c>
      <c r="AO919" s="15"/>
      <c r="AP919" s="15"/>
      <c r="AQ919" s="15"/>
      <c r="AR919" s="23"/>
      <c r="AS919" s="15"/>
      <c r="AT919" s="15"/>
      <c r="AU919" s="23"/>
      <c r="AV919" s="23"/>
    </row>
    <row r="920" spans="1:48" x14ac:dyDescent="0.25">
      <c r="A920" t="s">
        <v>60</v>
      </c>
      <c r="B920" t="s">
        <v>7</v>
      </c>
      <c r="C920" s="10">
        <v>-5</v>
      </c>
      <c r="D920" t="s">
        <v>1030</v>
      </c>
      <c r="E920" s="2">
        <f t="shared" si="148"/>
        <v>46219</v>
      </c>
      <c r="F920" s="3">
        <f t="shared" si="147"/>
        <v>0.35138888888888892</v>
      </c>
      <c r="G920" t="s">
        <v>9</v>
      </c>
      <c r="H920" t="s">
        <v>10</v>
      </c>
      <c r="I920" t="s">
        <v>11</v>
      </c>
      <c r="J920" s="2">
        <v>46219</v>
      </c>
      <c r="K920" s="1">
        <v>0.3611111111111111</v>
      </c>
      <c r="L920" s="10">
        <f t="shared" si="143"/>
        <v>13.99999999999995</v>
      </c>
      <c r="M920" s="1" t="str">
        <f t="shared" si="149"/>
        <v>On Time</v>
      </c>
      <c r="N920" s="27" t="str">
        <f t="shared" si="144"/>
        <v>airBaltic</v>
      </c>
      <c r="O920" s="3" t="s">
        <v>1385</v>
      </c>
      <c r="P920" s="20">
        <f t="shared" si="145"/>
        <v>8</v>
      </c>
      <c r="Q920" s="3" t="s">
        <v>1385</v>
      </c>
      <c r="R920" s="23" t="str">
        <f t="shared" si="146"/>
        <v>Thursday</v>
      </c>
      <c r="S920" s="3" t="s">
        <v>1385</v>
      </c>
      <c r="T920" s="23" t="s">
        <v>7</v>
      </c>
      <c r="U920" s="3" t="s">
        <v>1385</v>
      </c>
      <c r="AO920" s="15"/>
      <c r="AP920" s="15"/>
      <c r="AQ920" s="15"/>
      <c r="AR920" s="23"/>
      <c r="AS920" s="15"/>
      <c r="AT920" s="15"/>
      <c r="AU920" s="23"/>
      <c r="AV920" s="23"/>
    </row>
    <row r="921" spans="1:48" x14ac:dyDescent="0.25">
      <c r="A921" t="s">
        <v>62</v>
      </c>
      <c r="B921" t="s">
        <v>63</v>
      </c>
      <c r="C921" s="10">
        <v>-8</v>
      </c>
      <c r="D921" t="s">
        <v>698</v>
      </c>
      <c r="E921" s="2">
        <f t="shared" si="148"/>
        <v>46219</v>
      </c>
      <c r="F921" s="3">
        <f t="shared" si="147"/>
        <v>0.37222222222222223</v>
      </c>
      <c r="G921" t="s">
        <v>65</v>
      </c>
      <c r="H921" t="s">
        <v>66</v>
      </c>
      <c r="I921" t="s">
        <v>67</v>
      </c>
      <c r="J921" s="2">
        <v>46219</v>
      </c>
      <c r="K921" s="1">
        <v>0.37847222222222227</v>
      </c>
      <c r="L921" s="10">
        <f t="shared" si="143"/>
        <v>9.000000000000048</v>
      </c>
      <c r="M921" s="1" t="str">
        <f t="shared" si="149"/>
        <v>On Time</v>
      </c>
      <c r="N921" s="27" t="e">
        <f t="shared" si="144"/>
        <v>#N/A</v>
      </c>
      <c r="O921" s="3" t="s">
        <v>1385</v>
      </c>
      <c r="P921" s="20">
        <f t="shared" si="145"/>
        <v>8</v>
      </c>
      <c r="Q921" s="3" t="s">
        <v>1385</v>
      </c>
      <c r="R921" s="23" t="str">
        <f t="shared" si="146"/>
        <v>Thursday</v>
      </c>
      <c r="S921" s="3" t="s">
        <v>1385</v>
      </c>
      <c r="T921" s="23" t="s">
        <v>63</v>
      </c>
      <c r="U921" s="3" t="s">
        <v>1385</v>
      </c>
      <c r="AO921" s="15"/>
      <c r="AP921" s="15"/>
      <c r="AQ921" s="15"/>
      <c r="AR921" s="23"/>
      <c r="AS921" s="15"/>
      <c r="AT921" s="15"/>
      <c r="AU921" s="23"/>
      <c r="AV921" s="23"/>
    </row>
    <row r="922" spans="1:48" x14ac:dyDescent="0.25">
      <c r="A922" t="s">
        <v>68</v>
      </c>
      <c r="B922" t="s">
        <v>69</v>
      </c>
      <c r="C922" s="10">
        <v>0</v>
      </c>
      <c r="D922" t="s">
        <v>297</v>
      </c>
      <c r="E922" s="2">
        <f t="shared" si="148"/>
        <v>46219</v>
      </c>
      <c r="F922" s="3">
        <f t="shared" si="147"/>
        <v>0.37847222222222227</v>
      </c>
      <c r="G922" t="s">
        <v>71</v>
      </c>
      <c r="H922" t="s">
        <v>72</v>
      </c>
      <c r="I922" t="s">
        <v>73</v>
      </c>
      <c r="J922" s="2">
        <v>46219</v>
      </c>
      <c r="K922" s="1">
        <v>0.3888888888888889</v>
      </c>
      <c r="L922" s="10">
        <f t="shared" si="143"/>
        <v>14.999999999999947</v>
      </c>
      <c r="M922" s="1" t="str">
        <f t="shared" si="149"/>
        <v>On Time</v>
      </c>
      <c r="N922" s="27" t="str">
        <f t="shared" si="144"/>
        <v>Finnair</v>
      </c>
      <c r="O922" s="3" t="s">
        <v>1385</v>
      </c>
      <c r="P922" s="20">
        <f t="shared" si="145"/>
        <v>9</v>
      </c>
      <c r="Q922" s="3" t="s">
        <v>1385</v>
      </c>
      <c r="R922" s="23" t="str">
        <f t="shared" si="146"/>
        <v>Thursday</v>
      </c>
      <c r="S922" s="3" t="s">
        <v>1385</v>
      </c>
      <c r="T922" s="23" t="s">
        <v>69</v>
      </c>
      <c r="U922" s="3" t="s">
        <v>1385</v>
      </c>
      <c r="AO922" s="15"/>
      <c r="AP922" s="15"/>
      <c r="AQ922" s="15"/>
      <c r="AR922" s="23"/>
      <c r="AS922" s="15"/>
      <c r="AT922" s="15"/>
      <c r="AU922" s="23"/>
      <c r="AV922" s="23"/>
    </row>
    <row r="923" spans="1:48" x14ac:dyDescent="0.25">
      <c r="A923" t="s">
        <v>74</v>
      </c>
      <c r="B923" t="s">
        <v>13</v>
      </c>
      <c r="C923" s="10">
        <v>8</v>
      </c>
      <c r="D923" t="s">
        <v>570</v>
      </c>
      <c r="E923" s="2">
        <f t="shared" si="148"/>
        <v>46219</v>
      </c>
      <c r="F923" s="3">
        <f t="shared" si="147"/>
        <v>0.36319444444444443</v>
      </c>
      <c r="G923" t="s">
        <v>76</v>
      </c>
      <c r="H923" t="s">
        <v>77</v>
      </c>
      <c r="I923" t="s">
        <v>17</v>
      </c>
      <c r="J923" s="2">
        <v>46219</v>
      </c>
      <c r="K923" s="1">
        <v>0.3888888888888889</v>
      </c>
      <c r="L923" s="10">
        <f t="shared" si="143"/>
        <v>37.000000000000028</v>
      </c>
      <c r="M923" s="1" t="str">
        <f t="shared" si="149"/>
        <v>On Time</v>
      </c>
      <c r="N923" s="27" t="str">
        <f t="shared" si="144"/>
        <v>Wizz Air</v>
      </c>
      <c r="O923" s="3" t="s">
        <v>1385</v>
      </c>
      <c r="P923" s="20">
        <f t="shared" si="145"/>
        <v>8</v>
      </c>
      <c r="Q923" s="3" t="s">
        <v>1385</v>
      </c>
      <c r="R923" s="23" t="str">
        <f t="shared" si="146"/>
        <v>Thursday</v>
      </c>
      <c r="S923" s="3" t="s">
        <v>1385</v>
      </c>
      <c r="T923" s="23" t="s">
        <v>13</v>
      </c>
      <c r="U923" s="3" t="s">
        <v>1385</v>
      </c>
      <c r="AO923" s="15"/>
      <c r="AP923" s="15"/>
      <c r="AQ923" s="15"/>
      <c r="AR923" s="23"/>
      <c r="AS923" s="15"/>
      <c r="AT923" s="15"/>
      <c r="AU923" s="23"/>
      <c r="AV923" s="23"/>
    </row>
    <row r="924" spans="1:48" x14ac:dyDescent="0.25">
      <c r="A924" t="s">
        <v>84</v>
      </c>
      <c r="B924" t="s">
        <v>85</v>
      </c>
      <c r="C924" s="10">
        <v>6</v>
      </c>
      <c r="D924" t="s">
        <v>70</v>
      </c>
      <c r="E924" s="2">
        <f t="shared" si="148"/>
        <v>46219</v>
      </c>
      <c r="F924" s="3">
        <f t="shared" si="147"/>
        <v>0.39027777777777778</v>
      </c>
      <c r="G924" t="s">
        <v>87</v>
      </c>
      <c r="H924" t="s">
        <v>88</v>
      </c>
      <c r="I924" t="s">
        <v>162</v>
      </c>
      <c r="J924" s="2">
        <v>46219</v>
      </c>
      <c r="K924" s="1">
        <v>0.41319444444444442</v>
      </c>
      <c r="L924" s="10">
        <f t="shared" si="143"/>
        <v>32.999999999999964</v>
      </c>
      <c r="M924" s="1" t="str">
        <f t="shared" si="149"/>
        <v>On Time</v>
      </c>
      <c r="N924" s="27" t="str">
        <f t="shared" si="144"/>
        <v>Ryanair</v>
      </c>
      <c r="O924" s="3" t="s">
        <v>1385</v>
      </c>
      <c r="P924" s="20">
        <f t="shared" si="145"/>
        <v>9</v>
      </c>
      <c r="Q924" s="3" t="s">
        <v>1385</v>
      </c>
      <c r="R924" s="23" t="str">
        <f t="shared" si="146"/>
        <v>Thursday</v>
      </c>
      <c r="S924" s="3" t="s">
        <v>1385</v>
      </c>
      <c r="T924" s="23" t="s">
        <v>85</v>
      </c>
      <c r="U924" s="3" t="s">
        <v>1385</v>
      </c>
      <c r="AO924" s="15"/>
      <c r="AP924" s="15"/>
      <c r="AQ924" s="15"/>
      <c r="AR924" s="23"/>
      <c r="AS924" s="15"/>
      <c r="AT924" s="15"/>
      <c r="AU924" s="23"/>
      <c r="AV924" s="23"/>
    </row>
    <row r="925" spans="1:48" x14ac:dyDescent="0.25">
      <c r="A925" t="s">
        <v>90</v>
      </c>
      <c r="B925" t="s">
        <v>19</v>
      </c>
      <c r="C925" s="10">
        <v>-40</v>
      </c>
      <c r="D925" t="s">
        <v>304</v>
      </c>
      <c r="E925" s="2">
        <f t="shared" si="148"/>
        <v>46219</v>
      </c>
      <c r="F925" s="3">
        <f t="shared" si="147"/>
        <v>0.43333333333333335</v>
      </c>
      <c r="G925" t="s">
        <v>21</v>
      </c>
      <c r="H925" t="s">
        <v>22</v>
      </c>
      <c r="I925" t="s">
        <v>295</v>
      </c>
      <c r="J925" s="2">
        <v>46219</v>
      </c>
      <c r="K925" s="1">
        <v>0.4201388888888889</v>
      </c>
      <c r="L925" s="10">
        <f t="shared" si="143"/>
        <v>-19.000000000000014</v>
      </c>
      <c r="M925" s="1" t="str">
        <f t="shared" si="149"/>
        <v>Delayed</v>
      </c>
      <c r="N925" s="27" t="str">
        <f t="shared" si="144"/>
        <v>LOT</v>
      </c>
      <c r="O925" s="3" t="s">
        <v>1318</v>
      </c>
      <c r="P925" s="20">
        <f t="shared" si="145"/>
        <v>10</v>
      </c>
      <c r="Q925" s="3" t="s">
        <v>1318</v>
      </c>
      <c r="R925" s="23" t="str">
        <f t="shared" si="146"/>
        <v>Thursday</v>
      </c>
      <c r="S925" s="3" t="s">
        <v>1318</v>
      </c>
      <c r="T925" s="23" t="s">
        <v>19</v>
      </c>
      <c r="U925" s="3" t="s">
        <v>1318</v>
      </c>
      <c r="AO925" s="15"/>
      <c r="AP925" s="15"/>
      <c r="AQ925" s="15"/>
      <c r="AR925" s="23"/>
      <c r="AS925" s="15"/>
      <c r="AT925" s="15"/>
      <c r="AU925" s="23"/>
      <c r="AV925" s="23"/>
    </row>
    <row r="926" spans="1:48" x14ac:dyDescent="0.25">
      <c r="A926" t="s">
        <v>78</v>
      </c>
      <c r="B926" t="s">
        <v>363</v>
      </c>
      <c r="C926" s="10">
        <v>-30</v>
      </c>
      <c r="D926" t="s">
        <v>1031</v>
      </c>
      <c r="E926" s="2">
        <f t="shared" si="148"/>
        <v>46219</v>
      </c>
      <c r="F926" s="3">
        <f t="shared" si="147"/>
        <v>0.4458333333333333</v>
      </c>
      <c r="G926" t="s">
        <v>81</v>
      </c>
      <c r="H926" t="s">
        <v>82</v>
      </c>
      <c r="I926" t="s">
        <v>83</v>
      </c>
      <c r="J926" s="2">
        <v>46219</v>
      </c>
      <c r="K926" s="1">
        <v>0.43055555555555558</v>
      </c>
      <c r="L926" s="10">
        <f t="shared" si="143"/>
        <v>-21.999999999999922</v>
      </c>
      <c r="M926" s="1" t="str">
        <f t="shared" si="149"/>
        <v>Delayed</v>
      </c>
      <c r="N926" s="27" t="e">
        <f t="shared" si="144"/>
        <v>#N/A</v>
      </c>
      <c r="O926" s="3" t="s">
        <v>1318</v>
      </c>
      <c r="P926" s="20">
        <f t="shared" si="145"/>
        <v>10</v>
      </c>
      <c r="Q926" s="3" t="s">
        <v>1318</v>
      </c>
      <c r="R926" s="23" t="str">
        <f t="shared" si="146"/>
        <v>Thursday</v>
      </c>
      <c r="S926" s="3" t="s">
        <v>1318</v>
      </c>
      <c r="T926" s="23" t="s">
        <v>363</v>
      </c>
      <c r="U926" s="3" t="s">
        <v>1318</v>
      </c>
      <c r="AO926" s="15"/>
      <c r="AP926" s="15"/>
      <c r="AQ926" s="15"/>
      <c r="AR926" s="23"/>
      <c r="AS926" s="15"/>
      <c r="AT926" s="15"/>
      <c r="AU926" s="23"/>
      <c r="AV926" s="23"/>
    </row>
    <row r="927" spans="1:48" x14ac:dyDescent="0.25">
      <c r="A927" t="s">
        <v>93</v>
      </c>
      <c r="B927" t="s">
        <v>7</v>
      </c>
      <c r="C927" s="10">
        <v>2</v>
      </c>
      <c r="D927" t="s">
        <v>97</v>
      </c>
      <c r="E927" s="2">
        <f t="shared" si="148"/>
        <v>46219</v>
      </c>
      <c r="F927" s="3">
        <f t="shared" si="147"/>
        <v>0.43194444444444446</v>
      </c>
      <c r="G927" t="s">
        <v>76</v>
      </c>
      <c r="H927" t="s">
        <v>77</v>
      </c>
      <c r="I927" t="s">
        <v>11</v>
      </c>
      <c r="J927" s="2">
        <v>46219</v>
      </c>
      <c r="K927" s="1">
        <v>0.44791666666666669</v>
      </c>
      <c r="L927" s="10">
        <f t="shared" si="143"/>
        <v>23</v>
      </c>
      <c r="M927" s="1" t="str">
        <f t="shared" si="149"/>
        <v>On Time</v>
      </c>
      <c r="N927" s="27" t="str">
        <f t="shared" si="144"/>
        <v>airBaltic</v>
      </c>
      <c r="O927" s="3" t="s">
        <v>1385</v>
      </c>
      <c r="P927" s="20">
        <f t="shared" si="145"/>
        <v>10</v>
      </c>
      <c r="Q927" s="3" t="s">
        <v>1385</v>
      </c>
      <c r="R927" s="23" t="str">
        <f t="shared" si="146"/>
        <v>Thursday</v>
      </c>
      <c r="S927" s="3" t="s">
        <v>1385</v>
      </c>
      <c r="T927" s="23" t="s">
        <v>7</v>
      </c>
      <c r="U927" s="3" t="s">
        <v>1385</v>
      </c>
      <c r="AO927" s="15"/>
      <c r="AP927" s="15"/>
      <c r="AQ927" s="15"/>
      <c r="AR927" s="23"/>
      <c r="AS927" s="15"/>
      <c r="AT927" s="15"/>
      <c r="AU927" s="23"/>
      <c r="AV927" s="23"/>
    </row>
    <row r="928" spans="1:48" x14ac:dyDescent="0.25">
      <c r="A928" t="s">
        <v>95</v>
      </c>
      <c r="B928" t="s">
        <v>96</v>
      </c>
      <c r="C928" s="10">
        <v>-13</v>
      </c>
      <c r="D928" t="s">
        <v>415</v>
      </c>
      <c r="E928" s="2">
        <f t="shared" si="148"/>
        <v>46219</v>
      </c>
      <c r="F928" s="3">
        <f t="shared" si="147"/>
        <v>0.43541666666666662</v>
      </c>
      <c r="G928" t="s">
        <v>98</v>
      </c>
      <c r="H928" t="s">
        <v>99</v>
      </c>
      <c r="I928" t="s">
        <v>305</v>
      </c>
      <c r="J928" s="2">
        <v>46219</v>
      </c>
      <c r="K928" s="1">
        <v>0.44791666666666669</v>
      </c>
      <c r="L928" s="10">
        <f t="shared" si="143"/>
        <v>18.000000000000096</v>
      </c>
      <c r="M928" s="1" t="str">
        <f t="shared" si="149"/>
        <v>On Time</v>
      </c>
      <c r="N928" s="27" t="str">
        <f t="shared" si="144"/>
        <v>Turkish Airlines</v>
      </c>
      <c r="O928" s="3" t="s">
        <v>1385</v>
      </c>
      <c r="P928" s="20">
        <f t="shared" si="145"/>
        <v>10</v>
      </c>
      <c r="Q928" s="3" t="s">
        <v>1385</v>
      </c>
      <c r="R928" s="23" t="str">
        <f t="shared" si="146"/>
        <v>Thursday</v>
      </c>
      <c r="S928" s="3" t="s">
        <v>1385</v>
      </c>
      <c r="T928" s="23" t="s">
        <v>96</v>
      </c>
      <c r="U928" s="3" t="s">
        <v>1385</v>
      </c>
      <c r="AO928" s="15"/>
      <c r="AP928" s="15"/>
      <c r="AQ928" s="15"/>
      <c r="AR928" s="23"/>
      <c r="AS928" s="15"/>
      <c r="AT928" s="15"/>
      <c r="AU928" s="23"/>
      <c r="AV928" s="23"/>
    </row>
    <row r="929" spans="1:48" x14ac:dyDescent="0.25">
      <c r="A929" t="s">
        <v>100</v>
      </c>
      <c r="B929" t="s">
        <v>85</v>
      </c>
      <c r="C929" s="10">
        <v>-23</v>
      </c>
      <c r="D929" t="s">
        <v>1032</v>
      </c>
      <c r="E929" s="2">
        <f t="shared" si="148"/>
        <v>46219</v>
      </c>
      <c r="F929" s="3">
        <f t="shared" si="147"/>
        <v>0.50486111111111109</v>
      </c>
      <c r="G929" t="s">
        <v>102</v>
      </c>
      <c r="H929" t="s">
        <v>103</v>
      </c>
      <c r="I929" t="s">
        <v>89</v>
      </c>
      <c r="J929" s="2">
        <v>46219</v>
      </c>
      <c r="K929" s="1">
        <v>0.5</v>
      </c>
      <c r="L929" s="10">
        <f t="shared" si="143"/>
        <v>-6.9999999999999751</v>
      </c>
      <c r="M929" s="1" t="str">
        <f t="shared" si="149"/>
        <v>On Time</v>
      </c>
      <c r="N929" s="27" t="str">
        <f t="shared" si="144"/>
        <v>Ryanair</v>
      </c>
      <c r="O929" s="3" t="s">
        <v>1385</v>
      </c>
      <c r="P929" s="20">
        <f t="shared" si="145"/>
        <v>12</v>
      </c>
      <c r="Q929" s="3" t="s">
        <v>1385</v>
      </c>
      <c r="R929" s="23" t="str">
        <f t="shared" si="146"/>
        <v>Thursday</v>
      </c>
      <c r="S929" s="3" t="s">
        <v>1385</v>
      </c>
      <c r="T929" s="23" t="s">
        <v>85</v>
      </c>
      <c r="U929" s="3" t="s">
        <v>1385</v>
      </c>
      <c r="AO929" s="15"/>
      <c r="AP929" s="15"/>
      <c r="AQ929" s="15"/>
      <c r="AR929" s="23"/>
      <c r="AS929" s="15"/>
      <c r="AT929" s="15"/>
      <c r="AU929" s="23"/>
      <c r="AV929" s="23"/>
    </row>
    <row r="930" spans="1:48" x14ac:dyDescent="0.25">
      <c r="A930" t="s">
        <v>104</v>
      </c>
      <c r="B930" t="s">
        <v>85</v>
      </c>
      <c r="C930" s="10">
        <v>0</v>
      </c>
      <c r="D930" t="s">
        <v>1033</v>
      </c>
      <c r="E930" s="2">
        <f t="shared" si="148"/>
        <v>46219</v>
      </c>
      <c r="F930" s="3">
        <f t="shared" si="147"/>
        <v>0.50763888888888886</v>
      </c>
      <c r="G930" t="s">
        <v>106</v>
      </c>
      <c r="H930" t="s">
        <v>107</v>
      </c>
      <c r="I930" t="s">
        <v>89</v>
      </c>
      <c r="J930" s="2">
        <v>46219</v>
      </c>
      <c r="K930" s="1">
        <v>0.52430555555555558</v>
      </c>
      <c r="L930" s="10">
        <f t="shared" si="143"/>
        <v>24.000000000000075</v>
      </c>
      <c r="M930" s="1" t="str">
        <f t="shared" si="149"/>
        <v>On Time</v>
      </c>
      <c r="N930" s="27" t="str">
        <f t="shared" si="144"/>
        <v>Ryanair</v>
      </c>
      <c r="O930" s="3" t="s">
        <v>1385</v>
      </c>
      <c r="P930" s="20">
        <f t="shared" si="145"/>
        <v>12</v>
      </c>
      <c r="Q930" s="3" t="s">
        <v>1385</v>
      </c>
      <c r="R930" s="23" t="str">
        <f t="shared" si="146"/>
        <v>Thursday</v>
      </c>
      <c r="S930" s="3" t="s">
        <v>1385</v>
      </c>
      <c r="T930" s="23" t="s">
        <v>85</v>
      </c>
      <c r="U930" s="3" t="s">
        <v>1385</v>
      </c>
      <c r="AO930" s="15"/>
      <c r="AP930" s="15"/>
      <c r="AQ930" s="15"/>
      <c r="AR930" s="23"/>
      <c r="AS930" s="15"/>
      <c r="AT930" s="15"/>
      <c r="AU930" s="23"/>
      <c r="AV930" s="23"/>
    </row>
    <row r="931" spans="1:48" x14ac:dyDescent="0.25">
      <c r="A931" t="s">
        <v>108</v>
      </c>
      <c r="B931" t="s">
        <v>190</v>
      </c>
      <c r="C931" s="10">
        <v>-19</v>
      </c>
      <c r="D931" t="s">
        <v>860</v>
      </c>
      <c r="E931" s="2">
        <f t="shared" si="148"/>
        <v>46219</v>
      </c>
      <c r="F931" s="3">
        <f t="shared" si="147"/>
        <v>0.52430555555555558</v>
      </c>
      <c r="G931" t="s">
        <v>110</v>
      </c>
      <c r="H931" t="s">
        <v>111</v>
      </c>
      <c r="I931" t="s">
        <v>112</v>
      </c>
      <c r="J931" s="2">
        <v>46219</v>
      </c>
      <c r="K931" s="1">
        <v>0.52777777777777779</v>
      </c>
      <c r="L931" s="10">
        <f t="shared" si="143"/>
        <v>4.9999999999999822</v>
      </c>
      <c r="M931" s="1" t="str">
        <f t="shared" si="149"/>
        <v>On Time</v>
      </c>
      <c r="N931" s="27" t="str">
        <f t="shared" si="144"/>
        <v>Lufthansa</v>
      </c>
      <c r="O931" s="3" t="s">
        <v>1385</v>
      </c>
      <c r="P931" s="20">
        <f t="shared" si="145"/>
        <v>12</v>
      </c>
      <c r="Q931" s="3" t="s">
        <v>1385</v>
      </c>
      <c r="R931" s="23" t="str">
        <f t="shared" si="146"/>
        <v>Thursday</v>
      </c>
      <c r="S931" s="3" t="s">
        <v>1385</v>
      </c>
      <c r="T931" s="23" t="s">
        <v>190</v>
      </c>
      <c r="U931" s="3" t="s">
        <v>1385</v>
      </c>
      <c r="AO931" s="15"/>
      <c r="AP931" s="15"/>
      <c r="AQ931" s="15"/>
      <c r="AR931" s="23"/>
      <c r="AS931" s="15"/>
      <c r="AT931" s="15"/>
      <c r="AU931" s="23"/>
      <c r="AV931" s="23"/>
    </row>
    <row r="932" spans="1:48" x14ac:dyDescent="0.25">
      <c r="A932" t="s">
        <v>113</v>
      </c>
      <c r="B932" t="s">
        <v>13</v>
      </c>
      <c r="C932" s="10">
        <v>-7</v>
      </c>
      <c r="D932" t="s">
        <v>582</v>
      </c>
      <c r="E932" s="2">
        <f t="shared" si="148"/>
        <v>46219</v>
      </c>
      <c r="F932" s="3">
        <f t="shared" si="147"/>
        <v>0.52638888888888891</v>
      </c>
      <c r="G932" t="s">
        <v>102</v>
      </c>
      <c r="H932" t="s">
        <v>115</v>
      </c>
      <c r="I932" t="s">
        <v>17</v>
      </c>
      <c r="J932" s="2">
        <v>46219</v>
      </c>
      <c r="K932" s="1">
        <v>0.53472222222222221</v>
      </c>
      <c r="L932" s="10">
        <f t="shared" si="143"/>
        <v>11.999999999999957</v>
      </c>
      <c r="M932" s="1" t="str">
        <f t="shared" si="149"/>
        <v>On Time</v>
      </c>
      <c r="N932" s="27" t="str">
        <f t="shared" si="144"/>
        <v>Wizz Air</v>
      </c>
      <c r="O932" s="3" t="s">
        <v>1385</v>
      </c>
      <c r="P932" s="20">
        <f t="shared" si="145"/>
        <v>12</v>
      </c>
      <c r="Q932" s="3" t="s">
        <v>1385</v>
      </c>
      <c r="R932" s="23" t="str">
        <f t="shared" si="146"/>
        <v>Thursday</v>
      </c>
      <c r="S932" s="3" t="s">
        <v>1385</v>
      </c>
      <c r="T932" s="23" t="s">
        <v>13</v>
      </c>
      <c r="U932" s="3" t="s">
        <v>1385</v>
      </c>
      <c r="AO932" s="15"/>
      <c r="AP932" s="15"/>
      <c r="AQ932" s="15"/>
      <c r="AR932" s="23"/>
      <c r="AS932" s="15"/>
      <c r="AT932" s="15"/>
      <c r="AU932" s="23"/>
      <c r="AV932" s="23"/>
    </row>
    <row r="933" spans="1:48" x14ac:dyDescent="0.25">
      <c r="A933" t="s">
        <v>121</v>
      </c>
      <c r="B933" t="s">
        <v>69</v>
      </c>
      <c r="C933" s="10">
        <v>-8</v>
      </c>
      <c r="D933" t="s">
        <v>429</v>
      </c>
      <c r="E933" s="2">
        <f t="shared" si="148"/>
        <v>46219</v>
      </c>
      <c r="F933" s="3">
        <f t="shared" si="147"/>
        <v>0.53402777777777777</v>
      </c>
      <c r="G933" t="s">
        <v>71</v>
      </c>
      <c r="H933" t="s">
        <v>72</v>
      </c>
      <c r="I933" t="s">
        <v>73</v>
      </c>
      <c r="J933" s="2">
        <v>46219</v>
      </c>
      <c r="K933" s="1">
        <v>0.54166666666666663</v>
      </c>
      <c r="L933" s="10">
        <f t="shared" si="143"/>
        <v>10.999999999999961</v>
      </c>
      <c r="M933" s="1" t="str">
        <f t="shared" si="149"/>
        <v>On Time</v>
      </c>
      <c r="N933" s="27" t="str">
        <f t="shared" si="144"/>
        <v>Finnair</v>
      </c>
      <c r="O933" s="3" t="s">
        <v>1385</v>
      </c>
      <c r="P933" s="20">
        <f t="shared" si="145"/>
        <v>12</v>
      </c>
      <c r="Q933" s="3" t="s">
        <v>1385</v>
      </c>
      <c r="R933" s="23" t="str">
        <f t="shared" si="146"/>
        <v>Thursday</v>
      </c>
      <c r="S933" s="3" t="s">
        <v>1385</v>
      </c>
      <c r="T933" s="23" t="s">
        <v>69</v>
      </c>
      <c r="U933" s="3" t="s">
        <v>1385</v>
      </c>
      <c r="AO933" s="15"/>
      <c r="AP933" s="15"/>
      <c r="AQ933" s="15"/>
      <c r="AR933" s="23"/>
      <c r="AS933" s="15"/>
      <c r="AT933" s="15"/>
      <c r="AU933" s="23"/>
      <c r="AV933" s="23"/>
    </row>
    <row r="934" spans="1:48" x14ac:dyDescent="0.25">
      <c r="A934" t="s">
        <v>116</v>
      </c>
      <c r="B934" t="s">
        <v>117</v>
      </c>
      <c r="C934" s="10">
        <v>-23</v>
      </c>
      <c r="D934" t="s">
        <v>1004</v>
      </c>
      <c r="E934" s="2">
        <f t="shared" si="148"/>
        <v>46219</v>
      </c>
      <c r="F934" s="3">
        <f t="shared" si="147"/>
        <v>0.54513888888888895</v>
      </c>
      <c r="G934" t="s">
        <v>119</v>
      </c>
      <c r="H934" t="s">
        <v>120</v>
      </c>
      <c r="I934" t="s">
        <v>67</v>
      </c>
      <c r="J934" s="2">
        <v>46219</v>
      </c>
      <c r="K934" s="1">
        <v>0.54791666666666672</v>
      </c>
      <c r="L934" s="10">
        <f t="shared" si="143"/>
        <v>3.9999999999999858</v>
      </c>
      <c r="M934" s="1" t="str">
        <f t="shared" si="149"/>
        <v>On Time</v>
      </c>
      <c r="N934" s="27" t="str">
        <f t="shared" si="144"/>
        <v>Heston Airlines</v>
      </c>
      <c r="O934" s="3" t="s">
        <v>1385</v>
      </c>
      <c r="P934" s="20">
        <f t="shared" si="145"/>
        <v>13</v>
      </c>
      <c r="Q934" s="3" t="s">
        <v>1385</v>
      </c>
      <c r="R934" s="23" t="str">
        <f t="shared" si="146"/>
        <v>Thursday</v>
      </c>
      <c r="S934" s="3" t="s">
        <v>1385</v>
      </c>
      <c r="T934" s="23" t="s">
        <v>117</v>
      </c>
      <c r="U934" s="3" t="s">
        <v>1385</v>
      </c>
      <c r="AO934" s="15"/>
      <c r="AP934" s="15"/>
      <c r="AQ934" s="15"/>
      <c r="AR934" s="23"/>
      <c r="AS934" s="15"/>
      <c r="AT934" s="15"/>
      <c r="AU934" s="23"/>
      <c r="AV934" s="23"/>
    </row>
    <row r="935" spans="1:48" x14ac:dyDescent="0.25">
      <c r="A935" t="s">
        <v>127</v>
      </c>
      <c r="B935" t="s">
        <v>85</v>
      </c>
      <c r="C935" s="10">
        <v>-38</v>
      </c>
      <c r="D935" t="s">
        <v>1034</v>
      </c>
      <c r="E935" s="2">
        <f t="shared" si="148"/>
        <v>46219</v>
      </c>
      <c r="F935" s="3">
        <f t="shared" si="147"/>
        <v>0.56666666666666665</v>
      </c>
      <c r="G935" t="s">
        <v>129</v>
      </c>
      <c r="H935" t="s">
        <v>130</v>
      </c>
      <c r="I935" t="s">
        <v>89</v>
      </c>
      <c r="J935" s="2">
        <v>46219</v>
      </c>
      <c r="K935" s="1">
        <v>0.55555555555555558</v>
      </c>
      <c r="L935" s="10">
        <f t="shared" si="143"/>
        <v>-15.999999999999943</v>
      </c>
      <c r="M935" s="1" t="str">
        <f t="shared" si="149"/>
        <v>Delayed</v>
      </c>
      <c r="N935" s="27" t="str">
        <f t="shared" si="144"/>
        <v>Ryanair</v>
      </c>
      <c r="O935" s="3" t="s">
        <v>1318</v>
      </c>
      <c r="P935" s="20">
        <f t="shared" si="145"/>
        <v>13</v>
      </c>
      <c r="Q935" s="3" t="s">
        <v>1318</v>
      </c>
      <c r="R935" s="23" t="str">
        <f t="shared" si="146"/>
        <v>Thursday</v>
      </c>
      <c r="S935" s="3" t="s">
        <v>1318</v>
      </c>
      <c r="T935" s="23" t="s">
        <v>85</v>
      </c>
      <c r="U935" s="3" t="s">
        <v>1318</v>
      </c>
      <c r="AO935" s="15"/>
      <c r="AP935" s="15"/>
      <c r="AQ935" s="15"/>
      <c r="AR935" s="23"/>
      <c r="AS935" s="15"/>
      <c r="AT935" s="15"/>
      <c r="AU935" s="23"/>
      <c r="AV935" s="23"/>
    </row>
    <row r="936" spans="1:48" x14ac:dyDescent="0.25">
      <c r="A936" t="s">
        <v>131</v>
      </c>
      <c r="B936" t="s">
        <v>7</v>
      </c>
      <c r="C936" s="10">
        <v>-14</v>
      </c>
      <c r="D936" t="s">
        <v>320</v>
      </c>
      <c r="E936" s="2">
        <f t="shared" si="148"/>
        <v>46219</v>
      </c>
      <c r="F936" s="3">
        <f t="shared" si="147"/>
        <v>0.54722222222222217</v>
      </c>
      <c r="G936" t="s">
        <v>38</v>
      </c>
      <c r="H936" t="s">
        <v>39</v>
      </c>
      <c r="I936" t="s">
        <v>11</v>
      </c>
      <c r="J936" s="2">
        <v>46219</v>
      </c>
      <c r="K936" s="1">
        <v>0.55902777777777779</v>
      </c>
      <c r="L936" s="10">
        <f t="shared" si="143"/>
        <v>17.000000000000099</v>
      </c>
      <c r="M936" s="1" t="str">
        <f t="shared" si="149"/>
        <v>On Time</v>
      </c>
      <c r="N936" s="27" t="str">
        <f t="shared" si="144"/>
        <v>airBaltic</v>
      </c>
      <c r="O936" s="3" t="s">
        <v>1385</v>
      </c>
      <c r="P936" s="20">
        <f t="shared" si="145"/>
        <v>13</v>
      </c>
      <c r="Q936" s="3" t="s">
        <v>1385</v>
      </c>
      <c r="R936" s="23" t="str">
        <f t="shared" si="146"/>
        <v>Thursday</v>
      </c>
      <c r="S936" s="3" t="s">
        <v>1385</v>
      </c>
      <c r="T936" s="23" t="s">
        <v>7</v>
      </c>
      <c r="U936" s="3" t="s">
        <v>1385</v>
      </c>
      <c r="AO936" s="15"/>
      <c r="AP936" s="15"/>
      <c r="AQ936" s="15"/>
      <c r="AR936" s="23"/>
      <c r="AS936" s="15"/>
      <c r="AT936" s="15"/>
      <c r="AU936" s="23"/>
      <c r="AV936" s="23"/>
    </row>
    <row r="937" spans="1:48" x14ac:dyDescent="0.25">
      <c r="A937" t="s">
        <v>133</v>
      </c>
      <c r="B937" t="s">
        <v>7</v>
      </c>
      <c r="C937" s="10" t="e">
        <f>NA()</f>
        <v>#N/A</v>
      </c>
      <c r="D937" t="s">
        <v>242</v>
      </c>
      <c r="E937" s="2">
        <f t="shared" si="148"/>
        <v>46219</v>
      </c>
      <c r="F937" s="3" t="e">
        <f t="shared" si="147"/>
        <v>#N/A</v>
      </c>
      <c r="G937" t="s">
        <v>135</v>
      </c>
      <c r="H937" t="s">
        <v>136</v>
      </c>
      <c r="I937" t="s">
        <v>11</v>
      </c>
      <c r="J937" s="2">
        <v>46219</v>
      </c>
      <c r="K937" s="1">
        <v>0.55902777777777779</v>
      </c>
      <c r="L937" s="10" t="e">
        <f t="shared" si="143"/>
        <v>#N/A</v>
      </c>
      <c r="M937" s="1" t="e">
        <f t="shared" si="149"/>
        <v>#N/A</v>
      </c>
      <c r="N937" s="27" t="str">
        <f t="shared" si="144"/>
        <v>airBaltic</v>
      </c>
      <c r="O937" s="3" t="e">
        <v>#N/A</v>
      </c>
      <c r="P937" s="20" t="e">
        <f t="shared" si="145"/>
        <v>#N/A</v>
      </c>
      <c r="Q937" s="3" t="e">
        <v>#N/A</v>
      </c>
      <c r="R937" s="23" t="str">
        <f t="shared" si="146"/>
        <v>Thursday</v>
      </c>
      <c r="S937" s="3" t="e">
        <v>#N/A</v>
      </c>
      <c r="T937" s="23" t="s">
        <v>7</v>
      </c>
      <c r="AO937" s="15"/>
      <c r="AP937" s="15"/>
      <c r="AQ937" s="15"/>
      <c r="AR937" s="23"/>
      <c r="AS937" s="15"/>
      <c r="AT937" s="15"/>
      <c r="AU937" s="23"/>
      <c r="AV937" s="23"/>
    </row>
    <row r="938" spans="1:48" x14ac:dyDescent="0.25">
      <c r="A938" t="s">
        <v>123</v>
      </c>
      <c r="B938" t="s">
        <v>124</v>
      </c>
      <c r="D938" t="s">
        <v>137</v>
      </c>
      <c r="E938" s="2">
        <f t="shared" si="148"/>
        <v>46219</v>
      </c>
      <c r="F938" s="3">
        <f t="shared" si="147"/>
        <v>0.56388888888888888</v>
      </c>
      <c r="G938" t="s">
        <v>119</v>
      </c>
      <c r="H938" t="s">
        <v>120</v>
      </c>
      <c r="I938" t="s">
        <v>126</v>
      </c>
      <c r="J938" s="2">
        <v>46219</v>
      </c>
      <c r="K938" s="1">
        <v>0.56388888888888888</v>
      </c>
      <c r="L938" s="10">
        <f t="shared" si="143"/>
        <v>0</v>
      </c>
      <c r="M938" s="1" t="str">
        <f t="shared" si="149"/>
        <v>On Time</v>
      </c>
      <c r="N938" s="27" t="str">
        <f t="shared" si="144"/>
        <v>GetJet Airlines</v>
      </c>
      <c r="O938" s="3" t="s">
        <v>1385</v>
      </c>
      <c r="P938" s="20">
        <f t="shared" si="145"/>
        <v>13</v>
      </c>
      <c r="Q938" s="3" t="s">
        <v>1385</v>
      </c>
      <c r="R938" s="23" t="str">
        <f t="shared" si="146"/>
        <v>Thursday</v>
      </c>
      <c r="S938" s="3" t="s">
        <v>1385</v>
      </c>
      <c r="T938" s="23" t="s">
        <v>124</v>
      </c>
      <c r="U938" s="3" t="s">
        <v>1385</v>
      </c>
      <c r="AO938" s="15"/>
      <c r="AP938" s="15"/>
      <c r="AQ938" s="15"/>
      <c r="AR938" s="23"/>
      <c r="AS938" s="15"/>
      <c r="AT938" s="15"/>
      <c r="AU938" s="23"/>
      <c r="AV938" s="23"/>
    </row>
    <row r="939" spans="1:48" x14ac:dyDescent="0.25">
      <c r="A939" t="s">
        <v>141</v>
      </c>
      <c r="B939" t="s">
        <v>19</v>
      </c>
      <c r="C939" s="10">
        <v>-50</v>
      </c>
      <c r="D939" t="s">
        <v>1035</v>
      </c>
      <c r="E939" s="2">
        <f t="shared" si="148"/>
        <v>46219</v>
      </c>
      <c r="F939" s="3">
        <f t="shared" si="147"/>
        <v>0.59652777777777777</v>
      </c>
      <c r="G939" t="s">
        <v>21</v>
      </c>
      <c r="H939" t="s">
        <v>22</v>
      </c>
      <c r="I939" t="s">
        <v>295</v>
      </c>
      <c r="J939" s="2">
        <v>46219</v>
      </c>
      <c r="K939" s="1">
        <v>0.57638888888888895</v>
      </c>
      <c r="L939" s="10">
        <f t="shared" si="143"/>
        <v>-28.999999999999897</v>
      </c>
      <c r="M939" s="1" t="str">
        <f t="shared" si="149"/>
        <v>Delayed</v>
      </c>
      <c r="N939" s="27" t="str">
        <f t="shared" si="144"/>
        <v>LOT</v>
      </c>
      <c r="O939" s="3" t="s">
        <v>1318</v>
      </c>
      <c r="P939" s="20">
        <f t="shared" si="145"/>
        <v>14</v>
      </c>
      <c r="Q939" s="3" t="s">
        <v>1318</v>
      </c>
      <c r="R939" s="23" t="str">
        <f t="shared" si="146"/>
        <v>Thursday</v>
      </c>
      <c r="S939" s="3" t="s">
        <v>1318</v>
      </c>
      <c r="T939" s="23" t="s">
        <v>19</v>
      </c>
      <c r="U939" s="3" t="s">
        <v>1318</v>
      </c>
      <c r="AO939" s="15"/>
      <c r="AP939" s="15"/>
      <c r="AQ939" s="15"/>
      <c r="AR939" s="23"/>
      <c r="AS939" s="15"/>
      <c r="AT939" s="15"/>
      <c r="AU939" s="23"/>
      <c r="AV939" s="23"/>
    </row>
    <row r="940" spans="1:48" x14ac:dyDescent="0.25">
      <c r="A940" t="s">
        <v>144</v>
      </c>
      <c r="B940" t="s">
        <v>13</v>
      </c>
      <c r="C940" s="10">
        <v>0</v>
      </c>
      <c r="D940" t="s">
        <v>1036</v>
      </c>
      <c r="E940" s="2">
        <f t="shared" si="148"/>
        <v>46219</v>
      </c>
      <c r="F940" s="3">
        <f t="shared" si="147"/>
        <v>0.58263888888888882</v>
      </c>
      <c r="G940" t="s">
        <v>146</v>
      </c>
      <c r="H940" t="s">
        <v>147</v>
      </c>
      <c r="I940" t="s">
        <v>17</v>
      </c>
      <c r="J940" s="2">
        <v>46219</v>
      </c>
      <c r="K940" s="1">
        <v>0.59027777777777779</v>
      </c>
      <c r="L940" s="10">
        <f t="shared" si="143"/>
        <v>11.000000000000121</v>
      </c>
      <c r="M940" s="1" t="str">
        <f t="shared" si="149"/>
        <v>On Time</v>
      </c>
      <c r="N940" s="27" t="str">
        <f t="shared" si="144"/>
        <v>Wizz Air</v>
      </c>
      <c r="O940" s="3" t="s">
        <v>1385</v>
      </c>
      <c r="P940" s="20">
        <f t="shared" si="145"/>
        <v>13</v>
      </c>
      <c r="Q940" s="3" t="s">
        <v>1385</v>
      </c>
      <c r="R940" s="23" t="str">
        <f t="shared" si="146"/>
        <v>Thursday</v>
      </c>
      <c r="S940" s="3" t="s">
        <v>1385</v>
      </c>
      <c r="T940" s="23" t="s">
        <v>13</v>
      </c>
      <c r="U940" s="3" t="s">
        <v>1385</v>
      </c>
      <c r="AO940" s="15"/>
      <c r="AP940" s="15"/>
      <c r="AQ940" s="15"/>
      <c r="AR940" s="23"/>
      <c r="AS940" s="15"/>
      <c r="AT940" s="15"/>
      <c r="AU940" s="23"/>
      <c r="AV940" s="23"/>
    </row>
    <row r="941" spans="1:48" x14ac:dyDescent="0.25">
      <c r="A941" t="s">
        <v>148</v>
      </c>
      <c r="B941" t="s">
        <v>7</v>
      </c>
      <c r="C941" s="10">
        <v>-15</v>
      </c>
      <c r="D941" t="s">
        <v>1037</v>
      </c>
      <c r="E941" s="2">
        <f t="shared" si="148"/>
        <v>46219</v>
      </c>
      <c r="F941" s="3" t="e">
        <f t="shared" si="147"/>
        <v>#N/A</v>
      </c>
      <c r="G941" t="s">
        <v>9</v>
      </c>
      <c r="H941" t="s">
        <v>10</v>
      </c>
      <c r="I941" t="s">
        <v>11</v>
      </c>
      <c r="J941" s="2">
        <v>46219</v>
      </c>
      <c r="K941" s="1">
        <v>0.60763888888888895</v>
      </c>
      <c r="L941" s="10" t="e">
        <f t="shared" si="143"/>
        <v>#N/A</v>
      </c>
      <c r="M941" s="1" t="e">
        <f t="shared" si="149"/>
        <v>#N/A</v>
      </c>
      <c r="N941" s="27" t="str">
        <f t="shared" si="144"/>
        <v>airBaltic</v>
      </c>
      <c r="O941" s="3" t="e">
        <v>#N/A</v>
      </c>
      <c r="P941" s="20" t="e">
        <f t="shared" si="145"/>
        <v>#N/A</v>
      </c>
      <c r="Q941" s="3" t="e">
        <v>#N/A</v>
      </c>
      <c r="R941" s="23" t="str">
        <f t="shared" si="146"/>
        <v>Thursday</v>
      </c>
      <c r="S941" s="3" t="e">
        <v>#N/A</v>
      </c>
      <c r="T941" s="23" t="s">
        <v>7</v>
      </c>
      <c r="AO941" s="15"/>
      <c r="AP941" s="15"/>
      <c r="AQ941" s="15"/>
      <c r="AR941" s="23"/>
      <c r="AS941" s="15"/>
      <c r="AT941" s="15"/>
      <c r="AU941" s="23"/>
      <c r="AV941" s="23"/>
    </row>
    <row r="942" spans="1:48" x14ac:dyDescent="0.25">
      <c r="A942" t="s">
        <v>123</v>
      </c>
      <c r="B942" t="s">
        <v>940</v>
      </c>
      <c r="D942" t="s">
        <v>1038</v>
      </c>
      <c r="E942" s="2">
        <f t="shared" si="148"/>
        <v>46219</v>
      </c>
      <c r="F942" s="3">
        <f t="shared" si="147"/>
        <v>0.62152777777777779</v>
      </c>
      <c r="G942" t="s">
        <v>263</v>
      </c>
      <c r="H942" t="s">
        <v>782</v>
      </c>
      <c r="I942" t="s">
        <v>944</v>
      </c>
      <c r="J942" s="2">
        <v>46219</v>
      </c>
      <c r="K942" s="1">
        <v>0.61597222222222225</v>
      </c>
      <c r="L942" s="10">
        <f t="shared" si="143"/>
        <v>-7.9999999999999716</v>
      </c>
      <c r="M942" s="1" t="str">
        <f t="shared" si="149"/>
        <v>On Time</v>
      </c>
      <c r="N942" s="27" t="e">
        <f t="shared" si="144"/>
        <v>#N/A</v>
      </c>
      <c r="O942" s="3" t="s">
        <v>1385</v>
      </c>
      <c r="P942" s="20">
        <f t="shared" si="145"/>
        <v>14</v>
      </c>
      <c r="Q942" s="3" t="s">
        <v>1385</v>
      </c>
      <c r="R942" s="23" t="str">
        <f t="shared" si="146"/>
        <v>Thursday</v>
      </c>
      <c r="S942" s="3" t="s">
        <v>1385</v>
      </c>
      <c r="T942" s="23" t="s">
        <v>940</v>
      </c>
      <c r="U942" s="3" t="s">
        <v>1385</v>
      </c>
      <c r="AO942" s="15"/>
      <c r="AP942" s="15"/>
      <c r="AQ942" s="15"/>
      <c r="AR942" s="23"/>
      <c r="AS942" s="15"/>
      <c r="AT942" s="15"/>
      <c r="AU942" s="23"/>
      <c r="AV942" s="23"/>
    </row>
    <row r="943" spans="1:48" x14ac:dyDescent="0.25">
      <c r="A943" t="s">
        <v>150</v>
      </c>
      <c r="B943" t="s">
        <v>151</v>
      </c>
      <c r="C943" s="10">
        <v>-15</v>
      </c>
      <c r="D943" t="s">
        <v>1039</v>
      </c>
      <c r="E943" s="2">
        <f t="shared" si="148"/>
        <v>46219</v>
      </c>
      <c r="F943" s="3">
        <f t="shared" si="147"/>
        <v>0.62569444444444444</v>
      </c>
      <c r="G943" t="s">
        <v>153</v>
      </c>
      <c r="H943" t="s">
        <v>154</v>
      </c>
      <c r="I943" t="s">
        <v>155</v>
      </c>
      <c r="J943" s="2">
        <v>46219</v>
      </c>
      <c r="K943" s="1">
        <v>0.62847222222222221</v>
      </c>
      <c r="L943" s="10">
        <f t="shared" si="143"/>
        <v>3.9999999999999858</v>
      </c>
      <c r="M943" s="1" t="str">
        <f t="shared" si="149"/>
        <v>On Time</v>
      </c>
      <c r="N943" s="27" t="e">
        <f t="shared" si="144"/>
        <v>#N/A</v>
      </c>
      <c r="O943" s="3" t="s">
        <v>1385</v>
      </c>
      <c r="P943" s="20">
        <f t="shared" si="145"/>
        <v>15</v>
      </c>
      <c r="Q943" s="3" t="s">
        <v>1385</v>
      </c>
      <c r="R943" s="23" t="str">
        <f t="shared" si="146"/>
        <v>Thursday</v>
      </c>
      <c r="S943" s="3" t="s">
        <v>1385</v>
      </c>
      <c r="T943" s="23" t="s">
        <v>151</v>
      </c>
      <c r="U943" s="3" t="s">
        <v>1385</v>
      </c>
      <c r="AO943" s="15"/>
      <c r="AP943" s="15"/>
      <c r="AQ943" s="15"/>
      <c r="AR943" s="23"/>
      <c r="AS943" s="15"/>
      <c r="AT943" s="15"/>
      <c r="AU943" s="23"/>
      <c r="AV943" s="23"/>
    </row>
    <row r="944" spans="1:48" x14ac:dyDescent="0.25">
      <c r="A944" t="s">
        <v>156</v>
      </c>
      <c r="B944" t="s">
        <v>41</v>
      </c>
      <c r="C944" s="10">
        <v>-13</v>
      </c>
      <c r="D944" t="s">
        <v>443</v>
      </c>
      <c r="E944" s="2">
        <f t="shared" si="148"/>
        <v>46219</v>
      </c>
      <c r="F944" s="3">
        <f t="shared" si="147"/>
        <v>0.63472222222222219</v>
      </c>
      <c r="G944" t="s">
        <v>43</v>
      </c>
      <c r="H944" t="s">
        <v>44</v>
      </c>
      <c r="I944" t="s">
        <v>158</v>
      </c>
      <c r="J944" s="2">
        <v>46219</v>
      </c>
      <c r="K944" s="1">
        <v>0.63541666666666663</v>
      </c>
      <c r="L944" s="10">
        <f t="shared" si="143"/>
        <v>0.99999999999999645</v>
      </c>
      <c r="M944" s="1" t="str">
        <f t="shared" si="149"/>
        <v>On Time</v>
      </c>
      <c r="N944" s="27" t="str">
        <f t="shared" si="144"/>
        <v>SAS</v>
      </c>
      <c r="O944" s="3" t="s">
        <v>1385</v>
      </c>
      <c r="P944" s="20">
        <f t="shared" si="145"/>
        <v>15</v>
      </c>
      <c r="Q944" s="3" t="s">
        <v>1385</v>
      </c>
      <c r="R944" s="23" t="str">
        <f t="shared" si="146"/>
        <v>Thursday</v>
      </c>
      <c r="S944" s="3" t="s">
        <v>1385</v>
      </c>
      <c r="T944" s="23" t="s">
        <v>41</v>
      </c>
      <c r="U944" s="3" t="s">
        <v>1385</v>
      </c>
      <c r="AO944" s="15"/>
      <c r="AP944" s="15"/>
      <c r="AQ944" s="15"/>
      <c r="AR944" s="23"/>
      <c r="AS944" s="15"/>
      <c r="AT944" s="15"/>
      <c r="AU944" s="23"/>
      <c r="AV944" s="23"/>
    </row>
    <row r="945" spans="1:48" x14ac:dyDescent="0.25">
      <c r="A945" t="s">
        <v>159</v>
      </c>
      <c r="B945" t="s">
        <v>85</v>
      </c>
      <c r="C945" s="10">
        <v>-50</v>
      </c>
      <c r="D945" t="s">
        <v>1040</v>
      </c>
      <c r="E945" s="2">
        <f t="shared" si="148"/>
        <v>46219</v>
      </c>
      <c r="F945" s="3">
        <f t="shared" si="147"/>
        <v>0.66527777777777775</v>
      </c>
      <c r="G945" t="s">
        <v>34</v>
      </c>
      <c r="H945" t="s">
        <v>161</v>
      </c>
      <c r="I945" t="s">
        <v>89</v>
      </c>
      <c r="J945" s="2">
        <v>46219</v>
      </c>
      <c r="K945" s="1">
        <v>0.64583333333333337</v>
      </c>
      <c r="L945" s="10">
        <f t="shared" si="143"/>
        <v>-27.999999999999901</v>
      </c>
      <c r="M945" s="1" t="str">
        <f t="shared" si="149"/>
        <v>Delayed</v>
      </c>
      <c r="N945" s="27" t="str">
        <f t="shared" si="144"/>
        <v>Ryanair</v>
      </c>
      <c r="O945" s="3" t="s">
        <v>1318</v>
      </c>
      <c r="P945" s="20">
        <f t="shared" si="145"/>
        <v>15</v>
      </c>
      <c r="Q945" s="3" t="s">
        <v>1318</v>
      </c>
      <c r="R945" s="23" t="str">
        <f t="shared" si="146"/>
        <v>Thursday</v>
      </c>
      <c r="S945" s="3" t="s">
        <v>1318</v>
      </c>
      <c r="T945" s="23" t="s">
        <v>85</v>
      </c>
      <c r="U945" s="3" t="s">
        <v>1318</v>
      </c>
      <c r="AO945" s="15"/>
      <c r="AP945" s="15"/>
      <c r="AQ945" s="15"/>
      <c r="AR945" s="23"/>
      <c r="AS945" s="15"/>
      <c r="AT945" s="15"/>
      <c r="AU945" s="23"/>
      <c r="AV945" s="23"/>
    </row>
    <row r="946" spans="1:48" x14ac:dyDescent="0.25">
      <c r="A946" t="s">
        <v>163</v>
      </c>
      <c r="B946" t="s">
        <v>13</v>
      </c>
      <c r="C946" s="10">
        <v>-17</v>
      </c>
      <c r="D946" t="s">
        <v>164</v>
      </c>
      <c r="E946" s="2">
        <f t="shared" si="148"/>
        <v>46219</v>
      </c>
      <c r="F946" s="3">
        <f t="shared" si="147"/>
        <v>0.64166666666666672</v>
      </c>
      <c r="G946" t="s">
        <v>165</v>
      </c>
      <c r="H946" t="s">
        <v>166</v>
      </c>
      <c r="I946" t="s">
        <v>17</v>
      </c>
      <c r="J946" s="2">
        <v>46219</v>
      </c>
      <c r="K946" s="1">
        <v>0.64583333333333337</v>
      </c>
      <c r="L946" s="10">
        <f t="shared" si="143"/>
        <v>5.9999999999999787</v>
      </c>
      <c r="M946" s="1" t="str">
        <f t="shared" si="149"/>
        <v>On Time</v>
      </c>
      <c r="N946" s="27" t="str">
        <f t="shared" si="144"/>
        <v>Wizz Air</v>
      </c>
      <c r="O946" s="3" t="s">
        <v>1385</v>
      </c>
      <c r="P946" s="20">
        <f t="shared" si="145"/>
        <v>15</v>
      </c>
      <c r="Q946" s="3" t="s">
        <v>1385</v>
      </c>
      <c r="R946" s="23" t="str">
        <f t="shared" si="146"/>
        <v>Thursday</v>
      </c>
      <c r="S946" s="3" t="s">
        <v>1385</v>
      </c>
      <c r="T946" s="23" t="s">
        <v>13</v>
      </c>
      <c r="U946" s="3" t="s">
        <v>1385</v>
      </c>
      <c r="AO946" s="15"/>
      <c r="AP946" s="15"/>
      <c r="AQ946" s="15"/>
      <c r="AR946" s="23"/>
      <c r="AS946" s="15"/>
      <c r="AT946" s="15"/>
      <c r="AU946" s="23"/>
      <c r="AV946" s="23"/>
    </row>
    <row r="947" spans="1:48" x14ac:dyDescent="0.25">
      <c r="A947" t="s">
        <v>167</v>
      </c>
      <c r="B947" t="s">
        <v>7</v>
      </c>
      <c r="C947" s="10">
        <v>-6</v>
      </c>
      <c r="D947" t="s">
        <v>1041</v>
      </c>
      <c r="E947" s="2">
        <f t="shared" si="148"/>
        <v>46219</v>
      </c>
      <c r="F947" s="3">
        <f t="shared" si="147"/>
        <v>0.65833333333333333</v>
      </c>
      <c r="G947" t="s">
        <v>169</v>
      </c>
      <c r="H947" t="s">
        <v>170</v>
      </c>
      <c r="I947" t="s">
        <v>11</v>
      </c>
      <c r="J947" s="2">
        <v>46219</v>
      </c>
      <c r="K947" s="1">
        <v>0.66666666666666663</v>
      </c>
      <c r="L947" s="10">
        <f t="shared" si="143"/>
        <v>11.999999999999957</v>
      </c>
      <c r="M947" s="1" t="str">
        <f t="shared" si="149"/>
        <v>On Time</v>
      </c>
      <c r="N947" s="27" t="str">
        <f t="shared" si="144"/>
        <v>airBaltic</v>
      </c>
      <c r="O947" s="3" t="s">
        <v>1385</v>
      </c>
      <c r="P947" s="20">
        <f t="shared" si="145"/>
        <v>15</v>
      </c>
      <c r="Q947" s="3" t="s">
        <v>1385</v>
      </c>
      <c r="R947" s="23" t="str">
        <f t="shared" si="146"/>
        <v>Thursday</v>
      </c>
      <c r="S947" s="3" t="s">
        <v>1385</v>
      </c>
      <c r="T947" s="23" t="s">
        <v>7</v>
      </c>
      <c r="U947" s="3" t="s">
        <v>1385</v>
      </c>
      <c r="AO947" s="15"/>
      <c r="AP947" s="15"/>
      <c r="AQ947" s="15"/>
      <c r="AR947" s="23"/>
      <c r="AS947" s="15"/>
      <c r="AT947" s="15"/>
      <c r="AU947" s="23"/>
      <c r="AV947" s="23"/>
    </row>
    <row r="948" spans="1:48" x14ac:dyDescent="0.25">
      <c r="A948" t="s">
        <v>123</v>
      </c>
      <c r="B948" t="s">
        <v>13</v>
      </c>
      <c r="D948" t="s">
        <v>1042</v>
      </c>
      <c r="E948" s="2">
        <f t="shared" si="148"/>
        <v>46219</v>
      </c>
      <c r="F948" s="3">
        <f t="shared" si="147"/>
        <v>0.72569444444444453</v>
      </c>
      <c r="G948" t="s">
        <v>1043</v>
      </c>
      <c r="H948" t="s">
        <v>1044</v>
      </c>
      <c r="I948" t="s">
        <v>17</v>
      </c>
      <c r="J948" s="2">
        <v>46219</v>
      </c>
      <c r="K948" s="1">
        <v>0.67361111111111116</v>
      </c>
      <c r="L948" s="10">
        <f t="shared" si="143"/>
        <v>-75.000000000000057</v>
      </c>
      <c r="M948" s="1" t="str">
        <f t="shared" si="149"/>
        <v>Delayed</v>
      </c>
      <c r="N948" s="27" t="str">
        <f t="shared" si="144"/>
        <v>Wizz Air</v>
      </c>
      <c r="O948" s="3" t="s">
        <v>1318</v>
      </c>
      <c r="P948" s="20">
        <f t="shared" si="145"/>
        <v>17</v>
      </c>
      <c r="Q948" s="3" t="s">
        <v>1318</v>
      </c>
      <c r="R948" s="23" t="str">
        <f t="shared" si="146"/>
        <v>Thursday</v>
      </c>
      <c r="S948" s="3" t="s">
        <v>1318</v>
      </c>
      <c r="T948" s="23" t="s">
        <v>13</v>
      </c>
      <c r="U948" s="3" t="s">
        <v>1318</v>
      </c>
      <c r="AO948" s="15"/>
      <c r="AP948" s="15"/>
      <c r="AQ948" s="15"/>
      <c r="AR948" s="23"/>
      <c r="AS948" s="15"/>
      <c r="AT948" s="15"/>
      <c r="AU948" s="23"/>
      <c r="AV948" s="23"/>
    </row>
    <row r="949" spans="1:48" x14ac:dyDescent="0.25">
      <c r="A949" t="s">
        <v>175</v>
      </c>
      <c r="B949" t="s">
        <v>19</v>
      </c>
      <c r="C949" s="10">
        <v>-23</v>
      </c>
      <c r="D949" t="s">
        <v>1045</v>
      </c>
      <c r="E949" s="2">
        <f t="shared" si="148"/>
        <v>46219</v>
      </c>
      <c r="F949" s="3">
        <f t="shared" si="147"/>
        <v>0.68125000000000002</v>
      </c>
      <c r="G949" t="s">
        <v>21</v>
      </c>
      <c r="H949" t="s">
        <v>22</v>
      </c>
      <c r="I949" t="s">
        <v>237</v>
      </c>
      <c r="J949" s="2">
        <v>46219</v>
      </c>
      <c r="K949" s="1">
        <v>0.68055555555555547</v>
      </c>
      <c r="L949" s="10">
        <f t="shared" si="143"/>
        <v>-1.0000000000001563</v>
      </c>
      <c r="M949" s="1" t="str">
        <f t="shared" si="149"/>
        <v>On Time</v>
      </c>
      <c r="N949" s="27" t="str">
        <f t="shared" si="144"/>
        <v>LOT</v>
      </c>
      <c r="O949" s="3" t="s">
        <v>1385</v>
      </c>
      <c r="P949" s="20">
        <f t="shared" si="145"/>
        <v>16</v>
      </c>
      <c r="Q949" s="3" t="s">
        <v>1385</v>
      </c>
      <c r="R949" s="23" t="str">
        <f t="shared" si="146"/>
        <v>Thursday</v>
      </c>
      <c r="S949" s="3" t="s">
        <v>1385</v>
      </c>
      <c r="T949" s="23" t="s">
        <v>19</v>
      </c>
      <c r="U949" s="3" t="s">
        <v>1385</v>
      </c>
      <c r="AO949" s="15"/>
      <c r="AP949" s="15"/>
      <c r="AQ949" s="15"/>
      <c r="AR949" s="23"/>
      <c r="AS949" s="15"/>
      <c r="AT949" s="15"/>
      <c r="AU949" s="23"/>
      <c r="AV949" s="23"/>
    </row>
    <row r="950" spans="1:48" x14ac:dyDescent="0.25">
      <c r="A950" t="s">
        <v>178</v>
      </c>
      <c r="B950" t="s">
        <v>85</v>
      </c>
      <c r="C950" s="10">
        <v>-6</v>
      </c>
      <c r="D950" t="s">
        <v>785</v>
      </c>
      <c r="E950" s="2">
        <f t="shared" si="148"/>
        <v>46219</v>
      </c>
      <c r="F950" s="3">
        <f t="shared" si="147"/>
        <v>0.70000000000000007</v>
      </c>
      <c r="G950" t="s">
        <v>180</v>
      </c>
      <c r="H950" t="s">
        <v>181</v>
      </c>
      <c r="I950" t="s">
        <v>89</v>
      </c>
      <c r="J950" s="2">
        <v>46219</v>
      </c>
      <c r="K950" s="1">
        <v>0.71180555555555547</v>
      </c>
      <c r="L950" s="10">
        <f t="shared" si="143"/>
        <v>16.99999999999978</v>
      </c>
      <c r="M950" s="1" t="str">
        <f t="shared" si="149"/>
        <v>On Time</v>
      </c>
      <c r="N950" s="27" t="str">
        <f t="shared" si="144"/>
        <v>Ryanair</v>
      </c>
      <c r="O950" s="3" t="s">
        <v>1385</v>
      </c>
      <c r="P950" s="20">
        <f t="shared" si="145"/>
        <v>16</v>
      </c>
      <c r="Q950" s="3" t="s">
        <v>1385</v>
      </c>
      <c r="R950" s="23" t="str">
        <f t="shared" si="146"/>
        <v>Thursday</v>
      </c>
      <c r="S950" s="3" t="s">
        <v>1385</v>
      </c>
      <c r="T950" s="23" t="s">
        <v>85</v>
      </c>
      <c r="U950" s="3" t="s">
        <v>1385</v>
      </c>
      <c r="AO950" s="15"/>
      <c r="AP950" s="15"/>
      <c r="AQ950" s="15"/>
      <c r="AR950" s="23"/>
      <c r="AS950" s="15"/>
      <c r="AT950" s="15"/>
      <c r="AU950" s="23"/>
      <c r="AV950" s="23"/>
    </row>
    <row r="951" spans="1:48" x14ac:dyDescent="0.25">
      <c r="A951" t="s">
        <v>182</v>
      </c>
      <c r="B951" t="s">
        <v>69</v>
      </c>
      <c r="C951" s="10">
        <v>-27</v>
      </c>
      <c r="D951" t="s">
        <v>362</v>
      </c>
      <c r="E951" s="2">
        <f t="shared" si="148"/>
        <v>46219</v>
      </c>
      <c r="F951" s="3">
        <f t="shared" si="147"/>
        <v>0.75486111111111109</v>
      </c>
      <c r="G951" t="s">
        <v>71</v>
      </c>
      <c r="H951" t="s">
        <v>72</v>
      </c>
      <c r="I951" t="s">
        <v>73</v>
      </c>
      <c r="J951" s="2">
        <v>46219</v>
      </c>
      <c r="K951" s="1">
        <v>0.74652777777777779</v>
      </c>
      <c r="L951" s="10">
        <f t="shared" si="143"/>
        <v>-11.999999999999957</v>
      </c>
      <c r="M951" s="1" t="str">
        <f t="shared" si="149"/>
        <v>On Time</v>
      </c>
      <c r="N951" s="27" t="str">
        <f t="shared" si="144"/>
        <v>Finnair</v>
      </c>
      <c r="O951" s="3" t="s">
        <v>1385</v>
      </c>
      <c r="P951" s="20">
        <f t="shared" si="145"/>
        <v>18</v>
      </c>
      <c r="Q951" s="3" t="s">
        <v>1385</v>
      </c>
      <c r="R951" s="23" t="str">
        <f t="shared" si="146"/>
        <v>Thursday</v>
      </c>
      <c r="S951" s="3" t="s">
        <v>1385</v>
      </c>
      <c r="T951" s="23" t="s">
        <v>69</v>
      </c>
      <c r="U951" s="3" t="s">
        <v>1385</v>
      </c>
      <c r="AO951" s="15"/>
      <c r="AP951" s="15"/>
      <c r="AQ951" s="15"/>
      <c r="AR951" s="23"/>
      <c r="AS951" s="15"/>
      <c r="AT951" s="15"/>
      <c r="AU951" s="23"/>
      <c r="AV951" s="23"/>
    </row>
    <row r="952" spans="1:48" x14ac:dyDescent="0.25">
      <c r="A952" t="s">
        <v>184</v>
      </c>
      <c r="B952" t="s">
        <v>85</v>
      </c>
      <c r="C952" s="10">
        <v>-7</v>
      </c>
      <c r="D952" t="s">
        <v>724</v>
      </c>
      <c r="E952" s="2">
        <f t="shared" si="148"/>
        <v>46219</v>
      </c>
      <c r="F952" s="3">
        <f t="shared" si="147"/>
        <v>0.76180555555555562</v>
      </c>
      <c r="G952" t="s">
        <v>153</v>
      </c>
      <c r="H952" t="s">
        <v>154</v>
      </c>
      <c r="I952" t="s">
        <v>89</v>
      </c>
      <c r="J952" s="2">
        <v>46219</v>
      </c>
      <c r="K952" s="1">
        <v>0.77083333333333337</v>
      </c>
      <c r="L952" s="10">
        <f t="shared" si="143"/>
        <v>12.999999999999954</v>
      </c>
      <c r="M952" s="1" t="str">
        <f t="shared" si="149"/>
        <v>On Time</v>
      </c>
      <c r="N952" s="27" t="str">
        <f t="shared" si="144"/>
        <v>Ryanair</v>
      </c>
      <c r="O952" s="3" t="s">
        <v>1385</v>
      </c>
      <c r="P952" s="20">
        <f t="shared" si="145"/>
        <v>18</v>
      </c>
      <c r="Q952" s="3" t="s">
        <v>1385</v>
      </c>
      <c r="R952" s="23" t="str">
        <f t="shared" si="146"/>
        <v>Thursday</v>
      </c>
      <c r="S952" s="3" t="s">
        <v>1385</v>
      </c>
      <c r="T952" s="23" t="s">
        <v>85</v>
      </c>
      <c r="U952" s="3" t="s">
        <v>1385</v>
      </c>
      <c r="AO952" s="15"/>
      <c r="AP952" s="15"/>
      <c r="AQ952" s="15"/>
      <c r="AR952" s="23"/>
      <c r="AS952" s="15"/>
      <c r="AT952" s="15"/>
      <c r="AU952" s="23"/>
      <c r="AV952" s="23"/>
    </row>
    <row r="953" spans="1:48" x14ac:dyDescent="0.25">
      <c r="A953" t="s">
        <v>186</v>
      </c>
      <c r="B953" t="s">
        <v>19</v>
      </c>
      <c r="C953" s="10">
        <v>41</v>
      </c>
      <c r="D953" t="s">
        <v>1046</v>
      </c>
      <c r="E953" s="2">
        <f t="shared" si="148"/>
        <v>46219</v>
      </c>
      <c r="F953" s="3">
        <f t="shared" si="147"/>
        <v>0.79236111111111107</v>
      </c>
      <c r="G953" t="s">
        <v>21</v>
      </c>
      <c r="H953" t="s">
        <v>22</v>
      </c>
      <c r="I953" t="s">
        <v>276</v>
      </c>
      <c r="J953" s="2">
        <v>46219</v>
      </c>
      <c r="K953" s="1">
        <v>0.77430555555555547</v>
      </c>
      <c r="L953" s="10">
        <f t="shared" si="143"/>
        <v>-26.000000000000068</v>
      </c>
      <c r="M953" s="1" t="str">
        <f t="shared" si="149"/>
        <v>Delayed</v>
      </c>
      <c r="N953" s="27" t="str">
        <f t="shared" si="144"/>
        <v>LOT</v>
      </c>
      <c r="O953" s="3" t="s">
        <v>1318</v>
      </c>
      <c r="P953" s="20">
        <f t="shared" si="145"/>
        <v>19</v>
      </c>
      <c r="Q953" s="3" t="s">
        <v>1318</v>
      </c>
      <c r="R953" s="23" t="str">
        <f t="shared" si="146"/>
        <v>Thursday</v>
      </c>
      <c r="S953" s="3" t="s">
        <v>1318</v>
      </c>
      <c r="T953" s="23" t="s">
        <v>19</v>
      </c>
      <c r="U953" s="3" t="s">
        <v>1318</v>
      </c>
      <c r="AO953" s="15"/>
      <c r="AP953" s="15"/>
      <c r="AQ953" s="15"/>
      <c r="AR953" s="23"/>
      <c r="AS953" s="15"/>
      <c r="AT953" s="15"/>
      <c r="AU953" s="23"/>
      <c r="AV953" s="23"/>
    </row>
    <row r="954" spans="1:48" x14ac:dyDescent="0.25">
      <c r="A954" t="s">
        <v>189</v>
      </c>
      <c r="B954" t="s">
        <v>190</v>
      </c>
      <c r="C954" s="10">
        <v>-39</v>
      </c>
      <c r="D954" t="s">
        <v>1047</v>
      </c>
      <c r="E954" s="2">
        <f t="shared" si="148"/>
        <v>46219</v>
      </c>
      <c r="F954" s="3">
        <f t="shared" si="147"/>
        <v>0.7944444444444444</v>
      </c>
      <c r="G954" t="s">
        <v>110</v>
      </c>
      <c r="H954" t="s">
        <v>111</v>
      </c>
      <c r="I954" t="s">
        <v>725</v>
      </c>
      <c r="J954" s="2">
        <v>46219</v>
      </c>
      <c r="K954" s="1">
        <v>0.78472222222222221</v>
      </c>
      <c r="L954" s="10">
        <f t="shared" si="143"/>
        <v>-13.99999999999995</v>
      </c>
      <c r="M954" s="1" t="str">
        <f t="shared" si="149"/>
        <v>On Time</v>
      </c>
      <c r="N954" s="27" t="str">
        <f t="shared" si="144"/>
        <v>Lufthansa</v>
      </c>
      <c r="O954" s="3" t="s">
        <v>1385</v>
      </c>
      <c r="P954" s="20">
        <f t="shared" si="145"/>
        <v>19</v>
      </c>
      <c r="Q954" s="3" t="s">
        <v>1385</v>
      </c>
      <c r="R954" s="23" t="str">
        <f t="shared" si="146"/>
        <v>Thursday</v>
      </c>
      <c r="S954" s="3" t="s">
        <v>1385</v>
      </c>
      <c r="T954" s="23" t="s">
        <v>190</v>
      </c>
      <c r="U954" s="3" t="s">
        <v>1385</v>
      </c>
      <c r="AO954" s="15"/>
      <c r="AP954" s="15"/>
      <c r="AQ954" s="15"/>
      <c r="AR954" s="23"/>
      <c r="AS954" s="15"/>
      <c r="AT954" s="15"/>
      <c r="AU954" s="23"/>
      <c r="AV954" s="23"/>
    </row>
    <row r="955" spans="1:48" x14ac:dyDescent="0.25">
      <c r="A955" t="s">
        <v>192</v>
      </c>
      <c r="B955" t="s">
        <v>13</v>
      </c>
      <c r="C955" s="10">
        <v>2</v>
      </c>
      <c r="D955" t="s">
        <v>874</v>
      </c>
      <c r="E955" s="2">
        <f t="shared" si="148"/>
        <v>46219</v>
      </c>
      <c r="F955" s="3">
        <f t="shared" si="147"/>
        <v>0.77638888888888891</v>
      </c>
      <c r="G955" t="s">
        <v>194</v>
      </c>
      <c r="H955" t="s">
        <v>195</v>
      </c>
      <c r="I955" t="s">
        <v>17</v>
      </c>
      <c r="J955" s="2">
        <v>46219</v>
      </c>
      <c r="K955" s="1">
        <v>0.78472222222222221</v>
      </c>
      <c r="L955" s="10">
        <f t="shared" si="143"/>
        <v>11.999999999999957</v>
      </c>
      <c r="M955" s="1" t="str">
        <f t="shared" si="149"/>
        <v>On Time</v>
      </c>
      <c r="N955" s="27" t="str">
        <f t="shared" si="144"/>
        <v>Wizz Air</v>
      </c>
      <c r="O955" s="3" t="s">
        <v>1385</v>
      </c>
      <c r="P955" s="20">
        <f t="shared" si="145"/>
        <v>18</v>
      </c>
      <c r="Q955" s="3" t="s">
        <v>1385</v>
      </c>
      <c r="R955" s="23" t="str">
        <f t="shared" si="146"/>
        <v>Thursday</v>
      </c>
      <c r="S955" s="3" t="s">
        <v>1385</v>
      </c>
      <c r="T955" s="23" t="s">
        <v>13</v>
      </c>
      <c r="U955" s="3" t="s">
        <v>1385</v>
      </c>
      <c r="AO955" s="15"/>
      <c r="AP955" s="15"/>
      <c r="AQ955" s="15"/>
      <c r="AR955" s="23"/>
      <c r="AS955" s="15"/>
      <c r="AT955" s="15"/>
      <c r="AU955" s="23"/>
      <c r="AV955" s="23"/>
    </row>
    <row r="956" spans="1:48" x14ac:dyDescent="0.25">
      <c r="A956" t="s">
        <v>52</v>
      </c>
      <c r="B956" t="s">
        <v>7</v>
      </c>
      <c r="D956" t="s">
        <v>1048</v>
      </c>
      <c r="E956" s="2">
        <f t="shared" si="148"/>
        <v>46219</v>
      </c>
      <c r="F956" s="3">
        <f t="shared" si="147"/>
        <v>0.79722222222222217</v>
      </c>
      <c r="G956" t="s">
        <v>76</v>
      </c>
      <c r="H956" t="s">
        <v>77</v>
      </c>
      <c r="I956" t="s">
        <v>11</v>
      </c>
      <c r="J956" s="2">
        <v>46219</v>
      </c>
      <c r="K956" s="1">
        <v>0.79722222222222217</v>
      </c>
      <c r="L956" s="10">
        <f t="shared" si="143"/>
        <v>0</v>
      </c>
      <c r="M956" s="1" t="str">
        <f t="shared" si="149"/>
        <v>On Time</v>
      </c>
      <c r="N956" s="27" t="str">
        <f t="shared" si="144"/>
        <v>airBaltic</v>
      </c>
      <c r="O956" s="3" t="s">
        <v>1385</v>
      </c>
      <c r="P956" s="20">
        <f t="shared" si="145"/>
        <v>19</v>
      </c>
      <c r="Q956" s="3" t="s">
        <v>1385</v>
      </c>
      <c r="R956" s="23" t="str">
        <f t="shared" si="146"/>
        <v>Thursday</v>
      </c>
      <c r="S956" s="3" t="s">
        <v>1385</v>
      </c>
      <c r="T956" s="23" t="s">
        <v>7</v>
      </c>
      <c r="U956" s="3" t="s">
        <v>1385</v>
      </c>
      <c r="AO956" s="15"/>
      <c r="AP956" s="15"/>
      <c r="AQ956" s="15"/>
      <c r="AR956" s="23"/>
      <c r="AS956" s="15"/>
      <c r="AT956" s="15"/>
      <c r="AU956" s="23"/>
      <c r="AV956" s="23"/>
    </row>
    <row r="957" spans="1:48" x14ac:dyDescent="0.25">
      <c r="A957" t="s">
        <v>196</v>
      </c>
      <c r="B957" t="s">
        <v>13</v>
      </c>
      <c r="C957" s="10">
        <v>0</v>
      </c>
      <c r="D957" t="s">
        <v>1049</v>
      </c>
      <c r="E957" s="2">
        <f t="shared" si="148"/>
        <v>46219</v>
      </c>
      <c r="F957" s="3">
        <f t="shared" si="147"/>
        <v>0.78541666666666676</v>
      </c>
      <c r="G957" t="s">
        <v>198</v>
      </c>
      <c r="H957" t="s">
        <v>199</v>
      </c>
      <c r="I957" t="s">
        <v>17</v>
      </c>
      <c r="J957" s="2">
        <v>46219</v>
      </c>
      <c r="K957" s="1">
        <v>0.79861111111111116</v>
      </c>
      <c r="L957" s="10">
        <f t="shared" si="143"/>
        <v>18.999999999999932</v>
      </c>
      <c r="M957" s="1" t="str">
        <f t="shared" si="149"/>
        <v>On Time</v>
      </c>
      <c r="N957" s="27" t="str">
        <f t="shared" si="144"/>
        <v>Wizz Air</v>
      </c>
      <c r="O957" s="3" t="s">
        <v>1385</v>
      </c>
      <c r="P957" s="20">
        <f t="shared" si="145"/>
        <v>18</v>
      </c>
      <c r="Q957" s="3" t="s">
        <v>1385</v>
      </c>
      <c r="R957" s="23" t="str">
        <f t="shared" si="146"/>
        <v>Thursday</v>
      </c>
      <c r="S957" s="3" t="s">
        <v>1385</v>
      </c>
      <c r="T957" s="23" t="s">
        <v>13</v>
      </c>
      <c r="U957" s="3" t="s">
        <v>1385</v>
      </c>
      <c r="AO957" s="15"/>
      <c r="AP957" s="15"/>
      <c r="AQ957" s="15"/>
      <c r="AR957" s="23"/>
      <c r="AS957" s="15"/>
      <c r="AT957" s="15"/>
      <c r="AU957" s="23"/>
      <c r="AV957" s="23"/>
    </row>
    <row r="958" spans="1:48" x14ac:dyDescent="0.25">
      <c r="A958" t="s">
        <v>200</v>
      </c>
      <c r="B958" t="s">
        <v>13</v>
      </c>
      <c r="C958" s="10">
        <v>-60</v>
      </c>
      <c r="D958" t="s">
        <v>1050</v>
      </c>
      <c r="E958" s="2">
        <f t="shared" si="148"/>
        <v>46219</v>
      </c>
      <c r="F958" s="3">
        <f t="shared" si="147"/>
        <v>0.82013888888888886</v>
      </c>
      <c r="G958" t="s">
        <v>202</v>
      </c>
      <c r="H958" t="s">
        <v>203</v>
      </c>
      <c r="I958" t="s">
        <v>17</v>
      </c>
      <c r="J958" s="2">
        <v>46219</v>
      </c>
      <c r="K958" s="1">
        <v>0.79861111111111116</v>
      </c>
      <c r="L958" s="10">
        <f t="shared" si="143"/>
        <v>-30.99999999999989</v>
      </c>
      <c r="M958" s="1" t="str">
        <f t="shared" si="149"/>
        <v>Delayed</v>
      </c>
      <c r="N958" s="27" t="str">
        <f t="shared" si="144"/>
        <v>Wizz Air</v>
      </c>
      <c r="O958" s="3" t="s">
        <v>1318</v>
      </c>
      <c r="P958" s="20">
        <f t="shared" si="145"/>
        <v>19</v>
      </c>
      <c r="Q958" s="3" t="s">
        <v>1318</v>
      </c>
      <c r="R958" s="23" t="str">
        <f t="shared" si="146"/>
        <v>Thursday</v>
      </c>
      <c r="S958" s="3" t="s">
        <v>1318</v>
      </c>
      <c r="T958" s="23" t="s">
        <v>13</v>
      </c>
      <c r="U958" s="3" t="s">
        <v>1318</v>
      </c>
      <c r="AO958" s="15"/>
      <c r="AP958" s="15"/>
      <c r="AQ958" s="15"/>
      <c r="AR958" s="23"/>
      <c r="AS958" s="15"/>
      <c r="AT958" s="15"/>
      <c r="AU958" s="23"/>
      <c r="AV958" s="23"/>
    </row>
    <row r="959" spans="1:48" x14ac:dyDescent="0.25">
      <c r="A959" t="s">
        <v>204</v>
      </c>
      <c r="B959" t="s">
        <v>7</v>
      </c>
      <c r="C959" s="10" t="e">
        <f>NA()</f>
        <v>#N/A</v>
      </c>
      <c r="D959" t="s">
        <v>377</v>
      </c>
      <c r="E959" s="2">
        <f t="shared" si="148"/>
        <v>46219</v>
      </c>
      <c r="F959" s="3" t="e">
        <f t="shared" si="147"/>
        <v>#N/A</v>
      </c>
      <c r="G959" t="s">
        <v>206</v>
      </c>
      <c r="H959" t="s">
        <v>207</v>
      </c>
      <c r="I959" t="s">
        <v>11</v>
      </c>
      <c r="J959" s="2">
        <v>46219</v>
      </c>
      <c r="K959" s="1">
        <v>0.80555555555555547</v>
      </c>
      <c r="L959" s="10" t="e">
        <f t="shared" si="143"/>
        <v>#N/A</v>
      </c>
      <c r="M959" s="1" t="e">
        <f t="shared" si="149"/>
        <v>#N/A</v>
      </c>
      <c r="N959" s="27" t="str">
        <f t="shared" si="144"/>
        <v>airBaltic</v>
      </c>
      <c r="O959" s="3" t="e">
        <v>#N/A</v>
      </c>
      <c r="P959" s="20" t="e">
        <f t="shared" si="145"/>
        <v>#N/A</v>
      </c>
      <c r="Q959" s="3" t="e">
        <v>#N/A</v>
      </c>
      <c r="R959" s="23" t="str">
        <f t="shared" si="146"/>
        <v>Thursday</v>
      </c>
      <c r="S959" s="3" t="e">
        <v>#N/A</v>
      </c>
      <c r="T959" s="23" t="s">
        <v>7</v>
      </c>
      <c r="AO959" s="15"/>
      <c r="AP959" s="15"/>
      <c r="AQ959" s="15"/>
      <c r="AR959" s="23"/>
      <c r="AS959" s="15"/>
      <c r="AT959" s="15"/>
      <c r="AU959" s="23"/>
      <c r="AV959" s="23"/>
    </row>
    <row r="960" spans="1:48" x14ac:dyDescent="0.25">
      <c r="A960" t="s">
        <v>208</v>
      </c>
      <c r="B960" t="s">
        <v>96</v>
      </c>
      <c r="C960" s="10">
        <v>-17</v>
      </c>
      <c r="D960" t="s">
        <v>1051</v>
      </c>
      <c r="E960" s="2">
        <f t="shared" si="148"/>
        <v>46219</v>
      </c>
      <c r="F960" s="3">
        <f t="shared" si="147"/>
        <v>0.7993055555555556</v>
      </c>
      <c r="G960" t="s">
        <v>98</v>
      </c>
      <c r="H960" t="s">
        <v>99</v>
      </c>
      <c r="I960" t="s">
        <v>305</v>
      </c>
      <c r="J960" s="2">
        <v>46219</v>
      </c>
      <c r="K960" s="1">
        <v>0.8125</v>
      </c>
      <c r="L960" s="10">
        <f t="shared" si="143"/>
        <v>18.999999999999932</v>
      </c>
      <c r="M960" s="1" t="str">
        <f t="shared" si="149"/>
        <v>On Time</v>
      </c>
      <c r="N960" s="27" t="str">
        <f t="shared" si="144"/>
        <v>Turkish Airlines</v>
      </c>
      <c r="O960" s="3" t="s">
        <v>1385</v>
      </c>
      <c r="P960" s="20">
        <f t="shared" si="145"/>
        <v>19</v>
      </c>
      <c r="Q960" s="3" t="s">
        <v>1385</v>
      </c>
      <c r="R960" s="23" t="str">
        <f t="shared" si="146"/>
        <v>Thursday</v>
      </c>
      <c r="S960" s="3" t="s">
        <v>1385</v>
      </c>
      <c r="T960" s="23" t="s">
        <v>96</v>
      </c>
      <c r="U960" s="3" t="s">
        <v>1385</v>
      </c>
      <c r="AO960" s="15"/>
      <c r="AP960" s="15"/>
      <c r="AQ960" s="15"/>
      <c r="AR960" s="23"/>
      <c r="AS960" s="15"/>
      <c r="AT960" s="15"/>
      <c r="AU960" s="23"/>
      <c r="AV960" s="23"/>
    </row>
    <row r="961" spans="1:48" x14ac:dyDescent="0.25">
      <c r="A961" t="s">
        <v>211</v>
      </c>
      <c r="B961" t="s">
        <v>7</v>
      </c>
      <c r="C961" s="10">
        <v>-17</v>
      </c>
      <c r="D961" t="s">
        <v>672</v>
      </c>
      <c r="E961" s="2">
        <f t="shared" si="148"/>
        <v>46219</v>
      </c>
      <c r="F961" s="3">
        <f t="shared" si="147"/>
        <v>0.8222222222222223</v>
      </c>
      <c r="G961" t="s">
        <v>135</v>
      </c>
      <c r="H961" t="s">
        <v>136</v>
      </c>
      <c r="I961" t="s">
        <v>11</v>
      </c>
      <c r="J961" s="2">
        <v>46219</v>
      </c>
      <c r="K961" s="1">
        <v>0.82638888888888884</v>
      </c>
      <c r="L961" s="10">
        <f t="shared" si="143"/>
        <v>5.9999999999998188</v>
      </c>
      <c r="M961" s="1" t="str">
        <f t="shared" si="149"/>
        <v>On Time</v>
      </c>
      <c r="N961" s="27" t="str">
        <f t="shared" si="144"/>
        <v>airBaltic</v>
      </c>
      <c r="O961" s="3" t="s">
        <v>1385</v>
      </c>
      <c r="P961" s="20">
        <f t="shared" si="145"/>
        <v>19</v>
      </c>
      <c r="Q961" s="3" t="s">
        <v>1385</v>
      </c>
      <c r="R961" s="23" t="str">
        <f t="shared" si="146"/>
        <v>Thursday</v>
      </c>
      <c r="S961" s="3" t="s">
        <v>1385</v>
      </c>
      <c r="T961" s="23" t="s">
        <v>7</v>
      </c>
      <c r="U961" s="3" t="s">
        <v>1385</v>
      </c>
      <c r="AO961" s="15"/>
      <c r="AP961" s="15"/>
      <c r="AQ961" s="15"/>
      <c r="AR961" s="23"/>
      <c r="AS961" s="15"/>
      <c r="AT961" s="15"/>
      <c r="AU961" s="23"/>
      <c r="AV961" s="23"/>
    </row>
    <row r="962" spans="1:48" x14ac:dyDescent="0.25">
      <c r="A962" t="s">
        <v>213</v>
      </c>
      <c r="B962" t="s">
        <v>85</v>
      </c>
      <c r="C962" s="10">
        <v>-21</v>
      </c>
      <c r="D962" t="s">
        <v>607</v>
      </c>
      <c r="E962" s="2">
        <f t="shared" si="148"/>
        <v>46219</v>
      </c>
      <c r="F962" s="3">
        <f t="shared" si="147"/>
        <v>0.83750000000000002</v>
      </c>
      <c r="G962" t="s">
        <v>102</v>
      </c>
      <c r="H962" t="s">
        <v>115</v>
      </c>
      <c r="I962" t="s">
        <v>162</v>
      </c>
      <c r="J962" s="2">
        <v>46219</v>
      </c>
      <c r="K962" s="1">
        <v>0.84027777777777779</v>
      </c>
      <c r="L962" s="10">
        <f t="shared" ref="L962:L1025" si="150">IF(J962&gt;E962,(K962+1-F962)*1440,IF(J962&lt;E962,-(F962+1-K962)*1440,(K962-F962)*1440))</f>
        <v>3.9999999999999858</v>
      </c>
      <c r="M962" s="1" t="str">
        <f t="shared" si="149"/>
        <v>On Time</v>
      </c>
      <c r="N962" s="27" t="str">
        <f t="shared" ref="N962:N1025" si="151">IF(COUNTIFS($B$2:$B$1553,B962,$M$2:$M$1553,"&lt;&gt;#N/A")&gt;=30,B962,NA())</f>
        <v>Ryanair</v>
      </c>
      <c r="O962" s="3" t="s">
        <v>1385</v>
      </c>
      <c r="P962" s="20">
        <f t="shared" ref="P962:P1025" si="152">HOUR(F962)</f>
        <v>20</v>
      </c>
      <c r="Q962" s="3" t="s">
        <v>1385</v>
      </c>
      <c r="R962" s="23" t="str">
        <f t="shared" ref="R962:R1025" si="153">TEXT(E962, "dddd")</f>
        <v>Thursday</v>
      </c>
      <c r="S962" s="3" t="s">
        <v>1385</v>
      </c>
      <c r="T962" s="23" t="s">
        <v>85</v>
      </c>
      <c r="U962" s="3" t="s">
        <v>1385</v>
      </c>
      <c r="AO962" s="15"/>
      <c r="AP962" s="15"/>
      <c r="AQ962" s="15"/>
      <c r="AR962" s="23"/>
      <c r="AS962" s="15"/>
      <c r="AT962" s="15"/>
      <c r="AU962" s="23"/>
      <c r="AV962" s="23"/>
    </row>
    <row r="963" spans="1:48" x14ac:dyDescent="0.25">
      <c r="A963" t="s">
        <v>215</v>
      </c>
      <c r="B963" t="s">
        <v>13</v>
      </c>
      <c r="C963" s="10">
        <v>-3</v>
      </c>
      <c r="D963" t="s">
        <v>455</v>
      </c>
      <c r="E963" s="2">
        <f t="shared" si="148"/>
        <v>46219</v>
      </c>
      <c r="F963" s="3">
        <f t="shared" ref="F963:F1026" si="154">IF(ISNUMBER(SEARCH("Landed", D963)), TIMEVALUE(_xlfn.TEXTAFTER(D963, " ")), NA())</f>
        <v>0.82777777777777783</v>
      </c>
      <c r="G963" t="s">
        <v>217</v>
      </c>
      <c r="H963" t="s">
        <v>218</v>
      </c>
      <c r="I963" t="s">
        <v>17</v>
      </c>
      <c r="J963" s="2">
        <v>46219</v>
      </c>
      <c r="K963" s="1">
        <v>0.84375</v>
      </c>
      <c r="L963" s="10">
        <f t="shared" si="150"/>
        <v>22.999999999999918</v>
      </c>
      <c r="M963" s="1" t="str">
        <f t="shared" si="149"/>
        <v>On Time</v>
      </c>
      <c r="N963" s="27" t="str">
        <f t="shared" si="151"/>
        <v>Wizz Air</v>
      </c>
      <c r="O963" s="3" t="s">
        <v>1385</v>
      </c>
      <c r="P963" s="20">
        <f t="shared" si="152"/>
        <v>19</v>
      </c>
      <c r="Q963" s="3" t="s">
        <v>1385</v>
      </c>
      <c r="R963" s="23" t="str">
        <f t="shared" si="153"/>
        <v>Thursday</v>
      </c>
      <c r="S963" s="3" t="s">
        <v>1385</v>
      </c>
      <c r="T963" s="23" t="s">
        <v>13</v>
      </c>
      <c r="U963" s="3" t="s">
        <v>1385</v>
      </c>
      <c r="AO963" s="15"/>
      <c r="AP963" s="15"/>
      <c r="AQ963" s="15"/>
      <c r="AR963" s="23"/>
      <c r="AS963" s="15"/>
      <c r="AT963" s="15"/>
      <c r="AU963" s="23"/>
      <c r="AV963" s="23"/>
    </row>
    <row r="964" spans="1:48" x14ac:dyDescent="0.25">
      <c r="A964" t="s">
        <v>219</v>
      </c>
      <c r="B964" t="s">
        <v>7</v>
      </c>
      <c r="C964" s="10">
        <v>-154</v>
      </c>
      <c r="D964" t="s">
        <v>1052</v>
      </c>
      <c r="E964" s="2">
        <f t="shared" si="148"/>
        <v>46219</v>
      </c>
      <c r="F964" s="3">
        <f t="shared" si="154"/>
        <v>0.96666666666666667</v>
      </c>
      <c r="G964" t="s">
        <v>9</v>
      </c>
      <c r="H964" t="s">
        <v>10</v>
      </c>
      <c r="I964" t="s">
        <v>11</v>
      </c>
      <c r="J964" s="2">
        <v>46219</v>
      </c>
      <c r="K964" s="1">
        <v>0.86805555555555547</v>
      </c>
      <c r="L964" s="10">
        <f t="shared" si="150"/>
        <v>-142.00000000000014</v>
      </c>
      <c r="M964" s="1" t="str">
        <f t="shared" si="149"/>
        <v>Delayed</v>
      </c>
      <c r="N964" s="27" t="str">
        <f t="shared" si="151"/>
        <v>airBaltic</v>
      </c>
      <c r="O964" s="3" t="s">
        <v>1318</v>
      </c>
      <c r="P964" s="20">
        <f t="shared" si="152"/>
        <v>23</v>
      </c>
      <c r="Q964" s="3" t="s">
        <v>1318</v>
      </c>
      <c r="R964" s="23" t="str">
        <f t="shared" si="153"/>
        <v>Thursday</v>
      </c>
      <c r="S964" s="3" t="s">
        <v>1318</v>
      </c>
      <c r="T964" s="23" t="s">
        <v>7</v>
      </c>
      <c r="U964" s="3" t="s">
        <v>1318</v>
      </c>
      <c r="AO964" s="15"/>
      <c r="AP964" s="15"/>
      <c r="AQ964" s="15"/>
      <c r="AR964" s="23"/>
      <c r="AS964" s="15"/>
      <c r="AT964" s="15"/>
      <c r="AU964" s="23"/>
      <c r="AV964" s="23"/>
    </row>
    <row r="965" spans="1:48" x14ac:dyDescent="0.25">
      <c r="A965" t="s">
        <v>123</v>
      </c>
      <c r="B965" t="s">
        <v>124</v>
      </c>
      <c r="D965" t="s">
        <v>1053</v>
      </c>
      <c r="E965" s="2">
        <f t="shared" si="148"/>
        <v>46219</v>
      </c>
      <c r="F965" s="3">
        <f t="shared" si="154"/>
        <v>0.86319444444444438</v>
      </c>
      <c r="G965" t="s">
        <v>222</v>
      </c>
      <c r="H965" t="s">
        <v>223</v>
      </c>
      <c r="I965" t="s">
        <v>126</v>
      </c>
      <c r="J965" s="2">
        <v>46219</v>
      </c>
      <c r="K965" s="1">
        <v>0.87083333333333324</v>
      </c>
      <c r="L965" s="10">
        <f t="shared" si="150"/>
        <v>10.999999999999961</v>
      </c>
      <c r="M965" s="1" t="str">
        <f t="shared" si="149"/>
        <v>On Time</v>
      </c>
      <c r="N965" s="27" t="str">
        <f t="shared" si="151"/>
        <v>GetJet Airlines</v>
      </c>
      <c r="O965" s="3" t="s">
        <v>1385</v>
      </c>
      <c r="P965" s="20">
        <f t="shared" si="152"/>
        <v>20</v>
      </c>
      <c r="Q965" s="3" t="s">
        <v>1385</v>
      </c>
      <c r="R965" s="23" t="str">
        <f t="shared" si="153"/>
        <v>Thursday</v>
      </c>
      <c r="S965" s="3" t="s">
        <v>1385</v>
      </c>
      <c r="T965" s="23" t="s">
        <v>124</v>
      </c>
      <c r="U965" s="3" t="s">
        <v>1385</v>
      </c>
      <c r="AO965" s="15"/>
      <c r="AP965" s="15"/>
      <c r="AQ965" s="15"/>
      <c r="AR965" s="23"/>
      <c r="AS965" s="15"/>
      <c r="AT965" s="15"/>
      <c r="AU965" s="23"/>
      <c r="AV965" s="23"/>
    </row>
    <row r="966" spans="1:48" x14ac:dyDescent="0.25">
      <c r="A966" t="s">
        <v>224</v>
      </c>
      <c r="B966" t="s">
        <v>151</v>
      </c>
      <c r="C966" s="10">
        <v>-7</v>
      </c>
      <c r="D966" t="s">
        <v>794</v>
      </c>
      <c r="E966" s="2">
        <f t="shared" si="148"/>
        <v>46219</v>
      </c>
      <c r="F966" s="3">
        <f t="shared" si="154"/>
        <v>0.87152777777777779</v>
      </c>
      <c r="G966" t="s">
        <v>226</v>
      </c>
      <c r="H966" t="s">
        <v>227</v>
      </c>
      <c r="I966" t="s">
        <v>188</v>
      </c>
      <c r="J966" s="2">
        <v>46219</v>
      </c>
      <c r="K966" s="1">
        <v>0.875</v>
      </c>
      <c r="L966" s="10">
        <f t="shared" si="150"/>
        <v>4.9999999999999822</v>
      </c>
      <c r="M966" s="1" t="str">
        <f t="shared" si="149"/>
        <v>On Time</v>
      </c>
      <c r="N966" s="27" t="e">
        <f t="shared" si="151"/>
        <v>#N/A</v>
      </c>
      <c r="O966" s="3" t="s">
        <v>1385</v>
      </c>
      <c r="P966" s="20">
        <f t="shared" si="152"/>
        <v>20</v>
      </c>
      <c r="Q966" s="3" t="s">
        <v>1385</v>
      </c>
      <c r="R966" s="23" t="str">
        <f t="shared" si="153"/>
        <v>Thursday</v>
      </c>
      <c r="S966" s="3" t="s">
        <v>1385</v>
      </c>
      <c r="T966" s="23" t="s">
        <v>151</v>
      </c>
      <c r="U966" s="3" t="s">
        <v>1385</v>
      </c>
      <c r="AO966" s="15"/>
      <c r="AP966" s="15"/>
      <c r="AQ966" s="15"/>
      <c r="AR966" s="23"/>
      <c r="AS966" s="15"/>
      <c r="AT966" s="15"/>
      <c r="AU966" s="23"/>
      <c r="AV966" s="23"/>
    </row>
    <row r="967" spans="1:48" x14ac:dyDescent="0.25">
      <c r="A967" t="s">
        <v>228</v>
      </c>
      <c r="B967" t="s">
        <v>69</v>
      </c>
      <c r="C967" s="10">
        <v>-5</v>
      </c>
      <c r="D967" t="s">
        <v>1054</v>
      </c>
      <c r="E967" s="2">
        <f t="shared" si="148"/>
        <v>46219</v>
      </c>
      <c r="F967" s="3">
        <f t="shared" si="154"/>
        <v>0.88888888888888884</v>
      </c>
      <c r="G967" t="s">
        <v>71</v>
      </c>
      <c r="H967" t="s">
        <v>72</v>
      </c>
      <c r="I967" t="s">
        <v>73</v>
      </c>
      <c r="J967" s="2">
        <v>46219</v>
      </c>
      <c r="K967" s="1">
        <v>0.88194444444444453</v>
      </c>
      <c r="L967" s="10">
        <f t="shared" si="150"/>
        <v>-9.9999999999998046</v>
      </c>
      <c r="M967" s="1" t="str">
        <f t="shared" si="149"/>
        <v>On Time</v>
      </c>
      <c r="N967" s="27" t="str">
        <f t="shared" si="151"/>
        <v>Finnair</v>
      </c>
      <c r="O967" s="3" t="s">
        <v>1385</v>
      </c>
      <c r="P967" s="20">
        <f t="shared" si="152"/>
        <v>21</v>
      </c>
      <c r="Q967" s="3" t="s">
        <v>1385</v>
      </c>
      <c r="R967" s="23" t="str">
        <f t="shared" si="153"/>
        <v>Thursday</v>
      </c>
      <c r="S967" s="3" t="s">
        <v>1385</v>
      </c>
      <c r="T967" s="23" t="s">
        <v>69</v>
      </c>
      <c r="U967" s="3" t="s">
        <v>1385</v>
      </c>
      <c r="AO967" s="15"/>
      <c r="AP967" s="15"/>
      <c r="AQ967" s="15"/>
      <c r="AR967" s="23"/>
      <c r="AS967" s="15"/>
      <c r="AT967" s="15"/>
      <c r="AU967" s="23"/>
      <c r="AV967" s="23"/>
    </row>
    <row r="968" spans="1:48" x14ac:dyDescent="0.25">
      <c r="A968" t="s">
        <v>230</v>
      </c>
      <c r="B968" t="s">
        <v>231</v>
      </c>
      <c r="C968" s="10">
        <v>-57</v>
      </c>
      <c r="D968" t="s">
        <v>804</v>
      </c>
      <c r="E968" s="2">
        <f t="shared" si="148"/>
        <v>46219</v>
      </c>
      <c r="F968" s="3">
        <f t="shared" si="154"/>
        <v>0.90902777777777777</v>
      </c>
      <c r="G968" t="s">
        <v>81</v>
      </c>
      <c r="H968" t="s">
        <v>82</v>
      </c>
      <c r="I968" t="s">
        <v>83</v>
      </c>
      <c r="J968" s="2">
        <v>46219</v>
      </c>
      <c r="K968" s="1">
        <v>0.88541666666666663</v>
      </c>
      <c r="L968" s="10">
        <f t="shared" si="150"/>
        <v>-34.000000000000043</v>
      </c>
      <c r="M968" s="1" t="str">
        <f t="shared" si="149"/>
        <v>Delayed</v>
      </c>
      <c r="N968" s="27" t="e">
        <f t="shared" si="151"/>
        <v>#N/A</v>
      </c>
      <c r="O968" s="3" t="s">
        <v>1318</v>
      </c>
      <c r="P968" s="20">
        <f t="shared" si="152"/>
        <v>21</v>
      </c>
      <c r="Q968" s="3" t="s">
        <v>1318</v>
      </c>
      <c r="R968" s="23" t="str">
        <f t="shared" si="153"/>
        <v>Thursday</v>
      </c>
      <c r="S968" s="3" t="s">
        <v>1318</v>
      </c>
      <c r="T968" s="23" t="s">
        <v>231</v>
      </c>
      <c r="U968" s="3" t="s">
        <v>1318</v>
      </c>
      <c r="AO968" s="15"/>
      <c r="AP968" s="15"/>
      <c r="AQ968" s="15"/>
      <c r="AR968" s="23"/>
      <c r="AS968" s="15"/>
      <c r="AT968" s="15"/>
      <c r="AU968" s="23"/>
      <c r="AV968" s="23"/>
    </row>
    <row r="969" spans="1:48" x14ac:dyDescent="0.25">
      <c r="A969" t="s">
        <v>235</v>
      </c>
      <c r="B969" t="s">
        <v>19</v>
      </c>
      <c r="C969" s="10">
        <v>-19</v>
      </c>
      <c r="D969" t="s">
        <v>622</v>
      </c>
      <c r="E969" s="2">
        <f t="shared" si="148"/>
        <v>46219</v>
      </c>
      <c r="F969" s="3">
        <f t="shared" si="154"/>
        <v>0.9277777777777777</v>
      </c>
      <c r="G969" t="s">
        <v>21</v>
      </c>
      <c r="H969" t="s">
        <v>22</v>
      </c>
      <c r="I969" t="s">
        <v>276</v>
      </c>
      <c r="J969" s="2">
        <v>46219</v>
      </c>
      <c r="K969" s="1">
        <v>0.93055555555555547</v>
      </c>
      <c r="L969" s="10">
        <f t="shared" si="150"/>
        <v>3.9999999999999858</v>
      </c>
      <c r="M969" s="1" t="str">
        <f t="shared" si="149"/>
        <v>On Time</v>
      </c>
      <c r="N969" s="27" t="str">
        <f t="shared" si="151"/>
        <v>LOT</v>
      </c>
      <c r="O969" s="3" t="s">
        <v>1385</v>
      </c>
      <c r="P969" s="20">
        <f t="shared" si="152"/>
        <v>22</v>
      </c>
      <c r="Q969" s="3" t="s">
        <v>1385</v>
      </c>
      <c r="R969" s="23" t="str">
        <f t="shared" si="153"/>
        <v>Thursday</v>
      </c>
      <c r="S969" s="3" t="s">
        <v>1385</v>
      </c>
      <c r="T969" s="23" t="s">
        <v>19</v>
      </c>
      <c r="U969" s="3" t="s">
        <v>1385</v>
      </c>
      <c r="AO969" s="15"/>
      <c r="AP969" s="15"/>
      <c r="AQ969" s="15"/>
      <c r="AR969" s="23"/>
      <c r="AS969" s="15"/>
      <c r="AT969" s="15"/>
      <c r="AU969" s="23"/>
      <c r="AV969" s="23"/>
    </row>
    <row r="970" spans="1:48" x14ac:dyDescent="0.25">
      <c r="A970" t="s">
        <v>238</v>
      </c>
      <c r="B970" t="s">
        <v>239</v>
      </c>
      <c r="C970" s="10">
        <v>-8</v>
      </c>
      <c r="D970" t="s">
        <v>741</v>
      </c>
      <c r="E970" s="2">
        <f t="shared" si="148"/>
        <v>46219</v>
      </c>
      <c r="F970" s="3">
        <f t="shared" si="154"/>
        <v>0.92291666666666661</v>
      </c>
      <c r="G970" t="s">
        <v>119</v>
      </c>
      <c r="H970" t="s">
        <v>120</v>
      </c>
      <c r="I970" t="s">
        <v>83</v>
      </c>
      <c r="J970" s="2">
        <v>46219</v>
      </c>
      <c r="K970" s="1">
        <v>0.94097222222222221</v>
      </c>
      <c r="L970" s="10">
        <f t="shared" si="150"/>
        <v>26.000000000000068</v>
      </c>
      <c r="M970" s="1" t="str">
        <f t="shared" si="149"/>
        <v>On Time</v>
      </c>
      <c r="N970" s="27" t="str">
        <f t="shared" si="151"/>
        <v>Eurowings</v>
      </c>
      <c r="O970" s="3" t="s">
        <v>1385</v>
      </c>
      <c r="P970" s="20">
        <f t="shared" si="152"/>
        <v>22</v>
      </c>
      <c r="Q970" s="3" t="s">
        <v>1385</v>
      </c>
      <c r="R970" s="23" t="str">
        <f t="shared" si="153"/>
        <v>Thursday</v>
      </c>
      <c r="S970" s="3" t="s">
        <v>1385</v>
      </c>
      <c r="T970" s="23" t="s">
        <v>239</v>
      </c>
      <c r="U970" s="3" t="s">
        <v>1385</v>
      </c>
      <c r="AO970" s="15"/>
      <c r="AP970" s="15"/>
      <c r="AQ970" s="15"/>
      <c r="AR970" s="23"/>
      <c r="AS970" s="15"/>
      <c r="AT970" s="15"/>
      <c r="AU970" s="23"/>
      <c r="AV970" s="23"/>
    </row>
    <row r="971" spans="1:48" x14ac:dyDescent="0.25">
      <c r="A971" t="s">
        <v>241</v>
      </c>
      <c r="B971" t="s">
        <v>96</v>
      </c>
      <c r="C971" s="10" t="e">
        <f>NA()</f>
        <v>#N/A</v>
      </c>
      <c r="D971" t="s">
        <v>242</v>
      </c>
      <c r="E971" s="2">
        <f t="shared" si="148"/>
        <v>46219</v>
      </c>
      <c r="F971" s="3" t="e">
        <f t="shared" si="154"/>
        <v>#N/A</v>
      </c>
      <c r="G971" t="s">
        <v>243</v>
      </c>
      <c r="H971" t="s">
        <v>244</v>
      </c>
      <c r="I971" t="s">
        <v>123</v>
      </c>
      <c r="J971" s="2">
        <v>46219</v>
      </c>
      <c r="K971" s="1">
        <v>0.94444444444444453</v>
      </c>
      <c r="L971" s="10" t="e">
        <f t="shared" si="150"/>
        <v>#N/A</v>
      </c>
      <c r="M971" s="1" t="e">
        <f t="shared" si="149"/>
        <v>#N/A</v>
      </c>
      <c r="N971" s="27" t="str">
        <f t="shared" si="151"/>
        <v>Turkish Airlines</v>
      </c>
      <c r="O971" s="3" t="e">
        <v>#N/A</v>
      </c>
      <c r="P971" s="20" t="e">
        <f t="shared" si="152"/>
        <v>#N/A</v>
      </c>
      <c r="Q971" s="3" t="e">
        <v>#N/A</v>
      </c>
      <c r="R971" s="23" t="str">
        <f t="shared" si="153"/>
        <v>Thursday</v>
      </c>
      <c r="S971" s="3" t="e">
        <v>#N/A</v>
      </c>
      <c r="T971" s="23" t="s">
        <v>96</v>
      </c>
      <c r="AO971" s="15"/>
      <c r="AP971" s="15"/>
      <c r="AQ971" s="15"/>
      <c r="AR971" s="23"/>
      <c r="AS971" s="15"/>
      <c r="AT971" s="15"/>
      <c r="AU971" s="23"/>
      <c r="AV971" s="23"/>
    </row>
    <row r="972" spans="1:48" x14ac:dyDescent="0.25">
      <c r="A972" t="s">
        <v>250</v>
      </c>
      <c r="B972" t="s">
        <v>7</v>
      </c>
      <c r="C972" s="10">
        <v>-52</v>
      </c>
      <c r="D972" t="s">
        <v>251</v>
      </c>
      <c r="E972" s="2">
        <f t="shared" si="148"/>
        <v>46219</v>
      </c>
      <c r="F972" s="3">
        <f t="shared" si="154"/>
        <v>0.97569444444444453</v>
      </c>
      <c r="G972" t="s">
        <v>252</v>
      </c>
      <c r="H972" t="s">
        <v>253</v>
      </c>
      <c r="I972" t="s">
        <v>11</v>
      </c>
      <c r="J972" s="2">
        <v>46219</v>
      </c>
      <c r="K972" s="1">
        <v>0.96180555555555547</v>
      </c>
      <c r="L972" s="10">
        <f t="shared" si="150"/>
        <v>-20.000000000000249</v>
      </c>
      <c r="M972" s="1" t="str">
        <f t="shared" si="149"/>
        <v>Delayed</v>
      </c>
      <c r="N972" s="27" t="str">
        <f t="shared" si="151"/>
        <v>airBaltic</v>
      </c>
      <c r="O972" s="3" t="s">
        <v>1318</v>
      </c>
      <c r="P972" s="20">
        <f t="shared" si="152"/>
        <v>23</v>
      </c>
      <c r="Q972" s="3" t="s">
        <v>1318</v>
      </c>
      <c r="R972" s="23" t="str">
        <f t="shared" si="153"/>
        <v>Thursday</v>
      </c>
      <c r="S972" s="3" t="s">
        <v>1318</v>
      </c>
      <c r="T972" s="23" t="s">
        <v>7</v>
      </c>
      <c r="U972" s="3" t="s">
        <v>1318</v>
      </c>
      <c r="AO972" s="15"/>
      <c r="AP972" s="15"/>
      <c r="AQ972" s="15"/>
      <c r="AR972" s="23"/>
      <c r="AS972" s="15"/>
      <c r="AT972" s="15"/>
      <c r="AU972" s="23"/>
      <c r="AV972" s="23"/>
    </row>
    <row r="973" spans="1:48" x14ac:dyDescent="0.25">
      <c r="A973" t="s">
        <v>254</v>
      </c>
      <c r="B973" t="s">
        <v>85</v>
      </c>
      <c r="C973" s="10">
        <v>-16</v>
      </c>
      <c r="D973" t="s">
        <v>985</v>
      </c>
      <c r="E973" s="2">
        <f t="shared" ref="E973:E1036" si="155">J973</f>
        <v>46219</v>
      </c>
      <c r="F973" s="3">
        <f t="shared" si="154"/>
        <v>0.96805555555555556</v>
      </c>
      <c r="G973" t="s">
        <v>256</v>
      </c>
      <c r="H973" t="s">
        <v>257</v>
      </c>
      <c r="I973" t="s">
        <v>89</v>
      </c>
      <c r="J973" s="2">
        <v>46219</v>
      </c>
      <c r="K973" s="1">
        <v>0.97569444444444453</v>
      </c>
      <c r="L973" s="10">
        <f t="shared" si="150"/>
        <v>11.000000000000121</v>
      </c>
      <c r="M973" s="1" t="str">
        <f t="shared" si="149"/>
        <v>On Time</v>
      </c>
      <c r="N973" s="27" t="str">
        <f t="shared" si="151"/>
        <v>Ryanair</v>
      </c>
      <c r="O973" s="3" t="s">
        <v>1385</v>
      </c>
      <c r="P973" s="20">
        <f t="shared" si="152"/>
        <v>23</v>
      </c>
      <c r="Q973" s="3" t="s">
        <v>1385</v>
      </c>
      <c r="R973" s="23" t="str">
        <f t="shared" si="153"/>
        <v>Thursday</v>
      </c>
      <c r="S973" s="3" t="s">
        <v>1385</v>
      </c>
      <c r="T973" s="23" t="s">
        <v>85</v>
      </c>
      <c r="U973" s="3" t="s">
        <v>1385</v>
      </c>
      <c r="AO973" s="15"/>
      <c r="AP973" s="15"/>
      <c r="AQ973" s="15"/>
      <c r="AR973" s="23"/>
      <c r="AS973" s="15"/>
      <c r="AT973" s="15"/>
      <c r="AU973" s="23"/>
      <c r="AV973" s="23"/>
    </row>
    <row r="974" spans="1:48" x14ac:dyDescent="0.25">
      <c r="A974" t="s">
        <v>258</v>
      </c>
      <c r="B974" t="s">
        <v>190</v>
      </c>
      <c r="C974" s="10">
        <v>-18</v>
      </c>
      <c r="D974" t="s">
        <v>845</v>
      </c>
      <c r="E974" s="2">
        <f t="shared" si="155"/>
        <v>46219</v>
      </c>
      <c r="F974" s="3">
        <f t="shared" si="154"/>
        <v>0.97916666666666663</v>
      </c>
      <c r="G974" t="s">
        <v>110</v>
      </c>
      <c r="H974" t="s">
        <v>111</v>
      </c>
      <c r="I974" t="s">
        <v>210</v>
      </c>
      <c r="J974" s="2">
        <v>46219</v>
      </c>
      <c r="K974" s="1">
        <v>0.98263888888888884</v>
      </c>
      <c r="L974" s="10">
        <f t="shared" si="150"/>
        <v>4.9999999999999822</v>
      </c>
      <c r="M974" s="1" t="str">
        <f t="shared" si="149"/>
        <v>On Time</v>
      </c>
      <c r="N974" s="27" t="str">
        <f t="shared" si="151"/>
        <v>Lufthansa</v>
      </c>
      <c r="O974" s="3" t="s">
        <v>1385</v>
      </c>
      <c r="P974" s="20">
        <f t="shared" si="152"/>
        <v>23</v>
      </c>
      <c r="Q974" s="3" t="s">
        <v>1385</v>
      </c>
      <c r="R974" s="23" t="str">
        <f t="shared" si="153"/>
        <v>Thursday</v>
      </c>
      <c r="S974" s="3" t="s">
        <v>1385</v>
      </c>
      <c r="T974" s="23" t="s">
        <v>190</v>
      </c>
      <c r="U974" s="3" t="s">
        <v>1385</v>
      </c>
      <c r="AO974" s="15"/>
      <c r="AP974" s="15"/>
      <c r="AQ974" s="15"/>
      <c r="AR974" s="23"/>
      <c r="AS974" s="15"/>
      <c r="AT974" s="15"/>
      <c r="AU974" s="23"/>
      <c r="AV974" s="23"/>
    </row>
    <row r="975" spans="1:48" x14ac:dyDescent="0.25">
      <c r="A975" t="s">
        <v>261</v>
      </c>
      <c r="B975" t="s">
        <v>85</v>
      </c>
      <c r="C975" s="10">
        <v>-17</v>
      </c>
      <c r="D975" t="s">
        <v>1055</v>
      </c>
      <c r="E975" s="2">
        <f t="shared" si="155"/>
        <v>46219</v>
      </c>
      <c r="F975" s="3">
        <f t="shared" si="154"/>
        <v>0.98958333333333337</v>
      </c>
      <c r="G975" t="s">
        <v>263</v>
      </c>
      <c r="H975" t="s">
        <v>264</v>
      </c>
      <c r="I975" t="s">
        <v>89</v>
      </c>
      <c r="J975" s="2">
        <v>46219</v>
      </c>
      <c r="K975" s="1">
        <v>0.99652777777777779</v>
      </c>
      <c r="L975" s="10">
        <f t="shared" si="150"/>
        <v>9.9999999999999645</v>
      </c>
      <c r="M975" s="1" t="str">
        <f t="shared" si="149"/>
        <v>On Time</v>
      </c>
      <c r="N975" s="27" t="str">
        <f t="shared" si="151"/>
        <v>Ryanair</v>
      </c>
      <c r="O975" s="3" t="s">
        <v>1385</v>
      </c>
      <c r="P975" s="20">
        <f t="shared" si="152"/>
        <v>23</v>
      </c>
      <c r="Q975" s="3" t="s">
        <v>1385</v>
      </c>
      <c r="R975" s="23" t="str">
        <f t="shared" si="153"/>
        <v>Thursday</v>
      </c>
      <c r="S975" s="3" t="s">
        <v>1385</v>
      </c>
      <c r="T975" s="23" t="s">
        <v>85</v>
      </c>
      <c r="U975" s="3" t="s">
        <v>1385</v>
      </c>
      <c r="AO975" s="15"/>
      <c r="AP975" s="15"/>
      <c r="AQ975" s="15"/>
      <c r="AR975" s="23"/>
      <c r="AS975" s="15"/>
      <c r="AT975" s="15"/>
      <c r="AU975" s="23"/>
      <c r="AV975" s="23"/>
    </row>
    <row r="976" spans="1:48" x14ac:dyDescent="0.25">
      <c r="A976" t="s">
        <v>265</v>
      </c>
      <c r="B976" t="s">
        <v>7</v>
      </c>
      <c r="C976" s="10">
        <v>-14</v>
      </c>
      <c r="D976" t="s">
        <v>1056</v>
      </c>
      <c r="E976" s="2">
        <f t="shared" si="155"/>
        <v>46220</v>
      </c>
      <c r="F976" s="3">
        <f t="shared" si="154"/>
        <v>6.9444444444444441E-3</v>
      </c>
      <c r="G976" t="s">
        <v>180</v>
      </c>
      <c r="H976" t="s">
        <v>181</v>
      </c>
      <c r="I976" t="s">
        <v>11</v>
      </c>
      <c r="J976" s="2">
        <v>46220</v>
      </c>
      <c r="K976" s="1">
        <v>1.0416666666666666E-2</v>
      </c>
      <c r="L976" s="10">
        <f t="shared" si="150"/>
        <v>5</v>
      </c>
      <c r="M976" s="1" t="str">
        <f t="shared" si="149"/>
        <v>On Time</v>
      </c>
      <c r="N976" s="27" t="str">
        <f t="shared" si="151"/>
        <v>airBaltic</v>
      </c>
      <c r="O976" s="3" t="s">
        <v>1385</v>
      </c>
      <c r="P976" s="20">
        <f t="shared" si="152"/>
        <v>0</v>
      </c>
      <c r="Q976" s="3" t="s">
        <v>1385</v>
      </c>
      <c r="R976" s="23" t="str">
        <f t="shared" si="153"/>
        <v>Friday</v>
      </c>
      <c r="S976" s="3" t="s">
        <v>1385</v>
      </c>
      <c r="T976" s="23" t="s">
        <v>7</v>
      </c>
      <c r="U976" s="3" t="s">
        <v>1385</v>
      </c>
      <c r="AO976" s="15"/>
      <c r="AP976" s="15"/>
      <c r="AQ976" s="15"/>
      <c r="AR976" s="23"/>
      <c r="AS976" s="15"/>
      <c r="AT976" s="15"/>
      <c r="AU976" s="23"/>
      <c r="AV976" s="23"/>
    </row>
    <row r="977" spans="1:48" x14ac:dyDescent="0.25">
      <c r="A977" t="s">
        <v>267</v>
      </c>
      <c r="B977" t="s">
        <v>13</v>
      </c>
      <c r="C977" s="10">
        <v>8</v>
      </c>
      <c r="D977" t="s">
        <v>922</v>
      </c>
      <c r="E977" s="2">
        <v>46219</v>
      </c>
      <c r="F977" s="3">
        <f t="shared" si="154"/>
        <v>0.98611111111111116</v>
      </c>
      <c r="G977" t="s">
        <v>269</v>
      </c>
      <c r="H977" t="s">
        <v>270</v>
      </c>
      <c r="I977" t="s">
        <v>17</v>
      </c>
      <c r="J977" s="2">
        <v>46220</v>
      </c>
      <c r="K977" s="1">
        <v>1.0416666666666666E-2</v>
      </c>
      <c r="L977" s="10">
        <f t="shared" si="150"/>
        <v>35.000000000000036</v>
      </c>
      <c r="M977" s="1" t="str">
        <f t="shared" si="149"/>
        <v>On Time</v>
      </c>
      <c r="N977" s="27" t="str">
        <f t="shared" si="151"/>
        <v>Wizz Air</v>
      </c>
      <c r="O977" s="3" t="s">
        <v>1385</v>
      </c>
      <c r="P977" s="20">
        <f t="shared" si="152"/>
        <v>23</v>
      </c>
      <c r="Q977" s="3" t="s">
        <v>1385</v>
      </c>
      <c r="R977" s="23" t="str">
        <f t="shared" si="153"/>
        <v>Thursday</v>
      </c>
      <c r="S977" s="3" t="s">
        <v>1385</v>
      </c>
      <c r="T977" s="23" t="s">
        <v>13</v>
      </c>
      <c r="U977" s="3" t="s">
        <v>1385</v>
      </c>
      <c r="AO977" s="15"/>
      <c r="AP977" s="15"/>
      <c r="AQ977" s="15"/>
      <c r="AR977" s="23"/>
      <c r="AS977" s="15"/>
      <c r="AT977" s="15"/>
      <c r="AU977" s="23"/>
      <c r="AV977" s="23"/>
    </row>
    <row r="978" spans="1:48" x14ac:dyDescent="0.25">
      <c r="A978" t="s">
        <v>6</v>
      </c>
      <c r="B978" t="s">
        <v>7</v>
      </c>
      <c r="C978" s="10">
        <v>-31</v>
      </c>
      <c r="D978" t="s">
        <v>692</v>
      </c>
      <c r="E978" s="2">
        <f t="shared" si="155"/>
        <v>46220</v>
      </c>
      <c r="F978" s="3">
        <f t="shared" si="154"/>
        <v>3.2638888888888891E-2</v>
      </c>
      <c r="G978" t="s">
        <v>9</v>
      </c>
      <c r="H978" t="s">
        <v>10</v>
      </c>
      <c r="I978" t="s">
        <v>11</v>
      </c>
      <c r="J978" s="2">
        <v>46220</v>
      </c>
      <c r="K978" s="1">
        <v>2.0833333333333332E-2</v>
      </c>
      <c r="L978" s="10">
        <f t="shared" si="150"/>
        <v>-17.000000000000004</v>
      </c>
      <c r="M978" s="1" t="str">
        <f t="shared" si="149"/>
        <v>Delayed</v>
      </c>
      <c r="N978" s="27" t="str">
        <f t="shared" si="151"/>
        <v>airBaltic</v>
      </c>
      <c r="O978" s="3" t="s">
        <v>1318</v>
      </c>
      <c r="P978" s="20">
        <f t="shared" si="152"/>
        <v>0</v>
      </c>
      <c r="Q978" s="3" t="s">
        <v>1318</v>
      </c>
      <c r="R978" s="23" t="str">
        <f t="shared" si="153"/>
        <v>Friday</v>
      </c>
      <c r="S978" s="3" t="s">
        <v>1318</v>
      </c>
      <c r="T978" s="23" t="s">
        <v>7</v>
      </c>
      <c r="U978" s="3" t="s">
        <v>1318</v>
      </c>
      <c r="AO978" s="15"/>
      <c r="AP978" s="15"/>
      <c r="AQ978" s="15"/>
      <c r="AR978" s="23"/>
      <c r="AS978" s="15"/>
      <c r="AT978" s="15"/>
      <c r="AU978" s="23"/>
      <c r="AV978" s="23"/>
    </row>
    <row r="979" spans="1:48" x14ac:dyDescent="0.25">
      <c r="A979" t="s">
        <v>12</v>
      </c>
      <c r="B979" t="s">
        <v>13</v>
      </c>
      <c r="C979" s="10">
        <v>-33</v>
      </c>
      <c r="D979" t="s">
        <v>1057</v>
      </c>
      <c r="E979" s="2">
        <f t="shared" si="155"/>
        <v>46220</v>
      </c>
      <c r="F979" s="3">
        <f t="shared" si="154"/>
        <v>1.3888888888888888E-2</v>
      </c>
      <c r="G979" t="s">
        <v>15</v>
      </c>
      <c r="H979" t="s">
        <v>16</v>
      </c>
      <c r="I979" t="s">
        <v>17</v>
      </c>
      <c r="J979" s="2">
        <v>46220</v>
      </c>
      <c r="K979" s="1">
        <v>2.0833333333333332E-2</v>
      </c>
      <c r="L979" s="10">
        <f t="shared" si="150"/>
        <v>10</v>
      </c>
      <c r="M979" s="1" t="str">
        <f t="shared" ref="M979:M1042" si="156">IF(L979&gt;=-15, "On Time", "Delayed")</f>
        <v>On Time</v>
      </c>
      <c r="N979" s="27" t="str">
        <f t="shared" si="151"/>
        <v>Wizz Air</v>
      </c>
      <c r="O979" s="3" t="s">
        <v>1385</v>
      </c>
      <c r="P979" s="20">
        <f t="shared" si="152"/>
        <v>0</v>
      </c>
      <c r="Q979" s="3" t="s">
        <v>1385</v>
      </c>
      <c r="R979" s="23" t="str">
        <f t="shared" si="153"/>
        <v>Friday</v>
      </c>
      <c r="S979" s="3" t="s">
        <v>1385</v>
      </c>
      <c r="T979" s="23" t="s">
        <v>13</v>
      </c>
      <c r="U979" s="3" t="s">
        <v>1385</v>
      </c>
      <c r="AO979" s="15"/>
      <c r="AP979" s="15"/>
      <c r="AQ979" s="15"/>
      <c r="AR979" s="23"/>
      <c r="AS979" s="15"/>
      <c r="AT979" s="15"/>
      <c r="AU979" s="23"/>
      <c r="AV979" s="23"/>
    </row>
    <row r="980" spans="1:48" x14ac:dyDescent="0.25">
      <c r="A980" t="s">
        <v>18</v>
      </c>
      <c r="B980" t="s">
        <v>19</v>
      </c>
      <c r="C980" s="10">
        <v>-45</v>
      </c>
      <c r="D980" t="s">
        <v>694</v>
      </c>
      <c r="E980" s="2">
        <f t="shared" si="155"/>
        <v>46220</v>
      </c>
      <c r="F980" s="3">
        <f t="shared" si="154"/>
        <v>4.3055555555555562E-2</v>
      </c>
      <c r="G980" t="s">
        <v>21</v>
      </c>
      <c r="H980" t="s">
        <v>22</v>
      </c>
      <c r="I980" t="s">
        <v>188</v>
      </c>
      <c r="J980" s="2">
        <v>46220</v>
      </c>
      <c r="K980" s="1">
        <v>2.7777777777777776E-2</v>
      </c>
      <c r="L980" s="10">
        <f t="shared" si="150"/>
        <v>-22.000000000000011</v>
      </c>
      <c r="M980" s="1" t="str">
        <f t="shared" si="156"/>
        <v>Delayed</v>
      </c>
      <c r="N980" s="27" t="str">
        <f t="shared" si="151"/>
        <v>LOT</v>
      </c>
      <c r="O980" s="3" t="s">
        <v>1318</v>
      </c>
      <c r="P980" s="20">
        <f t="shared" si="152"/>
        <v>1</v>
      </c>
      <c r="Q980" s="3" t="s">
        <v>1318</v>
      </c>
      <c r="R980" s="23" t="str">
        <f t="shared" si="153"/>
        <v>Friday</v>
      </c>
      <c r="S980" s="3" t="s">
        <v>1318</v>
      </c>
      <c r="T980" s="23" t="s">
        <v>19</v>
      </c>
      <c r="U980" s="3" t="s">
        <v>1318</v>
      </c>
      <c r="AO980" s="15"/>
      <c r="AP980" s="15"/>
      <c r="AQ980" s="15"/>
      <c r="AR980" s="23"/>
      <c r="AS980" s="15"/>
      <c r="AT980" s="15"/>
      <c r="AU980" s="23"/>
      <c r="AV980" s="23"/>
    </row>
    <row r="981" spans="1:48" x14ac:dyDescent="0.25">
      <c r="A981" t="s">
        <v>24</v>
      </c>
      <c r="B981" t="s">
        <v>7</v>
      </c>
      <c r="C981" s="10">
        <v>-19</v>
      </c>
      <c r="D981" t="s">
        <v>398</v>
      </c>
      <c r="E981" s="2">
        <f t="shared" si="155"/>
        <v>46220</v>
      </c>
      <c r="F981" s="3">
        <f t="shared" si="154"/>
        <v>2.9861111111111113E-2</v>
      </c>
      <c r="G981" t="s">
        <v>26</v>
      </c>
      <c r="H981" t="s">
        <v>27</v>
      </c>
      <c r="I981" t="s">
        <v>11</v>
      </c>
      <c r="J981" s="2">
        <v>46220</v>
      </c>
      <c r="K981" s="1">
        <v>3.125E-2</v>
      </c>
      <c r="L981" s="10">
        <f t="shared" si="150"/>
        <v>1.9999999999999978</v>
      </c>
      <c r="M981" s="1" t="str">
        <f t="shared" si="156"/>
        <v>On Time</v>
      </c>
      <c r="N981" s="27" t="str">
        <f t="shared" si="151"/>
        <v>airBaltic</v>
      </c>
      <c r="O981" s="3" t="s">
        <v>1385</v>
      </c>
      <c r="P981" s="20">
        <f t="shared" si="152"/>
        <v>0</v>
      </c>
      <c r="Q981" s="3" t="s">
        <v>1385</v>
      </c>
      <c r="R981" s="23" t="str">
        <f t="shared" si="153"/>
        <v>Friday</v>
      </c>
      <c r="S981" s="3" t="s">
        <v>1385</v>
      </c>
      <c r="T981" s="23" t="s">
        <v>7</v>
      </c>
      <c r="U981" s="3" t="s">
        <v>1385</v>
      </c>
      <c r="AO981" s="15"/>
      <c r="AP981" s="15"/>
      <c r="AQ981" s="15"/>
      <c r="AR981" s="23"/>
      <c r="AS981" s="15"/>
      <c r="AT981" s="15"/>
      <c r="AU981" s="23"/>
      <c r="AV981" s="23"/>
    </row>
    <row r="982" spans="1:48" x14ac:dyDescent="0.25">
      <c r="A982" t="s">
        <v>36</v>
      </c>
      <c r="B982" t="s">
        <v>7</v>
      </c>
      <c r="C982" s="10">
        <v>-39</v>
      </c>
      <c r="D982" t="s">
        <v>968</v>
      </c>
      <c r="E982" s="2">
        <f t="shared" si="155"/>
        <v>46220</v>
      </c>
      <c r="F982" s="3">
        <f t="shared" si="154"/>
        <v>6.1111111111111116E-2</v>
      </c>
      <c r="G982" t="s">
        <v>38</v>
      </c>
      <c r="H982" t="s">
        <v>39</v>
      </c>
      <c r="I982" t="s">
        <v>11</v>
      </c>
      <c r="J982" s="2">
        <v>46220</v>
      </c>
      <c r="K982" s="1">
        <v>5.9027777777777783E-2</v>
      </c>
      <c r="L982" s="10">
        <f t="shared" si="150"/>
        <v>-2.9999999999999991</v>
      </c>
      <c r="M982" s="1" t="str">
        <f t="shared" si="156"/>
        <v>On Time</v>
      </c>
      <c r="N982" s="27" t="str">
        <f t="shared" si="151"/>
        <v>airBaltic</v>
      </c>
      <c r="O982" s="3" t="s">
        <v>1385</v>
      </c>
      <c r="P982" s="20">
        <f t="shared" si="152"/>
        <v>1</v>
      </c>
      <c r="Q982" s="3" t="s">
        <v>1385</v>
      </c>
      <c r="R982" s="23" t="str">
        <f t="shared" si="153"/>
        <v>Friday</v>
      </c>
      <c r="S982" s="3" t="s">
        <v>1385</v>
      </c>
      <c r="T982" s="23" t="s">
        <v>7</v>
      </c>
      <c r="U982" s="3" t="s">
        <v>1385</v>
      </c>
      <c r="AO982" s="15"/>
      <c r="AP982" s="15"/>
      <c r="AQ982" s="15"/>
      <c r="AR982" s="23"/>
      <c r="AS982" s="15"/>
      <c r="AT982" s="15"/>
      <c r="AU982" s="23"/>
      <c r="AV982" s="23"/>
    </row>
    <row r="983" spans="1:48" x14ac:dyDescent="0.25">
      <c r="A983" t="s">
        <v>40</v>
      </c>
      <c r="B983" t="s">
        <v>41</v>
      </c>
      <c r="C983" s="10">
        <v>-6</v>
      </c>
      <c r="D983" t="s">
        <v>8</v>
      </c>
      <c r="E983" s="2">
        <f t="shared" si="155"/>
        <v>46220</v>
      </c>
      <c r="F983" s="3">
        <f t="shared" si="154"/>
        <v>5.1388888888888894E-2</v>
      </c>
      <c r="G983" t="s">
        <v>43</v>
      </c>
      <c r="H983" t="s">
        <v>44</v>
      </c>
      <c r="I983" t="s">
        <v>158</v>
      </c>
      <c r="J983" s="2">
        <v>46220</v>
      </c>
      <c r="K983" s="1">
        <v>5.9027777777777783E-2</v>
      </c>
      <c r="L983" s="10">
        <f t="shared" si="150"/>
        <v>11</v>
      </c>
      <c r="M983" s="1" t="str">
        <f t="shared" si="156"/>
        <v>On Time</v>
      </c>
      <c r="N983" s="27" t="str">
        <f t="shared" si="151"/>
        <v>SAS</v>
      </c>
      <c r="O983" s="3" t="s">
        <v>1385</v>
      </c>
      <c r="P983" s="20">
        <f t="shared" si="152"/>
        <v>1</v>
      </c>
      <c r="Q983" s="3" t="s">
        <v>1385</v>
      </c>
      <c r="R983" s="23" t="str">
        <f t="shared" si="153"/>
        <v>Friday</v>
      </c>
      <c r="S983" s="3" t="s">
        <v>1385</v>
      </c>
      <c r="T983" s="23" t="s">
        <v>41</v>
      </c>
      <c r="U983" s="3" t="s">
        <v>1385</v>
      </c>
      <c r="AO983" s="15"/>
      <c r="AP983" s="15"/>
      <c r="AQ983" s="15"/>
      <c r="AR983" s="23"/>
      <c r="AS983" s="15"/>
      <c r="AT983" s="15"/>
      <c r="AU983" s="23"/>
      <c r="AV983" s="23"/>
    </row>
    <row r="984" spans="1:48" x14ac:dyDescent="0.25">
      <c r="A984" t="s">
        <v>285</v>
      </c>
      <c r="B984" t="s">
        <v>13</v>
      </c>
      <c r="C984" s="10">
        <v>165</v>
      </c>
      <c r="D984" t="s">
        <v>637</v>
      </c>
      <c r="E984" s="2">
        <f t="shared" si="155"/>
        <v>46220</v>
      </c>
      <c r="F984" s="3">
        <f t="shared" si="154"/>
        <v>4.7222222222222221E-2</v>
      </c>
      <c r="G984" t="s">
        <v>287</v>
      </c>
      <c r="H984" t="s">
        <v>288</v>
      </c>
      <c r="I984" t="s">
        <v>17</v>
      </c>
      <c r="J984" s="2">
        <v>46220</v>
      </c>
      <c r="K984" s="1">
        <v>5.9027777777777783E-2</v>
      </c>
      <c r="L984" s="10">
        <f t="shared" si="150"/>
        <v>17.000000000000011</v>
      </c>
      <c r="M984" s="1" t="str">
        <f t="shared" si="156"/>
        <v>On Time</v>
      </c>
      <c r="N984" s="27" t="str">
        <f t="shared" si="151"/>
        <v>Wizz Air</v>
      </c>
      <c r="O984" s="3" t="s">
        <v>1385</v>
      </c>
      <c r="P984" s="20">
        <f t="shared" si="152"/>
        <v>1</v>
      </c>
      <c r="Q984" s="3" t="s">
        <v>1385</v>
      </c>
      <c r="R984" s="23" t="str">
        <f t="shared" si="153"/>
        <v>Friday</v>
      </c>
      <c r="S984" s="3" t="s">
        <v>1385</v>
      </c>
      <c r="T984" s="23" t="s">
        <v>13</v>
      </c>
      <c r="U984" s="3" t="s">
        <v>1385</v>
      </c>
      <c r="AO984" s="15"/>
      <c r="AP984" s="15"/>
      <c r="AQ984" s="15"/>
      <c r="AR984" s="23"/>
      <c r="AS984" s="15"/>
      <c r="AT984" s="15"/>
      <c r="AU984" s="23"/>
      <c r="AV984" s="23"/>
    </row>
    <row r="985" spans="1:48" x14ac:dyDescent="0.25">
      <c r="A985" t="s">
        <v>54</v>
      </c>
      <c r="B985" t="s">
        <v>55</v>
      </c>
      <c r="D985" t="s">
        <v>570</v>
      </c>
      <c r="E985" s="2">
        <f t="shared" si="155"/>
        <v>46220</v>
      </c>
      <c r="F985" s="3">
        <f t="shared" si="154"/>
        <v>0.36319444444444443</v>
      </c>
      <c r="G985" t="s">
        <v>57</v>
      </c>
      <c r="H985" t="s">
        <v>58</v>
      </c>
      <c r="I985" t="s">
        <v>59</v>
      </c>
      <c r="J985" s="2">
        <v>46220</v>
      </c>
      <c r="K985" s="1">
        <v>0.31875000000000003</v>
      </c>
      <c r="L985" s="10">
        <f t="shared" si="150"/>
        <v>-63.999999999999929</v>
      </c>
      <c r="M985" s="1" t="str">
        <f t="shared" si="156"/>
        <v>Delayed</v>
      </c>
      <c r="N985" s="27" t="e">
        <f t="shared" si="151"/>
        <v>#N/A</v>
      </c>
      <c r="O985" s="3" t="s">
        <v>1318</v>
      </c>
      <c r="P985" s="20">
        <f t="shared" si="152"/>
        <v>8</v>
      </c>
      <c r="Q985" s="3" t="s">
        <v>1318</v>
      </c>
      <c r="R985" s="23" t="str">
        <f t="shared" si="153"/>
        <v>Friday</v>
      </c>
      <c r="S985" s="3" t="s">
        <v>1318</v>
      </c>
      <c r="T985" s="23" t="s">
        <v>55</v>
      </c>
      <c r="U985" s="3" t="s">
        <v>1318</v>
      </c>
      <c r="AO985" s="15"/>
      <c r="AP985" s="15"/>
      <c r="AQ985" s="15"/>
      <c r="AR985" s="23"/>
      <c r="AS985" s="15"/>
      <c r="AT985" s="15"/>
      <c r="AU985" s="23"/>
      <c r="AV985" s="23"/>
    </row>
    <row r="986" spans="1:48" x14ac:dyDescent="0.25">
      <c r="A986" t="s">
        <v>60</v>
      </c>
      <c r="B986" t="s">
        <v>7</v>
      </c>
      <c r="C986" s="10" t="e">
        <f>NA()</f>
        <v>#N/A</v>
      </c>
      <c r="D986" t="s">
        <v>377</v>
      </c>
      <c r="E986" s="2">
        <f t="shared" si="155"/>
        <v>46220</v>
      </c>
      <c r="F986" s="3" t="e">
        <f t="shared" si="154"/>
        <v>#N/A</v>
      </c>
      <c r="G986" t="s">
        <v>9</v>
      </c>
      <c r="H986" t="s">
        <v>10</v>
      </c>
      <c r="I986" t="s">
        <v>123</v>
      </c>
      <c r="J986" s="2">
        <v>46220</v>
      </c>
      <c r="K986" s="1">
        <v>0.3611111111111111</v>
      </c>
      <c r="L986" s="10" t="e">
        <f t="shared" si="150"/>
        <v>#N/A</v>
      </c>
      <c r="M986" s="1" t="e">
        <f t="shared" si="156"/>
        <v>#N/A</v>
      </c>
      <c r="N986" s="27" t="str">
        <f t="shared" si="151"/>
        <v>airBaltic</v>
      </c>
      <c r="O986" s="3" t="e">
        <v>#N/A</v>
      </c>
      <c r="P986" s="20" t="e">
        <f t="shared" si="152"/>
        <v>#N/A</v>
      </c>
      <c r="Q986" s="3" t="e">
        <v>#N/A</v>
      </c>
      <c r="R986" s="23" t="str">
        <f t="shared" si="153"/>
        <v>Friday</v>
      </c>
      <c r="S986" s="3" t="e">
        <v>#N/A</v>
      </c>
      <c r="T986" s="23" t="s">
        <v>7</v>
      </c>
      <c r="AO986" s="15"/>
      <c r="AP986" s="15"/>
      <c r="AQ986" s="15"/>
      <c r="AR986" s="23"/>
      <c r="AS986" s="15"/>
      <c r="AT986" s="15"/>
      <c r="AU986" s="23"/>
      <c r="AV986" s="23"/>
    </row>
    <row r="987" spans="1:48" x14ac:dyDescent="0.25">
      <c r="A987" t="s">
        <v>291</v>
      </c>
      <c r="B987" t="s">
        <v>13</v>
      </c>
      <c r="C987" s="10">
        <v>-4</v>
      </c>
      <c r="D987" t="s">
        <v>571</v>
      </c>
      <c r="E987" s="2">
        <f t="shared" si="155"/>
        <v>46220</v>
      </c>
      <c r="F987" s="3">
        <f t="shared" si="154"/>
        <v>0.36041666666666666</v>
      </c>
      <c r="G987" t="s">
        <v>293</v>
      </c>
      <c r="H987" t="s">
        <v>294</v>
      </c>
      <c r="I987" t="s">
        <v>17</v>
      </c>
      <c r="J987" s="2">
        <v>46220</v>
      </c>
      <c r="K987" s="1">
        <v>0.36805555555555558</v>
      </c>
      <c r="L987" s="10">
        <f t="shared" si="150"/>
        <v>11.000000000000041</v>
      </c>
      <c r="M987" s="1" t="str">
        <f t="shared" si="156"/>
        <v>On Time</v>
      </c>
      <c r="N987" s="27" t="str">
        <f t="shared" si="151"/>
        <v>Wizz Air</v>
      </c>
      <c r="O987" s="3" t="s">
        <v>1385</v>
      </c>
      <c r="P987" s="20">
        <f t="shared" si="152"/>
        <v>8</v>
      </c>
      <c r="Q987" s="3" t="s">
        <v>1385</v>
      </c>
      <c r="R987" s="23" t="str">
        <f t="shared" si="153"/>
        <v>Friday</v>
      </c>
      <c r="S987" s="3" t="s">
        <v>1385</v>
      </c>
      <c r="T987" s="23" t="s">
        <v>13</v>
      </c>
      <c r="U987" s="3" t="s">
        <v>1385</v>
      </c>
      <c r="AO987" s="15"/>
      <c r="AP987" s="15"/>
      <c r="AQ987" s="15"/>
      <c r="AR987" s="23"/>
      <c r="AS987" s="15"/>
      <c r="AT987" s="15"/>
      <c r="AU987" s="23"/>
      <c r="AV987" s="23"/>
    </row>
    <row r="988" spans="1:48" x14ac:dyDescent="0.25">
      <c r="A988" t="s">
        <v>68</v>
      </c>
      <c r="B988" t="s">
        <v>69</v>
      </c>
      <c r="C988" s="10">
        <v>-5</v>
      </c>
      <c r="D988" t="s">
        <v>816</v>
      </c>
      <c r="E988" s="2">
        <f t="shared" si="155"/>
        <v>46220</v>
      </c>
      <c r="F988" s="3">
        <f t="shared" si="154"/>
        <v>0.3611111111111111</v>
      </c>
      <c r="G988" t="s">
        <v>71</v>
      </c>
      <c r="H988" t="s">
        <v>72</v>
      </c>
      <c r="I988" t="s">
        <v>295</v>
      </c>
      <c r="J988" s="2">
        <v>46220</v>
      </c>
      <c r="K988" s="1">
        <v>0.37152777777777773</v>
      </c>
      <c r="L988" s="10">
        <f t="shared" si="150"/>
        <v>14.999999999999947</v>
      </c>
      <c r="M988" s="1" t="str">
        <f t="shared" si="156"/>
        <v>On Time</v>
      </c>
      <c r="N988" s="27" t="str">
        <f t="shared" si="151"/>
        <v>Finnair</v>
      </c>
      <c r="O988" s="3" t="s">
        <v>1385</v>
      </c>
      <c r="P988" s="20">
        <f t="shared" si="152"/>
        <v>8</v>
      </c>
      <c r="Q988" s="3" t="s">
        <v>1385</v>
      </c>
      <c r="R988" s="23" t="str">
        <f t="shared" si="153"/>
        <v>Friday</v>
      </c>
      <c r="S988" s="3" t="s">
        <v>1385</v>
      </c>
      <c r="T988" s="23" t="s">
        <v>69</v>
      </c>
      <c r="U988" s="3" t="s">
        <v>1385</v>
      </c>
      <c r="AO988" s="15"/>
      <c r="AP988" s="15"/>
      <c r="AQ988" s="15"/>
      <c r="AR988" s="23"/>
      <c r="AS988" s="15"/>
      <c r="AT988" s="15"/>
      <c r="AU988" s="23"/>
      <c r="AV988" s="23"/>
    </row>
    <row r="989" spans="1:48" x14ac:dyDescent="0.25">
      <c r="A989" t="s">
        <v>74</v>
      </c>
      <c r="B989" t="s">
        <v>13</v>
      </c>
      <c r="C989" s="10">
        <v>8</v>
      </c>
      <c r="D989" t="s">
        <v>491</v>
      </c>
      <c r="E989" s="2">
        <f t="shared" si="155"/>
        <v>46220</v>
      </c>
      <c r="F989" s="3">
        <f t="shared" si="154"/>
        <v>0.36527777777777781</v>
      </c>
      <c r="G989" t="s">
        <v>76</v>
      </c>
      <c r="H989" t="s">
        <v>77</v>
      </c>
      <c r="I989" t="s">
        <v>17</v>
      </c>
      <c r="J989" s="2">
        <v>46220</v>
      </c>
      <c r="K989" s="1">
        <v>0.3888888888888889</v>
      </c>
      <c r="L989" s="10">
        <f t="shared" si="150"/>
        <v>33.999999999999957</v>
      </c>
      <c r="M989" s="1" t="str">
        <f t="shared" si="156"/>
        <v>On Time</v>
      </c>
      <c r="N989" s="27" t="str">
        <f t="shared" si="151"/>
        <v>Wizz Air</v>
      </c>
      <c r="O989" s="3" t="s">
        <v>1385</v>
      </c>
      <c r="P989" s="20">
        <f t="shared" si="152"/>
        <v>8</v>
      </c>
      <c r="Q989" s="3" t="s">
        <v>1385</v>
      </c>
      <c r="R989" s="23" t="str">
        <f t="shared" si="153"/>
        <v>Friday</v>
      </c>
      <c r="S989" s="3" t="s">
        <v>1385</v>
      </c>
      <c r="T989" s="23" t="s">
        <v>13</v>
      </c>
      <c r="U989" s="3" t="s">
        <v>1385</v>
      </c>
      <c r="AO989" s="15"/>
      <c r="AP989" s="15"/>
      <c r="AQ989" s="15"/>
      <c r="AR989" s="23"/>
      <c r="AS989" s="15"/>
      <c r="AT989" s="15"/>
      <c r="AU989" s="23"/>
      <c r="AV989" s="23"/>
    </row>
    <row r="990" spans="1:48" x14ac:dyDescent="0.25">
      <c r="A990" t="s">
        <v>159</v>
      </c>
      <c r="B990" t="s">
        <v>85</v>
      </c>
      <c r="C990" s="10">
        <v>-67</v>
      </c>
      <c r="D990" t="s">
        <v>1058</v>
      </c>
      <c r="E990" s="2">
        <f t="shared" si="155"/>
        <v>46220</v>
      </c>
      <c r="F990" s="3">
        <f t="shared" si="154"/>
        <v>0.43402777777777773</v>
      </c>
      <c r="G990" t="s">
        <v>34</v>
      </c>
      <c r="H990" t="s">
        <v>161</v>
      </c>
      <c r="I990" t="s">
        <v>89</v>
      </c>
      <c r="J990" s="2">
        <v>46220</v>
      </c>
      <c r="K990" s="1">
        <v>0.39930555555555558</v>
      </c>
      <c r="L990" s="10">
        <f t="shared" si="150"/>
        <v>-49.999999999999901</v>
      </c>
      <c r="M990" s="1" t="str">
        <f t="shared" si="156"/>
        <v>Delayed</v>
      </c>
      <c r="N990" s="27" t="str">
        <f t="shared" si="151"/>
        <v>Ryanair</v>
      </c>
      <c r="O990" s="3" t="s">
        <v>1318</v>
      </c>
      <c r="P990" s="20">
        <f t="shared" si="152"/>
        <v>10</v>
      </c>
      <c r="Q990" s="3" t="s">
        <v>1318</v>
      </c>
      <c r="R990" s="23" t="str">
        <f t="shared" si="153"/>
        <v>Friday</v>
      </c>
      <c r="S990" s="3" t="s">
        <v>1318</v>
      </c>
      <c r="T990" s="23" t="s">
        <v>85</v>
      </c>
      <c r="U990" s="3" t="s">
        <v>1318</v>
      </c>
      <c r="AO990" s="15"/>
      <c r="AP990" s="15"/>
      <c r="AQ990" s="15"/>
      <c r="AR990" s="23"/>
      <c r="AS990" s="15"/>
      <c r="AT990" s="15"/>
      <c r="AU990" s="23"/>
      <c r="AV990" s="23"/>
    </row>
    <row r="991" spans="1:48" x14ac:dyDescent="0.25">
      <c r="A991" t="s">
        <v>90</v>
      </c>
      <c r="B991" t="s">
        <v>19</v>
      </c>
      <c r="C991" s="10">
        <v>-13</v>
      </c>
      <c r="D991" t="s">
        <v>973</v>
      </c>
      <c r="E991" s="2">
        <f t="shared" si="155"/>
        <v>46220</v>
      </c>
      <c r="F991" s="3">
        <f t="shared" si="154"/>
        <v>0.4152777777777778</v>
      </c>
      <c r="G991" t="s">
        <v>21</v>
      </c>
      <c r="H991" t="s">
        <v>22</v>
      </c>
      <c r="I991" t="s">
        <v>237</v>
      </c>
      <c r="J991" s="2">
        <v>46220</v>
      </c>
      <c r="K991" s="1">
        <v>0.4201388888888889</v>
      </c>
      <c r="L991" s="10">
        <f t="shared" si="150"/>
        <v>6.9999999999999751</v>
      </c>
      <c r="M991" s="1" t="str">
        <f t="shared" si="156"/>
        <v>On Time</v>
      </c>
      <c r="N991" s="27" t="str">
        <f t="shared" si="151"/>
        <v>LOT</v>
      </c>
      <c r="O991" s="3" t="s">
        <v>1385</v>
      </c>
      <c r="P991" s="20">
        <f t="shared" si="152"/>
        <v>9</v>
      </c>
      <c r="Q991" s="3" t="s">
        <v>1385</v>
      </c>
      <c r="R991" s="23" t="str">
        <f t="shared" si="153"/>
        <v>Friday</v>
      </c>
      <c r="S991" s="3" t="s">
        <v>1385</v>
      </c>
      <c r="T991" s="23" t="s">
        <v>19</v>
      </c>
      <c r="U991" s="3" t="s">
        <v>1385</v>
      </c>
      <c r="AO991" s="15"/>
      <c r="AP991" s="15"/>
      <c r="AQ991" s="15"/>
      <c r="AR991" s="23"/>
      <c r="AS991" s="15"/>
      <c r="AT991" s="15"/>
      <c r="AU991" s="23"/>
      <c r="AV991" s="23"/>
    </row>
    <row r="992" spans="1:48" x14ac:dyDescent="0.25">
      <c r="A992" t="s">
        <v>95</v>
      </c>
      <c r="B992" t="s">
        <v>96</v>
      </c>
      <c r="C992" s="10">
        <v>-27</v>
      </c>
      <c r="D992" t="s">
        <v>936</v>
      </c>
      <c r="E992" s="2">
        <f t="shared" si="155"/>
        <v>46220</v>
      </c>
      <c r="F992" s="3">
        <f t="shared" si="154"/>
        <v>0.44305555555555554</v>
      </c>
      <c r="G992" t="s">
        <v>98</v>
      </c>
      <c r="H992" t="s">
        <v>99</v>
      </c>
      <c r="I992" t="s">
        <v>188</v>
      </c>
      <c r="J992" s="2">
        <v>46220</v>
      </c>
      <c r="K992" s="1">
        <v>0.44791666666666669</v>
      </c>
      <c r="L992" s="10">
        <f t="shared" si="150"/>
        <v>7.0000000000000551</v>
      </c>
      <c r="M992" s="1" t="str">
        <f t="shared" si="156"/>
        <v>On Time</v>
      </c>
      <c r="N992" s="27" t="str">
        <f t="shared" si="151"/>
        <v>Turkish Airlines</v>
      </c>
      <c r="O992" s="3" t="s">
        <v>1385</v>
      </c>
      <c r="P992" s="20">
        <f t="shared" si="152"/>
        <v>10</v>
      </c>
      <c r="Q992" s="3" t="s">
        <v>1385</v>
      </c>
      <c r="R992" s="23" t="str">
        <f t="shared" si="153"/>
        <v>Friday</v>
      </c>
      <c r="S992" s="3" t="s">
        <v>1385</v>
      </c>
      <c r="T992" s="23" t="s">
        <v>96</v>
      </c>
      <c r="U992" s="3" t="s">
        <v>1385</v>
      </c>
      <c r="AO992" s="15"/>
      <c r="AP992" s="15"/>
      <c r="AQ992" s="15"/>
      <c r="AR992" s="23"/>
      <c r="AS992" s="15"/>
      <c r="AT992" s="15"/>
      <c r="AU992" s="23"/>
      <c r="AV992" s="23"/>
    </row>
    <row r="993" spans="1:48" x14ac:dyDescent="0.25">
      <c r="A993" t="s">
        <v>306</v>
      </c>
      <c r="B993" t="s">
        <v>239</v>
      </c>
      <c r="D993" t="s">
        <v>1059</v>
      </c>
      <c r="E993" s="2">
        <f t="shared" si="155"/>
        <v>46220</v>
      </c>
      <c r="F993" s="3">
        <f t="shared" si="154"/>
        <v>0.48749999999999999</v>
      </c>
      <c r="G993" t="s">
        <v>308</v>
      </c>
      <c r="H993" t="s">
        <v>309</v>
      </c>
      <c r="I993" t="s">
        <v>83</v>
      </c>
      <c r="J993" s="2">
        <v>46220</v>
      </c>
      <c r="K993" s="1">
        <v>0.45833333333333331</v>
      </c>
      <c r="L993" s="10">
        <f t="shared" si="150"/>
        <v>-42.000000000000014</v>
      </c>
      <c r="M993" s="1" t="str">
        <f t="shared" si="156"/>
        <v>Delayed</v>
      </c>
      <c r="N993" s="27" t="str">
        <f t="shared" si="151"/>
        <v>Eurowings</v>
      </c>
      <c r="O993" s="3" t="s">
        <v>1318</v>
      </c>
      <c r="P993" s="20">
        <f t="shared" si="152"/>
        <v>11</v>
      </c>
      <c r="Q993" s="3" t="s">
        <v>1318</v>
      </c>
      <c r="R993" s="23" t="str">
        <f t="shared" si="153"/>
        <v>Friday</v>
      </c>
      <c r="S993" s="3" t="s">
        <v>1318</v>
      </c>
      <c r="T993" s="23" t="s">
        <v>239</v>
      </c>
      <c r="U993" s="3" t="s">
        <v>1318</v>
      </c>
      <c r="AO993" s="15"/>
      <c r="AP993" s="15"/>
      <c r="AQ993" s="15"/>
      <c r="AR993" s="23"/>
      <c r="AS993" s="15"/>
      <c r="AT993" s="15"/>
      <c r="AU993" s="23"/>
      <c r="AV993" s="23"/>
    </row>
    <row r="994" spans="1:48" x14ac:dyDescent="0.25">
      <c r="A994" t="s">
        <v>213</v>
      </c>
      <c r="B994" t="s">
        <v>85</v>
      </c>
      <c r="C994" s="10">
        <v>-15</v>
      </c>
      <c r="D994" t="s">
        <v>1060</v>
      </c>
      <c r="E994" s="2">
        <f t="shared" si="155"/>
        <v>46220</v>
      </c>
      <c r="F994" s="3">
        <f t="shared" si="154"/>
        <v>0.4548611111111111</v>
      </c>
      <c r="G994" t="s">
        <v>102</v>
      </c>
      <c r="H994" t="s">
        <v>115</v>
      </c>
      <c r="I994" t="s">
        <v>162</v>
      </c>
      <c r="J994" s="2">
        <v>46220</v>
      </c>
      <c r="K994" s="1">
        <v>0.46527777777777773</v>
      </c>
      <c r="L994" s="10">
        <f t="shared" si="150"/>
        <v>14.999999999999947</v>
      </c>
      <c r="M994" s="1" t="str">
        <f t="shared" si="156"/>
        <v>On Time</v>
      </c>
      <c r="N994" s="27" t="str">
        <f t="shared" si="151"/>
        <v>Ryanair</v>
      </c>
      <c r="O994" s="3" t="s">
        <v>1385</v>
      </c>
      <c r="P994" s="20">
        <f t="shared" si="152"/>
        <v>10</v>
      </c>
      <c r="Q994" s="3" t="s">
        <v>1385</v>
      </c>
      <c r="R994" s="23" t="str">
        <f t="shared" si="153"/>
        <v>Friday</v>
      </c>
      <c r="S994" s="3" t="s">
        <v>1385</v>
      </c>
      <c r="T994" s="23" t="s">
        <v>85</v>
      </c>
      <c r="U994" s="3" t="s">
        <v>1385</v>
      </c>
      <c r="AO994" s="15"/>
      <c r="AP994" s="15"/>
      <c r="AQ994" s="15"/>
      <c r="AR994" s="23"/>
      <c r="AS994" s="15"/>
      <c r="AT994" s="15"/>
      <c r="AU994" s="23"/>
      <c r="AV994" s="23"/>
    </row>
    <row r="995" spans="1:48" x14ac:dyDescent="0.25">
      <c r="A995" t="s">
        <v>123</v>
      </c>
      <c r="B995" t="s">
        <v>124</v>
      </c>
      <c r="D995" t="s">
        <v>1061</v>
      </c>
      <c r="E995" s="2">
        <f t="shared" si="155"/>
        <v>46220</v>
      </c>
      <c r="F995" s="3">
        <f t="shared" si="154"/>
        <v>0.5229166666666667</v>
      </c>
      <c r="G995" t="s">
        <v>312</v>
      </c>
      <c r="H995" t="s">
        <v>313</v>
      </c>
      <c r="I995" t="s">
        <v>126</v>
      </c>
      <c r="J995" s="2">
        <v>46220</v>
      </c>
      <c r="K995" s="1">
        <v>0.50972222222222219</v>
      </c>
      <c r="L995" s="10">
        <f t="shared" si="150"/>
        <v>-19.000000000000092</v>
      </c>
      <c r="M995" s="1" t="str">
        <f t="shared" si="156"/>
        <v>Delayed</v>
      </c>
      <c r="N995" s="27" t="str">
        <f t="shared" si="151"/>
        <v>GetJet Airlines</v>
      </c>
      <c r="O995" s="3" t="s">
        <v>1318</v>
      </c>
      <c r="P995" s="20">
        <f t="shared" si="152"/>
        <v>12</v>
      </c>
      <c r="Q995" s="3" t="s">
        <v>1318</v>
      </c>
      <c r="R995" s="23" t="str">
        <f t="shared" si="153"/>
        <v>Friday</v>
      </c>
      <c r="S995" s="3" t="s">
        <v>1318</v>
      </c>
      <c r="T995" s="23" t="s">
        <v>124</v>
      </c>
      <c r="U995" s="3" t="s">
        <v>1318</v>
      </c>
      <c r="AO995" s="15"/>
      <c r="AP995" s="15"/>
      <c r="AQ995" s="15"/>
      <c r="AR995" s="23"/>
      <c r="AS995" s="15"/>
      <c r="AT995" s="15"/>
      <c r="AU995" s="23"/>
      <c r="AV995" s="23"/>
    </row>
    <row r="996" spans="1:48" x14ac:dyDescent="0.25">
      <c r="A996" t="s">
        <v>28</v>
      </c>
      <c r="B996" t="s">
        <v>7</v>
      </c>
      <c r="C996" s="10">
        <v>-23</v>
      </c>
      <c r="D996" t="s">
        <v>1062</v>
      </c>
      <c r="E996" s="2">
        <f t="shared" si="155"/>
        <v>46220</v>
      </c>
      <c r="F996" s="3">
        <f t="shared" si="154"/>
        <v>0.5083333333333333</v>
      </c>
      <c r="G996" t="s">
        <v>30</v>
      </c>
      <c r="H996" t="s">
        <v>31</v>
      </c>
      <c r="I996" t="s">
        <v>11</v>
      </c>
      <c r="J996" s="2">
        <v>46220</v>
      </c>
      <c r="K996" s="1">
        <v>0.51736111111111105</v>
      </c>
      <c r="L996" s="10">
        <f t="shared" si="150"/>
        <v>12.999999999999954</v>
      </c>
      <c r="M996" s="1" t="str">
        <f t="shared" si="156"/>
        <v>On Time</v>
      </c>
      <c r="N996" s="27" t="str">
        <f t="shared" si="151"/>
        <v>airBaltic</v>
      </c>
      <c r="O996" s="3" t="s">
        <v>1385</v>
      </c>
      <c r="P996" s="20">
        <f t="shared" si="152"/>
        <v>12</v>
      </c>
      <c r="Q996" s="3" t="s">
        <v>1385</v>
      </c>
      <c r="R996" s="23" t="str">
        <f t="shared" si="153"/>
        <v>Friday</v>
      </c>
      <c r="S996" s="3" t="s">
        <v>1385</v>
      </c>
      <c r="T996" s="23" t="s">
        <v>7</v>
      </c>
      <c r="U996" s="3" t="s">
        <v>1385</v>
      </c>
      <c r="AO996" s="15"/>
      <c r="AP996" s="15"/>
      <c r="AQ996" s="15"/>
      <c r="AR996" s="23"/>
      <c r="AS996" s="15"/>
      <c r="AT996" s="15"/>
      <c r="AU996" s="23"/>
      <c r="AV996" s="23"/>
    </row>
    <row r="997" spans="1:48" x14ac:dyDescent="0.25">
      <c r="A997" t="s">
        <v>108</v>
      </c>
      <c r="B997" t="s">
        <v>190</v>
      </c>
      <c r="C997" s="10">
        <v>-27</v>
      </c>
      <c r="D997" t="s">
        <v>429</v>
      </c>
      <c r="E997" s="2">
        <f t="shared" si="155"/>
        <v>46220</v>
      </c>
      <c r="F997" s="3">
        <f t="shared" si="154"/>
        <v>0.53402777777777777</v>
      </c>
      <c r="G997" t="s">
        <v>110</v>
      </c>
      <c r="H997" t="s">
        <v>111</v>
      </c>
      <c r="I997" t="s">
        <v>210</v>
      </c>
      <c r="J997" s="2">
        <v>46220</v>
      </c>
      <c r="K997" s="1">
        <v>0.52777777777777779</v>
      </c>
      <c r="L997" s="10">
        <f t="shared" si="150"/>
        <v>-8.999999999999968</v>
      </c>
      <c r="M997" s="1" t="str">
        <f t="shared" si="156"/>
        <v>On Time</v>
      </c>
      <c r="N997" s="27" t="str">
        <f t="shared" si="151"/>
        <v>Lufthansa</v>
      </c>
      <c r="O997" s="3" t="s">
        <v>1385</v>
      </c>
      <c r="P997" s="20">
        <f t="shared" si="152"/>
        <v>12</v>
      </c>
      <c r="Q997" s="3" t="s">
        <v>1385</v>
      </c>
      <c r="R997" s="23" t="str">
        <f t="shared" si="153"/>
        <v>Friday</v>
      </c>
      <c r="S997" s="3" t="s">
        <v>1385</v>
      </c>
      <c r="T997" s="23" t="s">
        <v>190</v>
      </c>
      <c r="U997" s="3" t="s">
        <v>1385</v>
      </c>
      <c r="AO997" s="15"/>
      <c r="AP997" s="15"/>
      <c r="AQ997" s="15"/>
      <c r="AR997" s="23"/>
      <c r="AS997" s="15"/>
      <c r="AT997" s="15"/>
      <c r="AU997" s="23"/>
      <c r="AV997" s="23"/>
    </row>
    <row r="998" spans="1:48" x14ac:dyDescent="0.25">
      <c r="A998" t="s">
        <v>113</v>
      </c>
      <c r="B998" t="s">
        <v>13</v>
      </c>
      <c r="C998" s="10">
        <v>-8</v>
      </c>
      <c r="D998" t="s">
        <v>766</v>
      </c>
      <c r="E998" s="2">
        <f t="shared" si="155"/>
        <v>46220</v>
      </c>
      <c r="F998" s="3">
        <f t="shared" si="154"/>
        <v>0.52083333333333337</v>
      </c>
      <c r="G998" t="s">
        <v>102</v>
      </c>
      <c r="H998" t="s">
        <v>115</v>
      </c>
      <c r="I998" t="s">
        <v>17</v>
      </c>
      <c r="J998" s="2">
        <v>46220</v>
      </c>
      <c r="K998" s="1">
        <v>0.53472222222222221</v>
      </c>
      <c r="L998" s="10">
        <f t="shared" si="150"/>
        <v>19.999999999999929</v>
      </c>
      <c r="M998" s="1" t="str">
        <f t="shared" si="156"/>
        <v>On Time</v>
      </c>
      <c r="N998" s="27" t="str">
        <f t="shared" si="151"/>
        <v>Wizz Air</v>
      </c>
      <c r="O998" s="3" t="s">
        <v>1385</v>
      </c>
      <c r="P998" s="20">
        <f t="shared" si="152"/>
        <v>12</v>
      </c>
      <c r="Q998" s="3" t="s">
        <v>1385</v>
      </c>
      <c r="R998" s="23" t="str">
        <f t="shared" si="153"/>
        <v>Friday</v>
      </c>
      <c r="S998" s="3" t="s">
        <v>1385</v>
      </c>
      <c r="T998" s="23" t="s">
        <v>13</v>
      </c>
      <c r="U998" s="3" t="s">
        <v>1385</v>
      </c>
      <c r="AO998" s="15"/>
      <c r="AP998" s="15"/>
      <c r="AQ998" s="15"/>
      <c r="AR998" s="23"/>
      <c r="AS998" s="15"/>
      <c r="AT998" s="15"/>
      <c r="AU998" s="23"/>
      <c r="AV998" s="23"/>
    </row>
    <row r="999" spans="1:48" x14ac:dyDescent="0.25">
      <c r="A999" t="s">
        <v>121</v>
      </c>
      <c r="B999" t="s">
        <v>69</v>
      </c>
      <c r="C999" s="10">
        <v>-3</v>
      </c>
      <c r="D999" t="s">
        <v>652</v>
      </c>
      <c r="E999" s="2">
        <f t="shared" si="155"/>
        <v>46220</v>
      </c>
      <c r="F999" s="3">
        <f t="shared" si="154"/>
        <v>0.53888888888888886</v>
      </c>
      <c r="G999" t="s">
        <v>71</v>
      </c>
      <c r="H999" t="s">
        <v>72</v>
      </c>
      <c r="I999" t="s">
        <v>73</v>
      </c>
      <c r="J999" s="2">
        <v>46220</v>
      </c>
      <c r="K999" s="1">
        <v>0.54166666666666663</v>
      </c>
      <c r="L999" s="10">
        <f t="shared" si="150"/>
        <v>3.9999999999999858</v>
      </c>
      <c r="M999" s="1" t="str">
        <f t="shared" si="156"/>
        <v>On Time</v>
      </c>
      <c r="N999" s="27" t="str">
        <f t="shared" si="151"/>
        <v>Finnair</v>
      </c>
      <c r="O999" s="3" t="s">
        <v>1385</v>
      </c>
      <c r="P999" s="20">
        <f t="shared" si="152"/>
        <v>12</v>
      </c>
      <c r="Q999" s="3" t="s">
        <v>1385</v>
      </c>
      <c r="R999" s="23" t="str">
        <f t="shared" si="153"/>
        <v>Friday</v>
      </c>
      <c r="S999" s="3" t="s">
        <v>1385</v>
      </c>
      <c r="T999" s="23" t="s">
        <v>69</v>
      </c>
      <c r="U999" s="3" t="s">
        <v>1385</v>
      </c>
      <c r="AO999" s="15"/>
      <c r="AP999" s="15"/>
      <c r="AQ999" s="15"/>
      <c r="AR999" s="23"/>
      <c r="AS999" s="15"/>
      <c r="AT999" s="15"/>
      <c r="AU999" s="23"/>
      <c r="AV999" s="23"/>
    </row>
    <row r="1000" spans="1:48" x14ac:dyDescent="0.25">
      <c r="A1000" t="s">
        <v>317</v>
      </c>
      <c r="B1000" t="s">
        <v>117</v>
      </c>
      <c r="C1000" s="10">
        <v>-22</v>
      </c>
      <c r="D1000" t="s">
        <v>824</v>
      </c>
      <c r="E1000" s="2">
        <f t="shared" si="155"/>
        <v>46220</v>
      </c>
      <c r="F1000" s="3">
        <f t="shared" si="154"/>
        <v>0.54236111111111118</v>
      </c>
      <c r="G1000" t="s">
        <v>119</v>
      </c>
      <c r="H1000" t="s">
        <v>120</v>
      </c>
      <c r="I1000" t="s">
        <v>67</v>
      </c>
      <c r="J1000" s="2">
        <v>46220</v>
      </c>
      <c r="K1000" s="1">
        <v>0.54236111111111118</v>
      </c>
      <c r="L1000" s="10">
        <f t="shared" si="150"/>
        <v>0</v>
      </c>
      <c r="M1000" s="1" t="str">
        <f t="shared" si="156"/>
        <v>On Time</v>
      </c>
      <c r="N1000" s="27" t="str">
        <f t="shared" si="151"/>
        <v>Heston Airlines</v>
      </c>
      <c r="O1000" s="3" t="s">
        <v>1385</v>
      </c>
      <c r="P1000" s="20">
        <f t="shared" si="152"/>
        <v>13</v>
      </c>
      <c r="Q1000" s="3" t="s">
        <v>1385</v>
      </c>
      <c r="R1000" s="23" t="str">
        <f t="shared" si="153"/>
        <v>Friday</v>
      </c>
      <c r="S1000" s="3" t="s">
        <v>1385</v>
      </c>
      <c r="T1000" s="23" t="s">
        <v>117</v>
      </c>
      <c r="U1000" s="3" t="s">
        <v>1385</v>
      </c>
      <c r="AO1000" s="15"/>
      <c r="AP1000" s="15"/>
      <c r="AQ1000" s="15"/>
      <c r="AR1000" s="23"/>
      <c r="AS1000" s="15"/>
      <c r="AT1000" s="15"/>
      <c r="AU1000" s="23"/>
      <c r="AV1000" s="23"/>
    </row>
    <row r="1001" spans="1:48" x14ac:dyDescent="0.25">
      <c r="A1001" t="s">
        <v>319</v>
      </c>
      <c r="B1001" t="s">
        <v>85</v>
      </c>
      <c r="C1001" s="10">
        <v>-36</v>
      </c>
      <c r="D1001" t="s">
        <v>590</v>
      </c>
      <c r="E1001" s="2">
        <f t="shared" si="155"/>
        <v>46220</v>
      </c>
      <c r="F1001" s="3">
        <f t="shared" si="154"/>
        <v>0.54999999999999993</v>
      </c>
      <c r="G1001" t="s">
        <v>15</v>
      </c>
      <c r="H1001" t="s">
        <v>16</v>
      </c>
      <c r="I1001" t="s">
        <v>89</v>
      </c>
      <c r="J1001" s="2">
        <v>46220</v>
      </c>
      <c r="K1001" s="1">
        <v>0.55555555555555558</v>
      </c>
      <c r="L1001" s="10">
        <f t="shared" si="150"/>
        <v>8.0000000000001315</v>
      </c>
      <c r="M1001" s="1" t="str">
        <f t="shared" si="156"/>
        <v>On Time</v>
      </c>
      <c r="N1001" s="27" t="str">
        <f t="shared" si="151"/>
        <v>Ryanair</v>
      </c>
      <c r="O1001" s="3" t="s">
        <v>1385</v>
      </c>
      <c r="P1001" s="20">
        <f t="shared" si="152"/>
        <v>13</v>
      </c>
      <c r="Q1001" s="3" t="s">
        <v>1385</v>
      </c>
      <c r="R1001" s="23" t="str">
        <f t="shared" si="153"/>
        <v>Friday</v>
      </c>
      <c r="S1001" s="3" t="s">
        <v>1385</v>
      </c>
      <c r="T1001" s="23" t="s">
        <v>85</v>
      </c>
      <c r="U1001" s="3" t="s">
        <v>1385</v>
      </c>
      <c r="AO1001" s="15"/>
      <c r="AP1001" s="15"/>
      <c r="AQ1001" s="15"/>
      <c r="AR1001" s="23"/>
      <c r="AS1001" s="15"/>
      <c r="AT1001" s="15"/>
      <c r="AU1001" s="23"/>
      <c r="AV1001" s="23"/>
    </row>
    <row r="1002" spans="1:48" x14ac:dyDescent="0.25">
      <c r="A1002" t="s">
        <v>321</v>
      </c>
      <c r="B1002" t="s">
        <v>85</v>
      </c>
      <c r="C1002" s="10">
        <v>-26</v>
      </c>
      <c r="D1002" t="s">
        <v>769</v>
      </c>
      <c r="E1002" s="2">
        <f t="shared" si="155"/>
        <v>46220</v>
      </c>
      <c r="F1002" s="3">
        <f t="shared" si="154"/>
        <v>0.55347222222222225</v>
      </c>
      <c r="G1002" t="s">
        <v>323</v>
      </c>
      <c r="H1002" t="s">
        <v>324</v>
      </c>
      <c r="I1002" t="s">
        <v>89</v>
      </c>
      <c r="J1002" s="2">
        <v>46220</v>
      </c>
      <c r="K1002" s="1">
        <v>0.55555555555555558</v>
      </c>
      <c r="L1002" s="10">
        <f t="shared" si="150"/>
        <v>2.9999999999999893</v>
      </c>
      <c r="M1002" s="1" t="str">
        <f t="shared" si="156"/>
        <v>On Time</v>
      </c>
      <c r="N1002" s="27" t="str">
        <f t="shared" si="151"/>
        <v>Ryanair</v>
      </c>
      <c r="O1002" s="3" t="s">
        <v>1385</v>
      </c>
      <c r="P1002" s="20">
        <f t="shared" si="152"/>
        <v>13</v>
      </c>
      <c r="Q1002" s="3" t="s">
        <v>1385</v>
      </c>
      <c r="R1002" s="23" t="str">
        <f t="shared" si="153"/>
        <v>Friday</v>
      </c>
      <c r="S1002" s="3" t="s">
        <v>1385</v>
      </c>
      <c r="T1002" s="23" t="s">
        <v>85</v>
      </c>
      <c r="U1002" s="3" t="s">
        <v>1385</v>
      </c>
      <c r="AO1002" s="15"/>
      <c r="AP1002" s="15"/>
      <c r="AQ1002" s="15"/>
      <c r="AR1002" s="23"/>
      <c r="AS1002" s="15"/>
      <c r="AT1002" s="15"/>
      <c r="AU1002" s="23"/>
      <c r="AV1002" s="23"/>
    </row>
    <row r="1003" spans="1:48" x14ac:dyDescent="0.25">
      <c r="A1003" t="s">
        <v>133</v>
      </c>
      <c r="B1003" t="s">
        <v>7</v>
      </c>
      <c r="C1003" s="10">
        <v>-32</v>
      </c>
      <c r="D1003" t="s">
        <v>1063</v>
      </c>
      <c r="E1003" s="2">
        <f t="shared" si="155"/>
        <v>46220</v>
      </c>
      <c r="F1003" s="3">
        <f t="shared" si="154"/>
        <v>0.56597222222222221</v>
      </c>
      <c r="G1003" t="s">
        <v>135</v>
      </c>
      <c r="H1003" t="s">
        <v>136</v>
      </c>
      <c r="I1003" t="s">
        <v>11</v>
      </c>
      <c r="J1003" s="2">
        <v>46220</v>
      </c>
      <c r="K1003" s="1">
        <v>0.55902777777777779</v>
      </c>
      <c r="L1003" s="10">
        <f t="shared" si="150"/>
        <v>-9.9999999999999645</v>
      </c>
      <c r="M1003" s="1" t="str">
        <f t="shared" si="156"/>
        <v>On Time</v>
      </c>
      <c r="N1003" s="27" t="str">
        <f t="shared" si="151"/>
        <v>airBaltic</v>
      </c>
      <c r="O1003" s="3" t="s">
        <v>1385</v>
      </c>
      <c r="P1003" s="20">
        <f t="shared" si="152"/>
        <v>13</v>
      </c>
      <c r="Q1003" s="3" t="s">
        <v>1385</v>
      </c>
      <c r="R1003" s="23" t="str">
        <f t="shared" si="153"/>
        <v>Friday</v>
      </c>
      <c r="S1003" s="3" t="s">
        <v>1385</v>
      </c>
      <c r="T1003" s="23" t="s">
        <v>7</v>
      </c>
      <c r="U1003" s="3" t="s">
        <v>1385</v>
      </c>
      <c r="AO1003" s="15"/>
      <c r="AP1003" s="15"/>
      <c r="AQ1003" s="15"/>
      <c r="AR1003" s="23"/>
      <c r="AS1003" s="15"/>
      <c r="AT1003" s="15"/>
      <c r="AU1003" s="23"/>
      <c r="AV1003" s="23"/>
    </row>
    <row r="1004" spans="1:48" x14ac:dyDescent="0.25">
      <c r="A1004" t="s">
        <v>141</v>
      </c>
      <c r="B1004" t="s">
        <v>19</v>
      </c>
      <c r="C1004" s="10">
        <v>-90</v>
      </c>
      <c r="D1004" t="s">
        <v>866</v>
      </c>
      <c r="E1004" s="2">
        <f t="shared" si="155"/>
        <v>46220</v>
      </c>
      <c r="F1004" s="3">
        <f t="shared" si="154"/>
        <v>0.62361111111111112</v>
      </c>
      <c r="G1004" t="s">
        <v>21</v>
      </c>
      <c r="H1004" t="s">
        <v>22</v>
      </c>
      <c r="I1004" t="s">
        <v>92</v>
      </c>
      <c r="J1004" s="2">
        <v>46220</v>
      </c>
      <c r="K1004" s="1">
        <v>0.57638888888888895</v>
      </c>
      <c r="L1004" s="10">
        <f t="shared" si="150"/>
        <v>-67.999999999999915</v>
      </c>
      <c r="M1004" s="1" t="str">
        <f t="shared" si="156"/>
        <v>Delayed</v>
      </c>
      <c r="N1004" s="27" t="str">
        <f t="shared" si="151"/>
        <v>LOT</v>
      </c>
      <c r="O1004" s="3" t="s">
        <v>1318</v>
      </c>
      <c r="P1004" s="20">
        <f t="shared" si="152"/>
        <v>14</v>
      </c>
      <c r="Q1004" s="3" t="s">
        <v>1318</v>
      </c>
      <c r="R1004" s="23" t="str">
        <f t="shared" si="153"/>
        <v>Friday</v>
      </c>
      <c r="S1004" s="3" t="s">
        <v>1318</v>
      </c>
      <c r="T1004" s="23" t="s">
        <v>19</v>
      </c>
      <c r="U1004" s="3" t="s">
        <v>1318</v>
      </c>
      <c r="AO1004" s="15"/>
      <c r="AP1004" s="15"/>
      <c r="AQ1004" s="15"/>
      <c r="AR1004" s="23"/>
      <c r="AS1004" s="15"/>
      <c r="AT1004" s="15"/>
      <c r="AU1004" s="23"/>
      <c r="AV1004" s="23"/>
    </row>
    <row r="1005" spans="1:48" x14ac:dyDescent="0.25">
      <c r="A1005" t="s">
        <v>123</v>
      </c>
      <c r="B1005" t="s">
        <v>123</v>
      </c>
      <c r="D1005" t="s">
        <v>1064</v>
      </c>
      <c r="E1005" s="2">
        <f t="shared" si="155"/>
        <v>46220</v>
      </c>
      <c r="F1005" s="3">
        <f t="shared" si="154"/>
        <v>0.6118055555555556</v>
      </c>
      <c r="G1005" t="s">
        <v>299</v>
      </c>
      <c r="H1005" t="s">
        <v>300</v>
      </c>
      <c r="I1005" t="s">
        <v>301</v>
      </c>
      <c r="J1005" s="2">
        <v>46220</v>
      </c>
      <c r="K1005" s="1">
        <v>0.58333333333333337</v>
      </c>
      <c r="L1005" s="10">
        <f t="shared" si="150"/>
        <v>-41.000000000000014</v>
      </c>
      <c r="M1005" s="1" t="str">
        <f t="shared" si="156"/>
        <v>Delayed</v>
      </c>
      <c r="N1005" s="27" t="e">
        <f t="shared" si="151"/>
        <v>#N/A</v>
      </c>
      <c r="O1005" s="3" t="s">
        <v>1318</v>
      </c>
      <c r="P1005" s="20">
        <f t="shared" si="152"/>
        <v>14</v>
      </c>
      <c r="Q1005" s="3" t="s">
        <v>1318</v>
      </c>
      <c r="R1005" s="23" t="str">
        <f t="shared" si="153"/>
        <v>Friday</v>
      </c>
      <c r="S1005" s="3" t="s">
        <v>1318</v>
      </c>
      <c r="T1005" s="23" t="s">
        <v>123</v>
      </c>
      <c r="U1005" s="3" t="s">
        <v>1318</v>
      </c>
      <c r="AO1005" s="15"/>
      <c r="AP1005" s="15"/>
      <c r="AQ1005" s="15"/>
      <c r="AR1005" s="23"/>
      <c r="AS1005" s="15"/>
      <c r="AT1005" s="15"/>
      <c r="AU1005" s="23"/>
      <c r="AV1005" s="23"/>
    </row>
    <row r="1006" spans="1:48" x14ac:dyDescent="0.25">
      <c r="A1006" t="s">
        <v>327</v>
      </c>
      <c r="B1006" t="s">
        <v>13</v>
      </c>
      <c r="C1006" s="10">
        <v>2</v>
      </c>
      <c r="D1006" t="s">
        <v>511</v>
      </c>
      <c r="E1006" s="2">
        <f t="shared" si="155"/>
        <v>46220</v>
      </c>
      <c r="F1006" s="3">
        <f t="shared" si="154"/>
        <v>0.57361111111111118</v>
      </c>
      <c r="G1006" t="s">
        <v>329</v>
      </c>
      <c r="H1006" t="s">
        <v>330</v>
      </c>
      <c r="I1006" t="s">
        <v>17</v>
      </c>
      <c r="J1006" s="2">
        <v>46220</v>
      </c>
      <c r="K1006" s="1">
        <v>0.59027777777777779</v>
      </c>
      <c r="L1006" s="10">
        <f t="shared" si="150"/>
        <v>23.999999999999915</v>
      </c>
      <c r="M1006" s="1" t="str">
        <f t="shared" si="156"/>
        <v>On Time</v>
      </c>
      <c r="N1006" s="27" t="str">
        <f t="shared" si="151"/>
        <v>Wizz Air</v>
      </c>
      <c r="O1006" s="3" t="s">
        <v>1385</v>
      </c>
      <c r="P1006" s="20">
        <f t="shared" si="152"/>
        <v>13</v>
      </c>
      <c r="Q1006" s="3" t="s">
        <v>1385</v>
      </c>
      <c r="R1006" s="23" t="str">
        <f t="shared" si="153"/>
        <v>Friday</v>
      </c>
      <c r="S1006" s="3" t="s">
        <v>1385</v>
      </c>
      <c r="T1006" s="23" t="s">
        <v>13</v>
      </c>
      <c r="U1006" s="3" t="s">
        <v>1385</v>
      </c>
      <c r="AO1006" s="15"/>
      <c r="AP1006" s="15"/>
      <c r="AQ1006" s="15"/>
      <c r="AR1006" s="23"/>
      <c r="AS1006" s="15"/>
      <c r="AT1006" s="15"/>
      <c r="AU1006" s="23"/>
      <c r="AV1006" s="23"/>
    </row>
    <row r="1007" spans="1:48" x14ac:dyDescent="0.25">
      <c r="A1007" t="s">
        <v>331</v>
      </c>
      <c r="B1007" t="s">
        <v>7</v>
      </c>
      <c r="C1007" s="10">
        <v>-30</v>
      </c>
      <c r="D1007" t="s">
        <v>660</v>
      </c>
      <c r="E1007" s="2">
        <f t="shared" si="155"/>
        <v>46220</v>
      </c>
      <c r="F1007" s="3">
        <f t="shared" si="154"/>
        <v>0.61249999999999993</v>
      </c>
      <c r="G1007" t="s">
        <v>247</v>
      </c>
      <c r="H1007" t="s">
        <v>248</v>
      </c>
      <c r="I1007" t="s">
        <v>11</v>
      </c>
      <c r="J1007" s="2">
        <v>46220</v>
      </c>
      <c r="K1007" s="1">
        <v>0.60416666666666663</v>
      </c>
      <c r="L1007" s="10">
        <f t="shared" si="150"/>
        <v>-11.999999999999957</v>
      </c>
      <c r="M1007" s="1" t="str">
        <f t="shared" si="156"/>
        <v>On Time</v>
      </c>
      <c r="N1007" s="27" t="str">
        <f t="shared" si="151"/>
        <v>airBaltic</v>
      </c>
      <c r="O1007" s="3" t="s">
        <v>1385</v>
      </c>
      <c r="P1007" s="20">
        <f t="shared" si="152"/>
        <v>14</v>
      </c>
      <c r="Q1007" s="3" t="s">
        <v>1385</v>
      </c>
      <c r="R1007" s="23" t="str">
        <f t="shared" si="153"/>
        <v>Friday</v>
      </c>
      <c r="S1007" s="3" t="s">
        <v>1385</v>
      </c>
      <c r="T1007" s="23" t="s">
        <v>7</v>
      </c>
      <c r="U1007" s="3" t="s">
        <v>1385</v>
      </c>
      <c r="AO1007" s="15"/>
      <c r="AP1007" s="15"/>
      <c r="AQ1007" s="15"/>
      <c r="AR1007" s="23"/>
      <c r="AS1007" s="15"/>
      <c r="AT1007" s="15"/>
      <c r="AU1007" s="23"/>
      <c r="AV1007" s="23"/>
    </row>
    <row r="1008" spans="1:48" x14ac:dyDescent="0.25">
      <c r="A1008" t="s">
        <v>148</v>
      </c>
      <c r="B1008" t="s">
        <v>7</v>
      </c>
      <c r="C1008" s="10">
        <v>-65</v>
      </c>
      <c r="D1008" t="s">
        <v>776</v>
      </c>
      <c r="E1008" s="2">
        <f t="shared" si="155"/>
        <v>46220</v>
      </c>
      <c r="F1008" s="3">
        <f t="shared" si="154"/>
        <v>0.63402777777777775</v>
      </c>
      <c r="G1008" t="s">
        <v>9</v>
      </c>
      <c r="H1008" t="s">
        <v>10</v>
      </c>
      <c r="I1008" t="s">
        <v>11</v>
      </c>
      <c r="J1008" s="2">
        <v>46220</v>
      </c>
      <c r="K1008" s="1">
        <v>0.60763888888888895</v>
      </c>
      <c r="L1008" s="10">
        <f t="shared" si="150"/>
        <v>-37.999999999999865</v>
      </c>
      <c r="M1008" s="1" t="str">
        <f t="shared" si="156"/>
        <v>Delayed</v>
      </c>
      <c r="N1008" s="27" t="str">
        <f t="shared" si="151"/>
        <v>airBaltic</v>
      </c>
      <c r="O1008" s="3" t="s">
        <v>1318</v>
      </c>
      <c r="P1008" s="20">
        <f t="shared" si="152"/>
        <v>15</v>
      </c>
      <c r="Q1008" s="3" t="s">
        <v>1318</v>
      </c>
      <c r="R1008" s="23" t="str">
        <f t="shared" si="153"/>
        <v>Friday</v>
      </c>
      <c r="S1008" s="3" t="s">
        <v>1318</v>
      </c>
      <c r="T1008" s="23" t="s">
        <v>7</v>
      </c>
      <c r="U1008" s="3" t="s">
        <v>1318</v>
      </c>
      <c r="AO1008" s="15"/>
      <c r="AP1008" s="15"/>
      <c r="AQ1008" s="15"/>
      <c r="AR1008" s="23"/>
      <c r="AS1008" s="15"/>
      <c r="AT1008" s="15"/>
      <c r="AU1008" s="23"/>
      <c r="AV1008" s="23"/>
    </row>
    <row r="1009" spans="1:48" x14ac:dyDescent="0.25">
      <c r="A1009" t="s">
        <v>156</v>
      </c>
      <c r="B1009" t="s">
        <v>41</v>
      </c>
      <c r="C1009" s="10">
        <v>-16</v>
      </c>
      <c r="D1009" t="s">
        <v>583</v>
      </c>
      <c r="E1009" s="2">
        <f t="shared" si="155"/>
        <v>46220</v>
      </c>
      <c r="F1009" s="3">
        <f t="shared" si="154"/>
        <v>0.63611111111111118</v>
      </c>
      <c r="G1009" t="s">
        <v>43</v>
      </c>
      <c r="H1009" t="s">
        <v>44</v>
      </c>
      <c r="I1009" t="s">
        <v>158</v>
      </c>
      <c r="J1009" s="2">
        <v>46220</v>
      </c>
      <c r="K1009" s="1">
        <v>0.63541666666666663</v>
      </c>
      <c r="L1009" s="10">
        <f t="shared" si="150"/>
        <v>-1.0000000000001563</v>
      </c>
      <c r="M1009" s="1" t="str">
        <f t="shared" si="156"/>
        <v>On Time</v>
      </c>
      <c r="N1009" s="27" t="str">
        <f t="shared" si="151"/>
        <v>SAS</v>
      </c>
      <c r="O1009" s="3" t="s">
        <v>1385</v>
      </c>
      <c r="P1009" s="20">
        <f t="shared" si="152"/>
        <v>15</v>
      </c>
      <c r="Q1009" s="3" t="s">
        <v>1385</v>
      </c>
      <c r="R1009" s="23" t="str">
        <f t="shared" si="153"/>
        <v>Friday</v>
      </c>
      <c r="S1009" s="3" t="s">
        <v>1385</v>
      </c>
      <c r="T1009" s="23" t="s">
        <v>41</v>
      </c>
      <c r="U1009" s="3" t="s">
        <v>1385</v>
      </c>
      <c r="AO1009" s="15"/>
      <c r="AP1009" s="15"/>
      <c r="AQ1009" s="15"/>
      <c r="AR1009" s="23"/>
      <c r="AS1009" s="15"/>
      <c r="AT1009" s="15"/>
      <c r="AU1009" s="23"/>
      <c r="AV1009" s="23"/>
    </row>
    <row r="1010" spans="1:48" x14ac:dyDescent="0.25">
      <c r="A1010" t="s">
        <v>335</v>
      </c>
      <c r="B1010" t="s">
        <v>7</v>
      </c>
      <c r="C1010" s="10">
        <v>-25</v>
      </c>
      <c r="D1010" t="s">
        <v>777</v>
      </c>
      <c r="E1010" s="2">
        <f t="shared" si="155"/>
        <v>46220</v>
      </c>
      <c r="F1010" s="3">
        <f t="shared" si="154"/>
        <v>0.64097222222222217</v>
      </c>
      <c r="G1010" t="s">
        <v>337</v>
      </c>
      <c r="H1010" t="s">
        <v>338</v>
      </c>
      <c r="I1010" t="s">
        <v>11</v>
      </c>
      <c r="J1010" s="2">
        <v>46220</v>
      </c>
      <c r="K1010" s="1">
        <v>0.64236111111111105</v>
      </c>
      <c r="L1010" s="10">
        <f t="shared" si="150"/>
        <v>1.9999999999999929</v>
      </c>
      <c r="M1010" s="1" t="str">
        <f t="shared" si="156"/>
        <v>On Time</v>
      </c>
      <c r="N1010" s="27" t="str">
        <f t="shared" si="151"/>
        <v>airBaltic</v>
      </c>
      <c r="O1010" s="3" t="s">
        <v>1385</v>
      </c>
      <c r="P1010" s="20">
        <f t="shared" si="152"/>
        <v>15</v>
      </c>
      <c r="Q1010" s="3" t="s">
        <v>1385</v>
      </c>
      <c r="R1010" s="23" t="str">
        <f t="shared" si="153"/>
        <v>Friday</v>
      </c>
      <c r="S1010" s="3" t="s">
        <v>1385</v>
      </c>
      <c r="T1010" s="23" t="s">
        <v>7</v>
      </c>
      <c r="U1010" s="3" t="s">
        <v>1385</v>
      </c>
      <c r="AO1010" s="15"/>
      <c r="AP1010" s="15"/>
      <c r="AQ1010" s="15"/>
      <c r="AR1010" s="23"/>
      <c r="AS1010" s="15"/>
      <c r="AT1010" s="15"/>
      <c r="AU1010" s="23"/>
      <c r="AV1010" s="23"/>
    </row>
    <row r="1011" spans="1:48" x14ac:dyDescent="0.25">
      <c r="A1011" t="s">
        <v>344</v>
      </c>
      <c r="B1011" t="s">
        <v>85</v>
      </c>
      <c r="C1011" s="10">
        <v>-27</v>
      </c>
      <c r="D1011" t="s">
        <v>1065</v>
      </c>
      <c r="E1011" s="2">
        <f t="shared" si="155"/>
        <v>46220</v>
      </c>
      <c r="F1011" s="3">
        <f t="shared" si="154"/>
        <v>0.64444444444444449</v>
      </c>
      <c r="G1011" t="s">
        <v>346</v>
      </c>
      <c r="H1011" t="s">
        <v>347</v>
      </c>
      <c r="I1011" t="s">
        <v>89</v>
      </c>
      <c r="J1011" s="2">
        <v>46220</v>
      </c>
      <c r="K1011" s="1">
        <v>0.64583333333333337</v>
      </c>
      <c r="L1011" s="10">
        <f t="shared" si="150"/>
        <v>1.9999999999999929</v>
      </c>
      <c r="M1011" s="1" t="str">
        <f t="shared" si="156"/>
        <v>On Time</v>
      </c>
      <c r="N1011" s="27" t="str">
        <f t="shared" si="151"/>
        <v>Ryanair</v>
      </c>
      <c r="O1011" s="3" t="s">
        <v>1385</v>
      </c>
      <c r="P1011" s="20">
        <f t="shared" si="152"/>
        <v>15</v>
      </c>
      <c r="Q1011" s="3" t="s">
        <v>1385</v>
      </c>
      <c r="R1011" s="23" t="str">
        <f t="shared" si="153"/>
        <v>Friday</v>
      </c>
      <c r="S1011" s="3" t="s">
        <v>1385</v>
      </c>
      <c r="T1011" s="23" t="s">
        <v>85</v>
      </c>
      <c r="U1011" s="3" t="s">
        <v>1385</v>
      </c>
      <c r="AO1011" s="15"/>
      <c r="AP1011" s="15"/>
      <c r="AQ1011" s="15"/>
      <c r="AR1011" s="23"/>
      <c r="AS1011" s="15"/>
      <c r="AT1011" s="15"/>
      <c r="AU1011" s="23"/>
      <c r="AV1011" s="23"/>
    </row>
    <row r="1012" spans="1:48" x14ac:dyDescent="0.25">
      <c r="A1012" t="s">
        <v>348</v>
      </c>
      <c r="B1012" t="s">
        <v>13</v>
      </c>
      <c r="C1012" s="10">
        <v>-17</v>
      </c>
      <c r="D1012" t="s">
        <v>1066</v>
      </c>
      <c r="E1012" s="2">
        <f t="shared" si="155"/>
        <v>46220</v>
      </c>
      <c r="F1012" s="3">
        <f t="shared" si="154"/>
        <v>0.6381944444444444</v>
      </c>
      <c r="G1012" t="s">
        <v>349</v>
      </c>
      <c r="H1012" t="s">
        <v>350</v>
      </c>
      <c r="I1012" t="s">
        <v>17</v>
      </c>
      <c r="J1012" s="2">
        <v>46220</v>
      </c>
      <c r="K1012" s="1">
        <v>0.64930555555555558</v>
      </c>
      <c r="L1012" s="10">
        <f t="shared" si="150"/>
        <v>16.000000000000103</v>
      </c>
      <c r="M1012" s="1" t="str">
        <f t="shared" si="156"/>
        <v>On Time</v>
      </c>
      <c r="N1012" s="27" t="str">
        <f t="shared" si="151"/>
        <v>Wizz Air</v>
      </c>
      <c r="O1012" s="3" t="s">
        <v>1385</v>
      </c>
      <c r="P1012" s="20">
        <f t="shared" si="152"/>
        <v>15</v>
      </c>
      <c r="Q1012" s="3" t="s">
        <v>1385</v>
      </c>
      <c r="R1012" s="23" t="str">
        <f t="shared" si="153"/>
        <v>Friday</v>
      </c>
      <c r="S1012" s="3" t="s">
        <v>1385</v>
      </c>
      <c r="T1012" s="23" t="s">
        <v>13</v>
      </c>
      <c r="U1012" s="3" t="s">
        <v>1385</v>
      </c>
      <c r="AO1012" s="15"/>
      <c r="AP1012" s="15"/>
      <c r="AQ1012" s="15"/>
      <c r="AR1012" s="23"/>
      <c r="AS1012" s="15"/>
      <c r="AT1012" s="15"/>
      <c r="AU1012" s="23"/>
      <c r="AV1012" s="23"/>
    </row>
    <row r="1013" spans="1:48" x14ac:dyDescent="0.25">
      <c r="A1013" t="s">
        <v>351</v>
      </c>
      <c r="B1013" t="s">
        <v>85</v>
      </c>
      <c r="C1013" s="10">
        <v>-12</v>
      </c>
      <c r="D1013" t="s">
        <v>599</v>
      </c>
      <c r="E1013" s="2">
        <f t="shared" si="155"/>
        <v>46220</v>
      </c>
      <c r="F1013" s="3">
        <f t="shared" si="154"/>
        <v>0.64236111111111105</v>
      </c>
      <c r="G1013" t="s">
        <v>252</v>
      </c>
      <c r="H1013" t="s">
        <v>352</v>
      </c>
      <c r="I1013" t="s">
        <v>162</v>
      </c>
      <c r="J1013" s="2">
        <v>46220</v>
      </c>
      <c r="K1013" s="1">
        <v>0.65277777777777779</v>
      </c>
      <c r="L1013" s="10">
        <f t="shared" si="150"/>
        <v>15.000000000000107</v>
      </c>
      <c r="M1013" s="1" t="str">
        <f t="shared" si="156"/>
        <v>On Time</v>
      </c>
      <c r="N1013" s="27" t="str">
        <f t="shared" si="151"/>
        <v>Ryanair</v>
      </c>
      <c r="O1013" s="3" t="s">
        <v>1385</v>
      </c>
      <c r="P1013" s="20">
        <f t="shared" si="152"/>
        <v>15</v>
      </c>
      <c r="Q1013" s="3" t="s">
        <v>1385</v>
      </c>
      <c r="R1013" s="23" t="str">
        <f t="shared" si="153"/>
        <v>Friday</v>
      </c>
      <c r="S1013" s="3" t="s">
        <v>1385</v>
      </c>
      <c r="T1013" s="23" t="s">
        <v>85</v>
      </c>
      <c r="U1013" s="3" t="s">
        <v>1385</v>
      </c>
      <c r="AO1013" s="15"/>
      <c r="AP1013" s="15"/>
      <c r="AQ1013" s="15"/>
      <c r="AR1013" s="23"/>
      <c r="AS1013" s="15"/>
      <c r="AT1013" s="15"/>
      <c r="AU1013" s="23"/>
      <c r="AV1013" s="23"/>
    </row>
    <row r="1014" spans="1:48" x14ac:dyDescent="0.25">
      <c r="A1014" t="s">
        <v>175</v>
      </c>
      <c r="B1014" t="s">
        <v>19</v>
      </c>
      <c r="C1014" s="10">
        <v>-69</v>
      </c>
      <c r="D1014" t="s">
        <v>449</v>
      </c>
      <c r="E1014" s="2">
        <f t="shared" si="155"/>
        <v>46220</v>
      </c>
      <c r="F1014" s="3">
        <f t="shared" si="154"/>
        <v>0.71458333333333324</v>
      </c>
      <c r="G1014" t="s">
        <v>21</v>
      </c>
      <c r="H1014" t="s">
        <v>22</v>
      </c>
      <c r="I1014" t="s">
        <v>237</v>
      </c>
      <c r="J1014" s="2">
        <v>46220</v>
      </c>
      <c r="K1014" s="1">
        <v>0.68055555555555547</v>
      </c>
      <c r="L1014" s="10">
        <f t="shared" si="150"/>
        <v>-48.999999999999986</v>
      </c>
      <c r="M1014" s="1" t="str">
        <f t="shared" si="156"/>
        <v>Delayed</v>
      </c>
      <c r="N1014" s="27" t="str">
        <f t="shared" si="151"/>
        <v>LOT</v>
      </c>
      <c r="O1014" s="3" t="s">
        <v>1318</v>
      </c>
      <c r="P1014" s="20">
        <f t="shared" si="152"/>
        <v>17</v>
      </c>
      <c r="Q1014" s="3" t="s">
        <v>1318</v>
      </c>
      <c r="R1014" s="23" t="str">
        <f t="shared" si="153"/>
        <v>Friday</v>
      </c>
      <c r="S1014" s="3" t="s">
        <v>1318</v>
      </c>
      <c r="T1014" s="23" t="s">
        <v>19</v>
      </c>
      <c r="U1014" s="3" t="s">
        <v>1318</v>
      </c>
      <c r="AO1014" s="15"/>
      <c r="AP1014" s="15"/>
      <c r="AQ1014" s="15"/>
      <c r="AR1014" s="23"/>
      <c r="AS1014" s="15"/>
      <c r="AT1014" s="15"/>
      <c r="AU1014" s="23"/>
      <c r="AV1014" s="23"/>
    </row>
    <row r="1015" spans="1:48" x14ac:dyDescent="0.25">
      <c r="A1015" t="s">
        <v>182</v>
      </c>
      <c r="B1015" t="s">
        <v>69</v>
      </c>
      <c r="C1015" s="10">
        <v>-18</v>
      </c>
      <c r="D1015" t="s">
        <v>1067</v>
      </c>
      <c r="E1015" s="2">
        <f t="shared" si="155"/>
        <v>46220</v>
      </c>
      <c r="F1015" s="3">
        <f t="shared" si="154"/>
        <v>0.71736111111111101</v>
      </c>
      <c r="G1015" t="s">
        <v>71</v>
      </c>
      <c r="H1015" t="s">
        <v>72</v>
      </c>
      <c r="I1015" t="s">
        <v>295</v>
      </c>
      <c r="J1015" s="2">
        <v>46220</v>
      </c>
      <c r="K1015" s="1">
        <v>0.71527777777777779</v>
      </c>
      <c r="L1015" s="10">
        <f t="shared" si="150"/>
        <v>-2.9999999999998295</v>
      </c>
      <c r="M1015" s="1" t="str">
        <f t="shared" si="156"/>
        <v>On Time</v>
      </c>
      <c r="N1015" s="27" t="str">
        <f t="shared" si="151"/>
        <v>Finnair</v>
      </c>
      <c r="O1015" s="3" t="s">
        <v>1385</v>
      </c>
      <c r="P1015" s="20">
        <f t="shared" si="152"/>
        <v>17</v>
      </c>
      <c r="Q1015" s="3" t="s">
        <v>1385</v>
      </c>
      <c r="R1015" s="23" t="str">
        <f t="shared" si="153"/>
        <v>Friday</v>
      </c>
      <c r="S1015" s="3" t="s">
        <v>1385</v>
      </c>
      <c r="T1015" s="23" t="s">
        <v>69</v>
      </c>
      <c r="U1015" s="3" t="s">
        <v>1385</v>
      </c>
      <c r="AO1015" s="15"/>
      <c r="AP1015" s="15"/>
      <c r="AQ1015" s="15"/>
      <c r="AR1015" s="23"/>
      <c r="AS1015" s="15"/>
      <c r="AT1015" s="15"/>
      <c r="AU1015" s="23"/>
      <c r="AV1015" s="23"/>
    </row>
    <row r="1016" spans="1:48" x14ac:dyDescent="0.25">
      <c r="A1016" t="s">
        <v>84</v>
      </c>
      <c r="B1016" t="s">
        <v>85</v>
      </c>
      <c r="C1016" s="10">
        <v>-16</v>
      </c>
      <c r="D1016" t="s">
        <v>354</v>
      </c>
      <c r="E1016" s="2">
        <f t="shared" si="155"/>
        <v>46220</v>
      </c>
      <c r="F1016" s="3">
        <f t="shared" si="154"/>
        <v>0.71944444444444444</v>
      </c>
      <c r="G1016" t="s">
        <v>87</v>
      </c>
      <c r="H1016" t="s">
        <v>88</v>
      </c>
      <c r="I1016" t="s">
        <v>162</v>
      </c>
      <c r="J1016" s="2">
        <v>46220</v>
      </c>
      <c r="K1016" s="1">
        <v>0.71875</v>
      </c>
      <c r="L1016" s="10">
        <f t="shared" si="150"/>
        <v>-0.99999999999999645</v>
      </c>
      <c r="M1016" s="1" t="str">
        <f t="shared" si="156"/>
        <v>On Time</v>
      </c>
      <c r="N1016" s="27" t="str">
        <f t="shared" si="151"/>
        <v>Ryanair</v>
      </c>
      <c r="O1016" s="3" t="s">
        <v>1385</v>
      </c>
      <c r="P1016" s="20">
        <f t="shared" si="152"/>
        <v>17</v>
      </c>
      <c r="Q1016" s="3" t="s">
        <v>1385</v>
      </c>
      <c r="R1016" s="23" t="str">
        <f t="shared" si="153"/>
        <v>Friday</v>
      </c>
      <c r="S1016" s="3" t="s">
        <v>1385</v>
      </c>
      <c r="T1016" s="23" t="s">
        <v>85</v>
      </c>
      <c r="U1016" s="3" t="s">
        <v>1385</v>
      </c>
      <c r="AO1016" s="15"/>
      <c r="AP1016" s="15"/>
      <c r="AQ1016" s="15"/>
      <c r="AR1016" s="23"/>
      <c r="AS1016" s="15"/>
      <c r="AT1016" s="15"/>
      <c r="AU1016" s="23"/>
      <c r="AV1016" s="23"/>
    </row>
    <row r="1017" spans="1:48" x14ac:dyDescent="0.25">
      <c r="A1017" t="s">
        <v>356</v>
      </c>
      <c r="B1017" t="s">
        <v>7</v>
      </c>
      <c r="C1017" s="10">
        <v>-4</v>
      </c>
      <c r="D1017" t="s">
        <v>784</v>
      </c>
      <c r="E1017" s="2">
        <f t="shared" si="155"/>
        <v>46220</v>
      </c>
      <c r="F1017" s="3">
        <f t="shared" si="154"/>
        <v>0.71180555555555547</v>
      </c>
      <c r="G1017" t="s">
        <v>76</v>
      </c>
      <c r="H1017" t="s">
        <v>77</v>
      </c>
      <c r="I1017" t="s">
        <v>11</v>
      </c>
      <c r="J1017" s="2">
        <v>46220</v>
      </c>
      <c r="K1017" s="1">
        <v>0.72222222222222221</v>
      </c>
      <c r="L1017" s="10">
        <f t="shared" si="150"/>
        <v>15.000000000000107</v>
      </c>
      <c r="M1017" s="1" t="str">
        <f t="shared" si="156"/>
        <v>On Time</v>
      </c>
      <c r="N1017" s="27" t="str">
        <f t="shared" si="151"/>
        <v>airBaltic</v>
      </c>
      <c r="O1017" s="3" t="s">
        <v>1385</v>
      </c>
      <c r="P1017" s="20">
        <f t="shared" si="152"/>
        <v>17</v>
      </c>
      <c r="Q1017" s="3" t="s">
        <v>1385</v>
      </c>
      <c r="R1017" s="23" t="str">
        <f t="shared" si="153"/>
        <v>Friday</v>
      </c>
      <c r="S1017" s="3" t="s">
        <v>1385</v>
      </c>
      <c r="T1017" s="23" t="s">
        <v>7</v>
      </c>
      <c r="U1017" s="3" t="s">
        <v>1385</v>
      </c>
      <c r="AO1017" s="15"/>
      <c r="AP1017" s="15"/>
      <c r="AQ1017" s="15"/>
      <c r="AR1017" s="23"/>
      <c r="AS1017" s="15"/>
      <c r="AT1017" s="15"/>
      <c r="AU1017" s="23"/>
      <c r="AV1017" s="23"/>
    </row>
    <row r="1018" spans="1:48" x14ac:dyDescent="0.25">
      <c r="A1018" t="s">
        <v>1068</v>
      </c>
      <c r="B1018" t="s">
        <v>124</v>
      </c>
      <c r="D1018" t="s">
        <v>1069</v>
      </c>
      <c r="E1018" s="2">
        <f t="shared" si="155"/>
        <v>46220</v>
      </c>
      <c r="F1018" s="3" t="e">
        <f t="shared" si="154"/>
        <v>#N/A</v>
      </c>
      <c r="G1018" t="s">
        <v>1070</v>
      </c>
      <c r="H1018" t="s">
        <v>1071</v>
      </c>
      <c r="I1018" t="s">
        <v>1072</v>
      </c>
      <c r="J1018" s="2">
        <v>46220</v>
      </c>
      <c r="K1018" s="1">
        <v>0.7631944444444444</v>
      </c>
      <c r="L1018" s="10" t="e">
        <f t="shared" si="150"/>
        <v>#N/A</v>
      </c>
      <c r="M1018" s="1" t="e">
        <f t="shared" si="156"/>
        <v>#N/A</v>
      </c>
      <c r="N1018" s="27" t="str">
        <f t="shared" si="151"/>
        <v>GetJet Airlines</v>
      </c>
      <c r="O1018" s="3" t="e">
        <v>#N/A</v>
      </c>
      <c r="P1018" s="20" t="e">
        <f t="shared" si="152"/>
        <v>#N/A</v>
      </c>
      <c r="Q1018" s="3" t="e">
        <v>#N/A</v>
      </c>
      <c r="R1018" s="23" t="str">
        <f t="shared" si="153"/>
        <v>Friday</v>
      </c>
      <c r="S1018" s="3" t="e">
        <v>#N/A</v>
      </c>
      <c r="T1018" s="23" t="s">
        <v>124</v>
      </c>
      <c r="AO1018" s="15"/>
      <c r="AP1018" s="15"/>
      <c r="AQ1018" s="15"/>
      <c r="AR1018" s="23"/>
      <c r="AS1018" s="15"/>
      <c r="AT1018" s="15"/>
      <c r="AU1018" s="23"/>
      <c r="AV1018" s="23"/>
    </row>
    <row r="1019" spans="1:48" x14ac:dyDescent="0.25">
      <c r="A1019" t="s">
        <v>184</v>
      </c>
      <c r="B1019" t="s">
        <v>85</v>
      </c>
      <c r="C1019" s="10">
        <v>-9</v>
      </c>
      <c r="D1019" t="s">
        <v>787</v>
      </c>
      <c r="E1019" s="2">
        <f t="shared" si="155"/>
        <v>46220</v>
      </c>
      <c r="F1019" s="3">
        <f t="shared" si="154"/>
        <v>0.75763888888888886</v>
      </c>
      <c r="G1019" t="s">
        <v>153</v>
      </c>
      <c r="H1019" t="s">
        <v>154</v>
      </c>
      <c r="I1019" t="s">
        <v>89</v>
      </c>
      <c r="J1019" s="2">
        <v>46220</v>
      </c>
      <c r="K1019" s="1">
        <v>0.76388888888888884</v>
      </c>
      <c r="L1019" s="10">
        <f t="shared" si="150"/>
        <v>8.999999999999968</v>
      </c>
      <c r="M1019" s="1" t="str">
        <f t="shared" si="156"/>
        <v>On Time</v>
      </c>
      <c r="N1019" s="27" t="str">
        <f t="shared" si="151"/>
        <v>Ryanair</v>
      </c>
      <c r="O1019" s="3" t="s">
        <v>1385</v>
      </c>
      <c r="P1019" s="20">
        <f t="shared" si="152"/>
        <v>18</v>
      </c>
      <c r="Q1019" s="3" t="s">
        <v>1385</v>
      </c>
      <c r="R1019" s="23" t="str">
        <f t="shared" si="153"/>
        <v>Friday</v>
      </c>
      <c r="S1019" s="3" t="s">
        <v>1385</v>
      </c>
      <c r="T1019" s="23" t="s">
        <v>85</v>
      </c>
      <c r="U1019" s="3" t="s">
        <v>1385</v>
      </c>
      <c r="AO1019" s="15"/>
      <c r="AP1019" s="15"/>
      <c r="AQ1019" s="15"/>
      <c r="AR1019" s="23"/>
      <c r="AS1019" s="15"/>
      <c r="AT1019" s="15"/>
      <c r="AU1019" s="23"/>
      <c r="AV1019" s="23"/>
    </row>
    <row r="1020" spans="1:48" x14ac:dyDescent="0.25">
      <c r="A1020" t="s">
        <v>1073</v>
      </c>
      <c r="B1020" t="s">
        <v>117</v>
      </c>
      <c r="D1020" t="s">
        <v>1074</v>
      </c>
      <c r="E1020" s="2">
        <f t="shared" si="155"/>
        <v>46220</v>
      </c>
      <c r="F1020" s="3">
        <f t="shared" si="154"/>
        <v>0.79652777777777783</v>
      </c>
      <c r="G1020" t="s">
        <v>9</v>
      </c>
      <c r="H1020" t="s">
        <v>10</v>
      </c>
      <c r="I1020" t="s">
        <v>83</v>
      </c>
      <c r="J1020" s="2">
        <v>46220</v>
      </c>
      <c r="K1020" s="1">
        <v>0.76458333333333339</v>
      </c>
      <c r="L1020" s="10">
        <f t="shared" si="150"/>
        <v>-46</v>
      </c>
      <c r="M1020" s="1" t="str">
        <f t="shared" si="156"/>
        <v>Delayed</v>
      </c>
      <c r="N1020" s="27" t="str">
        <f t="shared" si="151"/>
        <v>Heston Airlines</v>
      </c>
      <c r="O1020" s="3" t="s">
        <v>1318</v>
      </c>
      <c r="P1020" s="20">
        <f t="shared" si="152"/>
        <v>19</v>
      </c>
      <c r="Q1020" s="3" t="s">
        <v>1318</v>
      </c>
      <c r="R1020" s="23" t="str">
        <f t="shared" si="153"/>
        <v>Friday</v>
      </c>
      <c r="S1020" s="3" t="s">
        <v>1318</v>
      </c>
      <c r="T1020" s="23" t="s">
        <v>117</v>
      </c>
      <c r="U1020" s="3" t="s">
        <v>1318</v>
      </c>
      <c r="AO1020" s="15"/>
      <c r="AP1020" s="15"/>
      <c r="AQ1020" s="15"/>
      <c r="AR1020" s="23"/>
      <c r="AS1020" s="15"/>
      <c r="AT1020" s="15"/>
      <c r="AU1020" s="23"/>
      <c r="AV1020" s="23"/>
    </row>
    <row r="1021" spans="1:48" x14ac:dyDescent="0.25">
      <c r="A1021" t="s">
        <v>78</v>
      </c>
      <c r="B1021" t="s">
        <v>756</v>
      </c>
      <c r="C1021" s="10">
        <v>-56</v>
      </c>
      <c r="D1021" t="s">
        <v>1046</v>
      </c>
      <c r="E1021" s="2">
        <f t="shared" si="155"/>
        <v>46220</v>
      </c>
      <c r="F1021" s="3">
        <f t="shared" si="154"/>
        <v>0.79236111111111107</v>
      </c>
      <c r="G1021" t="s">
        <v>81</v>
      </c>
      <c r="H1021" t="s">
        <v>82</v>
      </c>
      <c r="I1021" t="s">
        <v>83</v>
      </c>
      <c r="J1021" s="2">
        <v>46220</v>
      </c>
      <c r="K1021" s="1">
        <v>0.77083333333333337</v>
      </c>
      <c r="L1021" s="10">
        <f t="shared" si="150"/>
        <v>-30.99999999999989</v>
      </c>
      <c r="M1021" s="1" t="str">
        <f t="shared" si="156"/>
        <v>Delayed</v>
      </c>
      <c r="N1021" s="27" t="e">
        <f t="shared" si="151"/>
        <v>#N/A</v>
      </c>
      <c r="O1021" s="3" t="s">
        <v>1318</v>
      </c>
      <c r="P1021" s="20">
        <f t="shared" si="152"/>
        <v>19</v>
      </c>
      <c r="Q1021" s="3" t="s">
        <v>1318</v>
      </c>
      <c r="R1021" s="23" t="str">
        <f t="shared" si="153"/>
        <v>Friday</v>
      </c>
      <c r="S1021" s="3" t="s">
        <v>1318</v>
      </c>
      <c r="T1021" s="23" t="s">
        <v>756</v>
      </c>
      <c r="U1021" s="3" t="s">
        <v>1318</v>
      </c>
      <c r="AO1021" s="15"/>
      <c r="AP1021" s="15"/>
      <c r="AQ1021" s="15"/>
      <c r="AR1021" s="23"/>
      <c r="AS1021" s="15"/>
      <c r="AT1021" s="15"/>
      <c r="AU1021" s="23"/>
      <c r="AV1021" s="23"/>
    </row>
    <row r="1022" spans="1:48" x14ac:dyDescent="0.25">
      <c r="A1022" t="s">
        <v>186</v>
      </c>
      <c r="B1022" t="s">
        <v>19</v>
      </c>
      <c r="C1022" s="10">
        <v>-60</v>
      </c>
      <c r="D1022" t="s">
        <v>1075</v>
      </c>
      <c r="E1022" s="2">
        <f t="shared" si="155"/>
        <v>46220</v>
      </c>
      <c r="F1022" s="3">
        <f t="shared" si="154"/>
        <v>0.8027777777777777</v>
      </c>
      <c r="G1022" t="s">
        <v>21</v>
      </c>
      <c r="H1022" t="s">
        <v>22</v>
      </c>
      <c r="I1022" t="s">
        <v>237</v>
      </c>
      <c r="J1022" s="2">
        <v>46220</v>
      </c>
      <c r="K1022" s="1">
        <v>0.77430555555555547</v>
      </c>
      <c r="L1022" s="10">
        <f t="shared" si="150"/>
        <v>-41.000000000000014</v>
      </c>
      <c r="M1022" s="1" t="str">
        <f t="shared" si="156"/>
        <v>Delayed</v>
      </c>
      <c r="N1022" s="27" t="str">
        <f t="shared" si="151"/>
        <v>LOT</v>
      </c>
      <c r="O1022" s="3" t="s">
        <v>1318</v>
      </c>
      <c r="P1022" s="20">
        <f t="shared" si="152"/>
        <v>19</v>
      </c>
      <c r="Q1022" s="3" t="s">
        <v>1318</v>
      </c>
      <c r="R1022" s="23" t="str">
        <f t="shared" si="153"/>
        <v>Friday</v>
      </c>
      <c r="S1022" s="3" t="s">
        <v>1318</v>
      </c>
      <c r="T1022" s="23" t="s">
        <v>19</v>
      </c>
      <c r="U1022" s="3" t="s">
        <v>1318</v>
      </c>
      <c r="AO1022" s="15"/>
      <c r="AP1022" s="15"/>
      <c r="AQ1022" s="15"/>
      <c r="AR1022" s="23"/>
      <c r="AS1022" s="15"/>
      <c r="AT1022" s="15"/>
      <c r="AU1022" s="23"/>
      <c r="AV1022" s="23"/>
    </row>
    <row r="1023" spans="1:48" x14ac:dyDescent="0.25">
      <c r="A1023" t="s">
        <v>123</v>
      </c>
      <c r="B1023" t="s">
        <v>123</v>
      </c>
      <c r="D1023" t="s">
        <v>906</v>
      </c>
      <c r="E1023" s="2">
        <f t="shared" si="155"/>
        <v>46220</v>
      </c>
      <c r="F1023" s="3">
        <f t="shared" si="154"/>
        <v>0.76944444444444438</v>
      </c>
      <c r="G1023" t="s">
        <v>1076</v>
      </c>
      <c r="H1023" t="s">
        <v>1077</v>
      </c>
      <c r="I1023" t="s">
        <v>301</v>
      </c>
      <c r="J1023" s="2">
        <v>46220</v>
      </c>
      <c r="K1023" s="1">
        <v>0.77777777777777779</v>
      </c>
      <c r="L1023" s="10">
        <f t="shared" si="150"/>
        <v>12.000000000000117</v>
      </c>
      <c r="M1023" s="1" t="str">
        <f t="shared" si="156"/>
        <v>On Time</v>
      </c>
      <c r="N1023" s="27" t="e">
        <f t="shared" si="151"/>
        <v>#N/A</v>
      </c>
      <c r="O1023" s="3" t="s">
        <v>1385</v>
      </c>
      <c r="P1023" s="20">
        <f t="shared" si="152"/>
        <v>18</v>
      </c>
      <c r="Q1023" s="3" t="s">
        <v>1385</v>
      </c>
      <c r="R1023" s="23" t="str">
        <f t="shared" si="153"/>
        <v>Friday</v>
      </c>
      <c r="S1023" s="3" t="s">
        <v>1385</v>
      </c>
      <c r="T1023" s="23" t="s">
        <v>123</v>
      </c>
      <c r="U1023" s="3" t="s">
        <v>1385</v>
      </c>
      <c r="AO1023" s="15"/>
      <c r="AP1023" s="15"/>
      <c r="AQ1023" s="15"/>
      <c r="AR1023" s="23"/>
      <c r="AS1023" s="15"/>
      <c r="AT1023" s="15"/>
      <c r="AU1023" s="23"/>
      <c r="AV1023" s="23"/>
    </row>
    <row r="1024" spans="1:48" x14ac:dyDescent="0.25">
      <c r="A1024" t="s">
        <v>366</v>
      </c>
      <c r="B1024" t="s">
        <v>13</v>
      </c>
      <c r="C1024" s="10">
        <v>-22</v>
      </c>
      <c r="D1024" t="s">
        <v>724</v>
      </c>
      <c r="E1024" s="2">
        <f t="shared" si="155"/>
        <v>46220</v>
      </c>
      <c r="F1024" s="3">
        <f t="shared" si="154"/>
        <v>0.76180555555555562</v>
      </c>
      <c r="G1024" t="s">
        <v>368</v>
      </c>
      <c r="H1024" t="s">
        <v>369</v>
      </c>
      <c r="I1024" t="s">
        <v>17</v>
      </c>
      <c r="J1024" s="2">
        <v>46220</v>
      </c>
      <c r="K1024" s="1">
        <v>0.78125</v>
      </c>
      <c r="L1024" s="10">
        <f t="shared" si="150"/>
        <v>27.999999999999901</v>
      </c>
      <c r="M1024" s="1" t="str">
        <f t="shared" si="156"/>
        <v>On Time</v>
      </c>
      <c r="N1024" s="27" t="str">
        <f t="shared" si="151"/>
        <v>Wizz Air</v>
      </c>
      <c r="O1024" s="3" t="s">
        <v>1385</v>
      </c>
      <c r="P1024" s="20">
        <f t="shared" si="152"/>
        <v>18</v>
      </c>
      <c r="Q1024" s="3" t="s">
        <v>1385</v>
      </c>
      <c r="R1024" s="23" t="str">
        <f t="shared" si="153"/>
        <v>Friday</v>
      </c>
      <c r="S1024" s="3" t="s">
        <v>1385</v>
      </c>
      <c r="T1024" s="23" t="s">
        <v>13</v>
      </c>
      <c r="U1024" s="3" t="s">
        <v>1385</v>
      </c>
      <c r="AO1024" s="15"/>
      <c r="AP1024" s="15"/>
      <c r="AQ1024" s="15"/>
      <c r="AR1024" s="23"/>
      <c r="AS1024" s="15"/>
      <c r="AT1024" s="15"/>
      <c r="AU1024" s="23"/>
      <c r="AV1024" s="23"/>
    </row>
    <row r="1025" spans="1:48" x14ac:dyDescent="0.25">
      <c r="A1025" t="s">
        <v>189</v>
      </c>
      <c r="B1025" t="s">
        <v>190</v>
      </c>
      <c r="C1025" s="10">
        <v>-31</v>
      </c>
      <c r="D1025" t="s">
        <v>1047</v>
      </c>
      <c r="E1025" s="2">
        <f t="shared" si="155"/>
        <v>46220</v>
      </c>
      <c r="F1025" s="3">
        <f t="shared" si="154"/>
        <v>0.7944444444444444</v>
      </c>
      <c r="G1025" t="s">
        <v>110</v>
      </c>
      <c r="H1025" t="s">
        <v>111</v>
      </c>
      <c r="I1025" t="s">
        <v>67</v>
      </c>
      <c r="J1025" s="2">
        <v>46220</v>
      </c>
      <c r="K1025" s="1">
        <v>0.78819444444444453</v>
      </c>
      <c r="L1025" s="10">
        <f t="shared" si="150"/>
        <v>-8.9999999999998082</v>
      </c>
      <c r="M1025" s="1" t="str">
        <f t="shared" si="156"/>
        <v>On Time</v>
      </c>
      <c r="N1025" s="27" t="str">
        <f t="shared" si="151"/>
        <v>Lufthansa</v>
      </c>
      <c r="O1025" s="3" t="s">
        <v>1385</v>
      </c>
      <c r="P1025" s="20">
        <f t="shared" si="152"/>
        <v>19</v>
      </c>
      <c r="Q1025" s="3" t="s">
        <v>1385</v>
      </c>
      <c r="R1025" s="23" t="str">
        <f t="shared" si="153"/>
        <v>Friday</v>
      </c>
      <c r="S1025" s="3" t="s">
        <v>1385</v>
      </c>
      <c r="T1025" s="23" t="s">
        <v>190</v>
      </c>
      <c r="U1025" s="3" t="s">
        <v>1385</v>
      </c>
      <c r="AO1025" s="15"/>
      <c r="AP1025" s="15"/>
      <c r="AQ1025" s="15"/>
      <c r="AR1025" s="23"/>
      <c r="AS1025" s="15"/>
      <c r="AT1025" s="15"/>
      <c r="AU1025" s="23"/>
      <c r="AV1025" s="23"/>
    </row>
    <row r="1026" spans="1:48" x14ac:dyDescent="0.25">
      <c r="A1026" t="s">
        <v>254</v>
      </c>
      <c r="B1026" t="s">
        <v>85</v>
      </c>
      <c r="C1026" s="10">
        <v>-20</v>
      </c>
      <c r="D1026" t="s">
        <v>357</v>
      </c>
      <c r="E1026" s="2">
        <f t="shared" si="155"/>
        <v>46220</v>
      </c>
      <c r="F1026" s="3">
        <f t="shared" si="154"/>
        <v>0.78680555555555554</v>
      </c>
      <c r="G1026" t="s">
        <v>256</v>
      </c>
      <c r="H1026" t="s">
        <v>257</v>
      </c>
      <c r="I1026" t="s">
        <v>162</v>
      </c>
      <c r="J1026" s="2">
        <v>46220</v>
      </c>
      <c r="K1026" s="1">
        <v>0.79513888888888884</v>
      </c>
      <c r="L1026" s="10">
        <f t="shared" ref="L1026:L1089" si="157">IF(J1026&gt;E1026,(K1026+1-F1026)*1440,IF(J1026&lt;E1026,-(F1026+1-K1026)*1440,(K1026-F1026)*1440))</f>
        <v>11.999999999999957</v>
      </c>
      <c r="M1026" s="1" t="str">
        <f t="shared" si="156"/>
        <v>On Time</v>
      </c>
      <c r="N1026" s="27" t="str">
        <f t="shared" ref="N1026:N1089" si="158">IF(COUNTIFS($B$2:$B$1553,B1026,$M$2:$M$1553,"&lt;&gt;#N/A")&gt;=30,B1026,NA())</f>
        <v>Ryanair</v>
      </c>
      <c r="O1026" s="3" t="s">
        <v>1385</v>
      </c>
      <c r="P1026" s="20">
        <f t="shared" ref="P1026:P1089" si="159">HOUR(F1026)</f>
        <v>18</v>
      </c>
      <c r="Q1026" s="3" t="s">
        <v>1385</v>
      </c>
      <c r="R1026" s="23" t="str">
        <f t="shared" ref="R1026:R1089" si="160">TEXT(E1026, "dddd")</f>
        <v>Friday</v>
      </c>
      <c r="S1026" s="3" t="s">
        <v>1385</v>
      </c>
      <c r="T1026" s="23" t="s">
        <v>85</v>
      </c>
      <c r="U1026" s="3" t="s">
        <v>1385</v>
      </c>
      <c r="AO1026" s="15"/>
      <c r="AP1026" s="15"/>
      <c r="AQ1026" s="15"/>
      <c r="AR1026" s="23"/>
      <c r="AS1026" s="15"/>
      <c r="AT1026" s="15"/>
      <c r="AU1026" s="23"/>
      <c r="AV1026" s="23"/>
    </row>
    <row r="1027" spans="1:48" x14ac:dyDescent="0.25">
      <c r="A1027" t="s">
        <v>372</v>
      </c>
      <c r="B1027" t="s">
        <v>85</v>
      </c>
      <c r="C1027" s="10">
        <v>-67</v>
      </c>
      <c r="D1027" t="s">
        <v>673</v>
      </c>
      <c r="E1027" s="2">
        <f t="shared" si="155"/>
        <v>46220</v>
      </c>
      <c r="F1027" s="3">
        <f t="shared" ref="F1027:F1090" si="161">IF(ISNUMBER(SEARCH("Landed", D1027)), TIMEVALUE(_xlfn.TEXTAFTER(D1027, " ")), NA())</f>
        <v>0.82638888888888884</v>
      </c>
      <c r="G1027" t="s">
        <v>368</v>
      </c>
      <c r="H1027" t="s">
        <v>369</v>
      </c>
      <c r="I1027" t="s">
        <v>89</v>
      </c>
      <c r="J1027" s="2">
        <v>46220</v>
      </c>
      <c r="K1027" s="1">
        <v>0.79513888888888884</v>
      </c>
      <c r="L1027" s="10">
        <f t="shared" si="157"/>
        <v>-45</v>
      </c>
      <c r="M1027" s="1" t="str">
        <f t="shared" si="156"/>
        <v>Delayed</v>
      </c>
      <c r="N1027" s="27" t="str">
        <f t="shared" si="158"/>
        <v>Ryanair</v>
      </c>
      <c r="O1027" s="3" t="s">
        <v>1318</v>
      </c>
      <c r="P1027" s="20">
        <f t="shared" si="159"/>
        <v>19</v>
      </c>
      <c r="Q1027" s="3" t="s">
        <v>1318</v>
      </c>
      <c r="R1027" s="23" t="str">
        <f t="shared" si="160"/>
        <v>Friday</v>
      </c>
      <c r="S1027" s="3" t="s">
        <v>1318</v>
      </c>
      <c r="T1027" s="23" t="s">
        <v>85</v>
      </c>
      <c r="U1027" s="3" t="s">
        <v>1318</v>
      </c>
      <c r="AO1027" s="15"/>
      <c r="AP1027" s="15"/>
      <c r="AQ1027" s="15"/>
      <c r="AR1027" s="23"/>
      <c r="AS1027" s="15"/>
      <c r="AT1027" s="15"/>
      <c r="AU1027" s="23"/>
      <c r="AV1027" s="23"/>
    </row>
    <row r="1028" spans="1:48" x14ac:dyDescent="0.25">
      <c r="A1028" t="s">
        <v>208</v>
      </c>
      <c r="B1028" t="s">
        <v>96</v>
      </c>
      <c r="C1028" s="10">
        <v>-34</v>
      </c>
      <c r="D1028" t="s">
        <v>375</v>
      </c>
      <c r="E1028" s="2">
        <f t="shared" si="155"/>
        <v>46220</v>
      </c>
      <c r="F1028" s="3">
        <f t="shared" si="161"/>
        <v>0.81319444444444444</v>
      </c>
      <c r="G1028" t="s">
        <v>98</v>
      </c>
      <c r="H1028" t="s">
        <v>99</v>
      </c>
      <c r="I1028" t="s">
        <v>17</v>
      </c>
      <c r="J1028" s="2">
        <v>46220</v>
      </c>
      <c r="K1028" s="1">
        <v>0.8125</v>
      </c>
      <c r="L1028" s="10">
        <f t="shared" si="157"/>
        <v>-0.99999999999999645</v>
      </c>
      <c r="M1028" s="1" t="str">
        <f t="shared" si="156"/>
        <v>On Time</v>
      </c>
      <c r="N1028" s="27" t="str">
        <f t="shared" si="158"/>
        <v>Turkish Airlines</v>
      </c>
      <c r="O1028" s="3" t="s">
        <v>1385</v>
      </c>
      <c r="P1028" s="20">
        <f t="shared" si="159"/>
        <v>19</v>
      </c>
      <c r="Q1028" s="3" t="s">
        <v>1385</v>
      </c>
      <c r="R1028" s="23" t="str">
        <f t="shared" si="160"/>
        <v>Friday</v>
      </c>
      <c r="S1028" s="3" t="s">
        <v>1385</v>
      </c>
      <c r="T1028" s="23" t="s">
        <v>96</v>
      </c>
      <c r="U1028" s="3" t="s">
        <v>1385</v>
      </c>
      <c r="AO1028" s="15"/>
      <c r="AP1028" s="15"/>
      <c r="AQ1028" s="15"/>
      <c r="AR1028" s="23"/>
      <c r="AS1028" s="15"/>
      <c r="AT1028" s="15"/>
      <c r="AU1028" s="23"/>
      <c r="AV1028" s="23"/>
    </row>
    <row r="1029" spans="1:48" x14ac:dyDescent="0.25">
      <c r="A1029" t="s">
        <v>211</v>
      </c>
      <c r="B1029" t="s">
        <v>7</v>
      </c>
      <c r="C1029" s="10">
        <v>-28</v>
      </c>
      <c r="D1029" t="s">
        <v>609</v>
      </c>
      <c r="E1029" s="2">
        <f t="shared" si="155"/>
        <v>46220</v>
      </c>
      <c r="F1029" s="3">
        <f t="shared" si="161"/>
        <v>0.82916666666666661</v>
      </c>
      <c r="G1029" t="s">
        <v>135</v>
      </c>
      <c r="H1029" t="s">
        <v>136</v>
      </c>
      <c r="I1029" t="s">
        <v>11</v>
      </c>
      <c r="J1029" s="2">
        <v>46220</v>
      </c>
      <c r="K1029" s="1">
        <v>0.82638888888888884</v>
      </c>
      <c r="L1029" s="10">
        <f t="shared" si="157"/>
        <v>-3.9999999999999858</v>
      </c>
      <c r="M1029" s="1" t="str">
        <f t="shared" si="156"/>
        <v>On Time</v>
      </c>
      <c r="N1029" s="27" t="str">
        <f t="shared" si="158"/>
        <v>airBaltic</v>
      </c>
      <c r="O1029" s="3" t="s">
        <v>1385</v>
      </c>
      <c r="P1029" s="20">
        <f t="shared" si="159"/>
        <v>19</v>
      </c>
      <c r="Q1029" s="3" t="s">
        <v>1385</v>
      </c>
      <c r="R1029" s="23" t="str">
        <f t="shared" si="160"/>
        <v>Friday</v>
      </c>
      <c r="S1029" s="3" t="s">
        <v>1385</v>
      </c>
      <c r="T1029" s="23" t="s">
        <v>7</v>
      </c>
      <c r="U1029" s="3" t="s">
        <v>1385</v>
      </c>
      <c r="AO1029" s="15"/>
      <c r="AP1029" s="15"/>
      <c r="AQ1029" s="15"/>
      <c r="AR1029" s="23"/>
      <c r="AS1029" s="15"/>
      <c r="AT1029" s="15"/>
      <c r="AU1029" s="23"/>
      <c r="AV1029" s="23"/>
    </row>
    <row r="1030" spans="1:48" x14ac:dyDescent="0.25">
      <c r="A1030" t="s">
        <v>228</v>
      </c>
      <c r="B1030" t="s">
        <v>69</v>
      </c>
      <c r="C1030" s="10">
        <v>51</v>
      </c>
      <c r="D1030" t="s">
        <v>541</v>
      </c>
      <c r="E1030" s="2">
        <f t="shared" si="155"/>
        <v>46220</v>
      </c>
      <c r="F1030" s="3">
        <f t="shared" si="161"/>
        <v>0.89027777777777783</v>
      </c>
      <c r="G1030" t="s">
        <v>71</v>
      </c>
      <c r="H1030" t="s">
        <v>72</v>
      </c>
      <c r="I1030" t="s">
        <v>73</v>
      </c>
      <c r="J1030" s="2">
        <v>46220</v>
      </c>
      <c r="K1030" s="1">
        <v>0.88194444444444453</v>
      </c>
      <c r="L1030" s="10">
        <f t="shared" si="157"/>
        <v>-11.999999999999957</v>
      </c>
      <c r="M1030" s="1" t="str">
        <f t="shared" si="156"/>
        <v>On Time</v>
      </c>
      <c r="N1030" s="27" t="str">
        <f t="shared" si="158"/>
        <v>Finnair</v>
      </c>
      <c r="O1030" s="3" t="s">
        <v>1385</v>
      </c>
      <c r="P1030" s="20">
        <f t="shared" si="159"/>
        <v>21</v>
      </c>
      <c r="Q1030" s="3" t="s">
        <v>1385</v>
      </c>
      <c r="R1030" s="23" t="str">
        <f t="shared" si="160"/>
        <v>Friday</v>
      </c>
      <c r="S1030" s="3" t="s">
        <v>1385</v>
      </c>
      <c r="T1030" s="23" t="s">
        <v>69</v>
      </c>
      <c r="U1030" s="3" t="s">
        <v>1385</v>
      </c>
      <c r="AO1030" s="15"/>
      <c r="AP1030" s="15"/>
      <c r="AQ1030" s="15"/>
      <c r="AR1030" s="23"/>
      <c r="AS1030" s="15"/>
      <c r="AT1030" s="15"/>
      <c r="AU1030" s="23"/>
      <c r="AV1030" s="23"/>
    </row>
    <row r="1031" spans="1:48" x14ac:dyDescent="0.25">
      <c r="A1031" t="s">
        <v>250</v>
      </c>
      <c r="B1031" t="s">
        <v>7</v>
      </c>
      <c r="C1031" s="10">
        <v>-109</v>
      </c>
      <c r="D1031" t="s">
        <v>1078</v>
      </c>
      <c r="E1031" s="2">
        <f t="shared" si="155"/>
        <v>46220</v>
      </c>
      <c r="F1031" s="3">
        <f t="shared" si="161"/>
        <v>0.96944444444444444</v>
      </c>
      <c r="G1031" t="s">
        <v>252</v>
      </c>
      <c r="H1031" t="s">
        <v>253</v>
      </c>
      <c r="I1031" t="s">
        <v>11</v>
      </c>
      <c r="J1031" s="2">
        <v>46220</v>
      </c>
      <c r="K1031" s="1">
        <v>0.91319444444444453</v>
      </c>
      <c r="L1031" s="10">
        <f t="shared" si="157"/>
        <v>-80.999999999999872</v>
      </c>
      <c r="M1031" s="1" t="str">
        <f t="shared" si="156"/>
        <v>Delayed</v>
      </c>
      <c r="N1031" s="27" t="str">
        <f t="shared" si="158"/>
        <v>airBaltic</v>
      </c>
      <c r="O1031" s="3" t="s">
        <v>1318</v>
      </c>
      <c r="P1031" s="20">
        <f t="shared" si="159"/>
        <v>23</v>
      </c>
      <c r="Q1031" s="3" t="s">
        <v>1318</v>
      </c>
      <c r="R1031" s="23" t="str">
        <f t="shared" si="160"/>
        <v>Friday</v>
      </c>
      <c r="S1031" s="3" t="s">
        <v>1318</v>
      </c>
      <c r="T1031" s="23" t="s">
        <v>7</v>
      </c>
      <c r="U1031" s="3" t="s">
        <v>1318</v>
      </c>
      <c r="AO1031" s="15"/>
      <c r="AP1031" s="15"/>
      <c r="AQ1031" s="15"/>
      <c r="AR1031" s="23"/>
      <c r="AS1031" s="15"/>
      <c r="AT1031" s="15"/>
      <c r="AU1031" s="23"/>
      <c r="AV1031" s="23"/>
    </row>
    <row r="1032" spans="1:48" x14ac:dyDescent="0.25">
      <c r="A1032" t="s">
        <v>235</v>
      </c>
      <c r="B1032" t="s">
        <v>19</v>
      </c>
      <c r="C1032" s="10">
        <v>-28</v>
      </c>
      <c r="D1032" t="s">
        <v>1079</v>
      </c>
      <c r="E1032" s="2">
        <f t="shared" si="155"/>
        <v>46220</v>
      </c>
      <c r="F1032" s="3">
        <f t="shared" si="161"/>
        <v>0.93472222222222223</v>
      </c>
      <c r="G1032" t="s">
        <v>21</v>
      </c>
      <c r="H1032" t="s">
        <v>22</v>
      </c>
      <c r="I1032" t="s">
        <v>92</v>
      </c>
      <c r="J1032" s="2">
        <v>46220</v>
      </c>
      <c r="K1032" s="1">
        <v>0.93055555555555547</v>
      </c>
      <c r="L1032" s="10">
        <f t="shared" si="157"/>
        <v>-6.0000000000001386</v>
      </c>
      <c r="M1032" s="1" t="str">
        <f t="shared" si="156"/>
        <v>On Time</v>
      </c>
      <c r="N1032" s="27" t="str">
        <f t="shared" si="158"/>
        <v>LOT</v>
      </c>
      <c r="O1032" s="3" t="s">
        <v>1385</v>
      </c>
      <c r="P1032" s="20">
        <f t="shared" si="159"/>
        <v>22</v>
      </c>
      <c r="Q1032" s="3" t="s">
        <v>1385</v>
      </c>
      <c r="R1032" s="23" t="str">
        <f t="shared" si="160"/>
        <v>Friday</v>
      </c>
      <c r="S1032" s="3" t="s">
        <v>1385</v>
      </c>
      <c r="T1032" s="23" t="s">
        <v>19</v>
      </c>
      <c r="U1032" s="3" t="s">
        <v>1385</v>
      </c>
      <c r="AO1032" s="15"/>
      <c r="AP1032" s="15"/>
      <c r="AQ1032" s="15"/>
      <c r="AR1032" s="23"/>
      <c r="AS1032" s="15"/>
      <c r="AT1032" s="15"/>
      <c r="AU1032" s="23"/>
      <c r="AV1032" s="23"/>
    </row>
    <row r="1033" spans="1:48" x14ac:dyDescent="0.25">
      <c r="A1033" t="s">
        <v>383</v>
      </c>
      <c r="B1033" t="s">
        <v>7</v>
      </c>
      <c r="C1033" s="10">
        <v>-14</v>
      </c>
      <c r="D1033" t="s">
        <v>743</v>
      </c>
      <c r="E1033" s="2">
        <f t="shared" si="155"/>
        <v>46220</v>
      </c>
      <c r="F1033" s="3">
        <f t="shared" si="161"/>
        <v>0.94652777777777775</v>
      </c>
      <c r="G1033" t="s">
        <v>26</v>
      </c>
      <c r="H1033" t="s">
        <v>27</v>
      </c>
      <c r="I1033" t="s">
        <v>11</v>
      </c>
      <c r="J1033" s="2">
        <v>46220</v>
      </c>
      <c r="K1033" s="1">
        <v>0.94791666666666663</v>
      </c>
      <c r="L1033" s="10">
        <f t="shared" si="157"/>
        <v>1.9999999999999929</v>
      </c>
      <c r="M1033" s="1" t="str">
        <f t="shared" si="156"/>
        <v>On Time</v>
      </c>
      <c r="N1033" s="27" t="str">
        <f t="shared" si="158"/>
        <v>airBaltic</v>
      </c>
      <c r="O1033" s="3" t="s">
        <v>1385</v>
      </c>
      <c r="P1033" s="20">
        <f t="shared" si="159"/>
        <v>22</v>
      </c>
      <c r="Q1033" s="3" t="s">
        <v>1385</v>
      </c>
      <c r="R1033" s="23" t="str">
        <f t="shared" si="160"/>
        <v>Friday</v>
      </c>
      <c r="S1033" s="3" t="s">
        <v>1385</v>
      </c>
      <c r="T1033" s="23" t="s">
        <v>7</v>
      </c>
      <c r="U1033" s="3" t="s">
        <v>1385</v>
      </c>
      <c r="AO1033" s="15"/>
      <c r="AP1033" s="15"/>
      <c r="AQ1033" s="15"/>
      <c r="AR1033" s="23"/>
      <c r="AS1033" s="15"/>
      <c r="AT1033" s="15"/>
      <c r="AU1033" s="23"/>
      <c r="AV1033" s="23"/>
    </row>
    <row r="1034" spans="1:48" x14ac:dyDescent="0.25">
      <c r="A1034" t="s">
        <v>385</v>
      </c>
      <c r="B1034" t="s">
        <v>239</v>
      </c>
      <c r="D1034" t="s">
        <v>746</v>
      </c>
      <c r="E1034" s="2">
        <v>46221</v>
      </c>
      <c r="F1034" s="3">
        <f t="shared" si="161"/>
        <v>3.472222222222222E-3</v>
      </c>
      <c r="G1034" t="s">
        <v>15</v>
      </c>
      <c r="H1034" t="s">
        <v>16</v>
      </c>
      <c r="I1034" t="s">
        <v>83</v>
      </c>
      <c r="J1034" s="2">
        <v>46220</v>
      </c>
      <c r="K1034" s="1">
        <v>0.96180555555555547</v>
      </c>
      <c r="L1034" s="10">
        <f t="shared" si="157"/>
        <v>-60.00000000000027</v>
      </c>
      <c r="M1034" s="1" t="str">
        <f t="shared" si="156"/>
        <v>Delayed</v>
      </c>
      <c r="N1034" s="27" t="str">
        <f t="shared" si="158"/>
        <v>Eurowings</v>
      </c>
      <c r="O1034" s="3" t="s">
        <v>1318</v>
      </c>
      <c r="P1034" s="20">
        <f t="shared" si="159"/>
        <v>0</v>
      </c>
      <c r="Q1034" s="3" t="s">
        <v>1318</v>
      </c>
      <c r="R1034" s="23" t="str">
        <f t="shared" si="160"/>
        <v>Saturday</v>
      </c>
      <c r="S1034" s="3" t="s">
        <v>1318</v>
      </c>
      <c r="T1034" s="23" t="s">
        <v>239</v>
      </c>
      <c r="U1034" s="3" t="s">
        <v>1318</v>
      </c>
      <c r="AO1034" s="15"/>
      <c r="AP1034" s="15"/>
      <c r="AQ1034" s="15"/>
      <c r="AR1034" s="23"/>
      <c r="AS1034" s="15"/>
      <c r="AT1034" s="15"/>
      <c r="AU1034" s="23"/>
      <c r="AV1034" s="23"/>
    </row>
    <row r="1035" spans="1:48" x14ac:dyDescent="0.25">
      <c r="A1035" t="s">
        <v>387</v>
      </c>
      <c r="B1035" t="s">
        <v>388</v>
      </c>
      <c r="D1035" t="s">
        <v>1080</v>
      </c>
      <c r="E1035" s="2">
        <f t="shared" si="155"/>
        <v>46220</v>
      </c>
      <c r="F1035" s="3">
        <f t="shared" si="161"/>
        <v>0.97430555555555554</v>
      </c>
      <c r="G1035" t="s">
        <v>119</v>
      </c>
      <c r="H1035" t="s">
        <v>120</v>
      </c>
      <c r="I1035" t="s">
        <v>390</v>
      </c>
      <c r="J1035" s="2">
        <v>46220</v>
      </c>
      <c r="K1035" s="1">
        <v>0.96527777777777779</v>
      </c>
      <c r="L1035" s="10">
        <f t="shared" si="157"/>
        <v>-12.999999999999954</v>
      </c>
      <c r="M1035" s="1" t="str">
        <f t="shared" si="156"/>
        <v>On Time</v>
      </c>
      <c r="N1035" s="27" t="e">
        <f t="shared" si="158"/>
        <v>#N/A</v>
      </c>
      <c r="O1035" s="3" t="s">
        <v>1385</v>
      </c>
      <c r="P1035" s="20">
        <f t="shared" si="159"/>
        <v>23</v>
      </c>
      <c r="Q1035" s="3" t="s">
        <v>1385</v>
      </c>
      <c r="R1035" s="23" t="str">
        <f t="shared" si="160"/>
        <v>Friday</v>
      </c>
      <c r="S1035" s="3" t="s">
        <v>1385</v>
      </c>
      <c r="T1035" s="23" t="s">
        <v>388</v>
      </c>
      <c r="U1035" s="3" t="s">
        <v>1385</v>
      </c>
      <c r="AO1035" s="15"/>
      <c r="AP1035" s="15"/>
      <c r="AQ1035" s="15"/>
      <c r="AR1035" s="23"/>
      <c r="AS1035" s="15"/>
      <c r="AT1035" s="15"/>
      <c r="AU1035" s="23"/>
      <c r="AV1035" s="23"/>
    </row>
    <row r="1036" spans="1:48" x14ac:dyDescent="0.25">
      <c r="A1036" t="s">
        <v>100</v>
      </c>
      <c r="B1036" t="s">
        <v>85</v>
      </c>
      <c r="C1036" s="10">
        <v>-19</v>
      </c>
      <c r="D1036" t="s">
        <v>539</v>
      </c>
      <c r="E1036" s="2">
        <f t="shared" si="155"/>
        <v>46220</v>
      </c>
      <c r="F1036" s="3">
        <f t="shared" si="161"/>
        <v>0.9770833333333333</v>
      </c>
      <c r="G1036" t="s">
        <v>102</v>
      </c>
      <c r="H1036" t="s">
        <v>103</v>
      </c>
      <c r="I1036" t="s">
        <v>162</v>
      </c>
      <c r="J1036" s="2">
        <v>46220</v>
      </c>
      <c r="K1036" s="1">
        <v>0.98263888888888884</v>
      </c>
      <c r="L1036" s="10">
        <f t="shared" si="157"/>
        <v>7.9999999999999716</v>
      </c>
      <c r="M1036" s="1" t="str">
        <f t="shared" si="156"/>
        <v>On Time</v>
      </c>
      <c r="N1036" s="27" t="str">
        <f t="shared" si="158"/>
        <v>Ryanair</v>
      </c>
      <c r="O1036" s="3" t="s">
        <v>1385</v>
      </c>
      <c r="P1036" s="20">
        <f t="shared" si="159"/>
        <v>23</v>
      </c>
      <c r="Q1036" s="3" t="s">
        <v>1385</v>
      </c>
      <c r="R1036" s="23" t="str">
        <f t="shared" si="160"/>
        <v>Friday</v>
      </c>
      <c r="S1036" s="3" t="s">
        <v>1385</v>
      </c>
      <c r="T1036" s="23" t="s">
        <v>85</v>
      </c>
      <c r="U1036" s="3" t="s">
        <v>1385</v>
      </c>
      <c r="AO1036" s="15"/>
      <c r="AP1036" s="15"/>
      <c r="AQ1036" s="15"/>
      <c r="AR1036" s="23"/>
      <c r="AS1036" s="15"/>
      <c r="AT1036" s="15"/>
      <c r="AU1036" s="23"/>
      <c r="AV1036" s="23"/>
    </row>
    <row r="1037" spans="1:48" x14ac:dyDescent="0.25">
      <c r="A1037" t="s">
        <v>258</v>
      </c>
      <c r="B1037" t="s">
        <v>190</v>
      </c>
      <c r="C1037" s="10">
        <v>-49</v>
      </c>
      <c r="D1037" t="s">
        <v>846</v>
      </c>
      <c r="E1037" s="2">
        <f t="shared" ref="E1037:E1100" si="162">J1037</f>
        <v>46220</v>
      </c>
      <c r="F1037" s="3">
        <f t="shared" si="161"/>
        <v>0.99791666666666667</v>
      </c>
      <c r="G1037" t="s">
        <v>110</v>
      </c>
      <c r="H1037" t="s">
        <v>111</v>
      </c>
      <c r="I1037" t="s">
        <v>17</v>
      </c>
      <c r="J1037" s="2">
        <v>46220</v>
      </c>
      <c r="K1037" s="1">
        <v>0.98263888888888884</v>
      </c>
      <c r="L1037" s="10">
        <f t="shared" si="157"/>
        <v>-22.000000000000082</v>
      </c>
      <c r="M1037" s="1" t="str">
        <f t="shared" si="156"/>
        <v>Delayed</v>
      </c>
      <c r="N1037" s="27" t="str">
        <f t="shared" si="158"/>
        <v>Lufthansa</v>
      </c>
      <c r="O1037" s="3" t="s">
        <v>1318</v>
      </c>
      <c r="P1037" s="20">
        <f t="shared" si="159"/>
        <v>23</v>
      </c>
      <c r="Q1037" s="3" t="s">
        <v>1318</v>
      </c>
      <c r="R1037" s="23" t="str">
        <f t="shared" si="160"/>
        <v>Friday</v>
      </c>
      <c r="S1037" s="3" t="s">
        <v>1318</v>
      </c>
      <c r="T1037" s="23" t="s">
        <v>190</v>
      </c>
      <c r="U1037" s="3" t="s">
        <v>1318</v>
      </c>
      <c r="AO1037" s="15"/>
      <c r="AP1037" s="15"/>
      <c r="AQ1037" s="15"/>
      <c r="AR1037" s="23"/>
      <c r="AS1037" s="15"/>
      <c r="AT1037" s="15"/>
      <c r="AU1037" s="23"/>
      <c r="AV1037" s="23"/>
    </row>
    <row r="1038" spans="1:48" x14ac:dyDescent="0.25">
      <c r="A1038" t="s">
        <v>393</v>
      </c>
      <c r="B1038" t="s">
        <v>85</v>
      </c>
      <c r="C1038" s="10">
        <v>-55</v>
      </c>
      <c r="D1038" t="s">
        <v>1081</v>
      </c>
      <c r="E1038" s="2">
        <f t="shared" si="162"/>
        <v>46220</v>
      </c>
      <c r="F1038" s="3" t="e">
        <f t="shared" si="161"/>
        <v>#N/A</v>
      </c>
      <c r="G1038" t="s">
        <v>153</v>
      </c>
      <c r="H1038" t="s">
        <v>154</v>
      </c>
      <c r="I1038" t="s">
        <v>89</v>
      </c>
      <c r="J1038" s="2">
        <v>46220</v>
      </c>
      <c r="K1038" s="1">
        <v>0.99305555555555547</v>
      </c>
      <c r="L1038" s="10">
        <v>-36</v>
      </c>
      <c r="M1038" s="1" t="str">
        <f t="shared" si="156"/>
        <v>Delayed</v>
      </c>
      <c r="N1038" s="27" t="str">
        <f t="shared" si="158"/>
        <v>Ryanair</v>
      </c>
      <c r="O1038" s="3" t="e">
        <v>#N/A</v>
      </c>
      <c r="P1038" s="20" t="e">
        <f t="shared" si="159"/>
        <v>#N/A</v>
      </c>
      <c r="Q1038" s="3" t="e">
        <v>#N/A</v>
      </c>
      <c r="R1038" s="23" t="str">
        <f t="shared" si="160"/>
        <v>Friday</v>
      </c>
      <c r="S1038" s="3" t="e">
        <v>#N/A</v>
      </c>
      <c r="T1038" s="23" t="s">
        <v>85</v>
      </c>
      <c r="AO1038" s="15"/>
      <c r="AP1038" s="15"/>
      <c r="AQ1038" s="15"/>
      <c r="AR1038" s="23"/>
      <c r="AS1038" s="15"/>
      <c r="AT1038" s="15"/>
      <c r="AU1038" s="23"/>
      <c r="AV1038" s="23"/>
    </row>
    <row r="1039" spans="1:48" x14ac:dyDescent="0.25">
      <c r="A1039" t="s">
        <v>395</v>
      </c>
      <c r="B1039" t="s">
        <v>85</v>
      </c>
      <c r="C1039" s="10">
        <v>-84</v>
      </c>
      <c r="D1039" t="s">
        <v>1082</v>
      </c>
      <c r="E1039" s="2">
        <f t="shared" si="162"/>
        <v>46221</v>
      </c>
      <c r="F1039" s="3">
        <f t="shared" si="161"/>
        <v>4.8611111111111112E-2</v>
      </c>
      <c r="G1039" t="s">
        <v>34</v>
      </c>
      <c r="H1039" t="s">
        <v>161</v>
      </c>
      <c r="I1039" t="s">
        <v>89</v>
      </c>
      <c r="J1039" s="2">
        <v>46221</v>
      </c>
      <c r="K1039" s="1">
        <v>6.9444444444444441E-3</v>
      </c>
      <c r="L1039" s="10">
        <f t="shared" si="157"/>
        <v>-60.000000000000007</v>
      </c>
      <c r="M1039" s="1" t="str">
        <f t="shared" si="156"/>
        <v>Delayed</v>
      </c>
      <c r="N1039" s="27" t="str">
        <f t="shared" si="158"/>
        <v>Ryanair</v>
      </c>
      <c r="O1039" s="3" t="s">
        <v>1318</v>
      </c>
      <c r="P1039" s="20">
        <f t="shared" si="159"/>
        <v>1</v>
      </c>
      <c r="Q1039" s="3" t="s">
        <v>1318</v>
      </c>
      <c r="R1039" s="23" t="str">
        <f t="shared" si="160"/>
        <v>Saturday</v>
      </c>
      <c r="S1039" s="3" t="s">
        <v>1318</v>
      </c>
      <c r="T1039" s="23" t="s">
        <v>85</v>
      </c>
      <c r="U1039" s="3" t="s">
        <v>1318</v>
      </c>
      <c r="AO1039" s="15"/>
      <c r="AP1039" s="15"/>
      <c r="AQ1039" s="15"/>
      <c r="AR1039" s="23"/>
      <c r="AS1039" s="15"/>
      <c r="AT1039" s="15"/>
      <c r="AU1039" s="23"/>
      <c r="AV1039" s="23"/>
    </row>
    <row r="1040" spans="1:48" x14ac:dyDescent="0.25">
      <c r="A1040" t="s">
        <v>6</v>
      </c>
      <c r="B1040" t="s">
        <v>7</v>
      </c>
      <c r="C1040" s="10">
        <v>-99</v>
      </c>
      <c r="D1040" t="s">
        <v>1026</v>
      </c>
      <c r="E1040" s="2">
        <f t="shared" si="162"/>
        <v>46221</v>
      </c>
      <c r="F1040" s="3">
        <f t="shared" si="161"/>
        <v>7.9166666666666663E-2</v>
      </c>
      <c r="G1040" t="s">
        <v>9</v>
      </c>
      <c r="H1040" t="s">
        <v>10</v>
      </c>
      <c r="I1040" t="s">
        <v>11</v>
      </c>
      <c r="J1040" s="2">
        <v>46221</v>
      </c>
      <c r="K1040" s="1">
        <v>2.0833333333333332E-2</v>
      </c>
      <c r="L1040" s="10">
        <f t="shared" si="157"/>
        <v>-84</v>
      </c>
      <c r="M1040" s="1" t="str">
        <f t="shared" si="156"/>
        <v>Delayed</v>
      </c>
      <c r="N1040" s="27" t="str">
        <f t="shared" si="158"/>
        <v>airBaltic</v>
      </c>
      <c r="O1040" s="3" t="s">
        <v>1318</v>
      </c>
      <c r="P1040" s="20">
        <f t="shared" si="159"/>
        <v>1</v>
      </c>
      <c r="Q1040" s="3" t="s">
        <v>1318</v>
      </c>
      <c r="R1040" s="23" t="str">
        <f t="shared" si="160"/>
        <v>Saturday</v>
      </c>
      <c r="S1040" s="3" t="s">
        <v>1318</v>
      </c>
      <c r="T1040" s="23" t="s">
        <v>7</v>
      </c>
      <c r="U1040" s="3" t="s">
        <v>1318</v>
      </c>
      <c r="AO1040" s="15"/>
      <c r="AP1040" s="15"/>
      <c r="AQ1040" s="15"/>
      <c r="AR1040" s="23"/>
      <c r="AS1040" s="15"/>
      <c r="AT1040" s="15"/>
      <c r="AU1040" s="23"/>
      <c r="AV1040" s="23"/>
    </row>
    <row r="1041" spans="1:48" x14ac:dyDescent="0.25">
      <c r="A1041" t="s">
        <v>18</v>
      </c>
      <c r="B1041" t="s">
        <v>19</v>
      </c>
      <c r="C1041" s="10">
        <v>-33</v>
      </c>
      <c r="D1041" t="s">
        <v>636</v>
      </c>
      <c r="E1041" s="2">
        <f t="shared" si="162"/>
        <v>46221</v>
      </c>
      <c r="F1041" s="3">
        <f t="shared" si="161"/>
        <v>3.7499999999999999E-2</v>
      </c>
      <c r="G1041" t="s">
        <v>21</v>
      </c>
      <c r="H1041" t="s">
        <v>22</v>
      </c>
      <c r="I1041" t="s">
        <v>594</v>
      </c>
      <c r="J1041" s="2">
        <v>46221</v>
      </c>
      <c r="K1041" s="1">
        <v>2.7777777777777776E-2</v>
      </c>
      <c r="L1041" s="10">
        <f t="shared" si="157"/>
        <v>-14</v>
      </c>
      <c r="M1041" s="1" t="str">
        <f t="shared" si="156"/>
        <v>On Time</v>
      </c>
      <c r="N1041" s="27" t="str">
        <f t="shared" si="158"/>
        <v>LOT</v>
      </c>
      <c r="O1041" s="3" t="s">
        <v>1385</v>
      </c>
      <c r="P1041" s="20">
        <f t="shared" si="159"/>
        <v>0</v>
      </c>
      <c r="Q1041" s="3" t="s">
        <v>1385</v>
      </c>
      <c r="R1041" s="23" t="str">
        <f t="shared" si="160"/>
        <v>Saturday</v>
      </c>
      <c r="S1041" s="3" t="s">
        <v>1385</v>
      </c>
      <c r="T1041" s="23" t="s">
        <v>19</v>
      </c>
      <c r="U1041" s="3" t="s">
        <v>1385</v>
      </c>
      <c r="AO1041" s="15"/>
      <c r="AP1041" s="15"/>
      <c r="AQ1041" s="15"/>
      <c r="AR1041" s="23"/>
      <c r="AS1041" s="15"/>
      <c r="AT1041" s="15"/>
      <c r="AU1041" s="23"/>
      <c r="AV1041" s="23"/>
    </row>
    <row r="1042" spans="1:48" x14ac:dyDescent="0.25">
      <c r="A1042" t="s">
        <v>163</v>
      </c>
      <c r="B1042" t="s">
        <v>13</v>
      </c>
      <c r="C1042" s="10">
        <v>-15</v>
      </c>
      <c r="D1042" t="s">
        <v>988</v>
      </c>
      <c r="E1042" s="2">
        <f t="shared" si="162"/>
        <v>46221</v>
      </c>
      <c r="F1042" s="3">
        <f t="shared" si="161"/>
        <v>2.2916666666666669E-2</v>
      </c>
      <c r="G1042" t="s">
        <v>165</v>
      </c>
      <c r="H1042" t="s">
        <v>166</v>
      </c>
      <c r="I1042" t="s">
        <v>17</v>
      </c>
      <c r="J1042" s="2">
        <v>46221</v>
      </c>
      <c r="K1042" s="1">
        <v>2.7777777777777776E-2</v>
      </c>
      <c r="L1042" s="10">
        <f t="shared" si="157"/>
        <v>6.9999999999999947</v>
      </c>
      <c r="M1042" s="1" t="str">
        <f t="shared" si="156"/>
        <v>On Time</v>
      </c>
      <c r="N1042" s="27" t="str">
        <f t="shared" si="158"/>
        <v>Wizz Air</v>
      </c>
      <c r="O1042" s="3" t="s">
        <v>1385</v>
      </c>
      <c r="P1042" s="20">
        <f t="shared" si="159"/>
        <v>0</v>
      </c>
      <c r="Q1042" s="3" t="s">
        <v>1385</v>
      </c>
      <c r="R1042" s="23" t="str">
        <f t="shared" si="160"/>
        <v>Saturday</v>
      </c>
      <c r="S1042" s="3" t="s">
        <v>1385</v>
      </c>
      <c r="T1042" s="23" t="s">
        <v>13</v>
      </c>
      <c r="U1042" s="3" t="s">
        <v>1385</v>
      </c>
      <c r="AO1042" s="15"/>
      <c r="AP1042" s="15"/>
      <c r="AQ1042" s="15"/>
      <c r="AR1042" s="23"/>
      <c r="AS1042" s="15"/>
      <c r="AT1042" s="15"/>
      <c r="AU1042" s="23"/>
      <c r="AV1042" s="23"/>
    </row>
    <row r="1043" spans="1:48" x14ac:dyDescent="0.25">
      <c r="A1043" t="s">
        <v>402</v>
      </c>
      <c r="B1043" t="s">
        <v>13</v>
      </c>
      <c r="C1043" s="10">
        <v>-7</v>
      </c>
      <c r="D1043" t="s">
        <v>749</v>
      </c>
      <c r="E1043" s="2">
        <f t="shared" si="162"/>
        <v>46221</v>
      </c>
      <c r="F1043" s="3">
        <f t="shared" si="161"/>
        <v>2.7777777777777776E-2</v>
      </c>
      <c r="G1043" t="s">
        <v>404</v>
      </c>
      <c r="H1043" t="s">
        <v>405</v>
      </c>
      <c r="I1043" t="s">
        <v>17</v>
      </c>
      <c r="J1043" s="2">
        <v>46221</v>
      </c>
      <c r="K1043" s="1">
        <v>4.5138888888888888E-2</v>
      </c>
      <c r="L1043" s="10">
        <f t="shared" si="157"/>
        <v>25</v>
      </c>
      <c r="M1043" s="1" t="str">
        <f t="shared" ref="M1043:M1106" si="163">IF(L1043&gt;=-15, "On Time", "Delayed")</f>
        <v>On Time</v>
      </c>
      <c r="N1043" s="27" t="str">
        <f t="shared" si="158"/>
        <v>Wizz Air</v>
      </c>
      <c r="O1043" s="3" t="s">
        <v>1385</v>
      </c>
      <c r="P1043" s="20">
        <f t="shared" si="159"/>
        <v>0</v>
      </c>
      <c r="Q1043" s="3" t="s">
        <v>1385</v>
      </c>
      <c r="R1043" s="23" t="str">
        <f t="shared" si="160"/>
        <v>Saturday</v>
      </c>
      <c r="S1043" s="3" t="s">
        <v>1385</v>
      </c>
      <c r="T1043" s="23" t="s">
        <v>13</v>
      </c>
      <c r="U1043" s="3" t="s">
        <v>1385</v>
      </c>
      <c r="AO1043" s="15"/>
      <c r="AP1043" s="15"/>
      <c r="AQ1043" s="15"/>
      <c r="AR1043" s="23"/>
      <c r="AS1043" s="15"/>
      <c r="AT1043" s="15"/>
      <c r="AU1043" s="23"/>
      <c r="AV1043" s="23"/>
    </row>
    <row r="1044" spans="1:48" x14ac:dyDescent="0.25">
      <c r="A1044" t="s">
        <v>32</v>
      </c>
      <c r="B1044" t="s">
        <v>13</v>
      </c>
      <c r="C1044" s="10">
        <v>-61</v>
      </c>
      <c r="D1044" t="s">
        <v>1083</v>
      </c>
      <c r="E1044" s="2">
        <f t="shared" si="162"/>
        <v>46221</v>
      </c>
      <c r="F1044" s="3">
        <f t="shared" si="161"/>
        <v>7.4305555555555555E-2</v>
      </c>
      <c r="G1044" t="s">
        <v>34</v>
      </c>
      <c r="H1044" t="s">
        <v>35</v>
      </c>
      <c r="I1044" t="s">
        <v>17</v>
      </c>
      <c r="J1044" s="2">
        <v>46221</v>
      </c>
      <c r="K1044" s="1">
        <v>5.5555555555555552E-2</v>
      </c>
      <c r="L1044" s="10">
        <f t="shared" si="157"/>
        <v>-27.000000000000004</v>
      </c>
      <c r="M1044" s="1" t="str">
        <f t="shared" si="163"/>
        <v>Delayed</v>
      </c>
      <c r="N1044" s="27" t="str">
        <f t="shared" si="158"/>
        <v>Wizz Air</v>
      </c>
      <c r="O1044" s="3" t="s">
        <v>1318</v>
      </c>
      <c r="P1044" s="20">
        <f t="shared" si="159"/>
        <v>1</v>
      </c>
      <c r="Q1044" s="3" t="s">
        <v>1318</v>
      </c>
      <c r="R1044" s="23" t="str">
        <f t="shared" si="160"/>
        <v>Saturday</v>
      </c>
      <c r="S1044" s="3" t="s">
        <v>1318</v>
      </c>
      <c r="T1044" s="23" t="s">
        <v>13</v>
      </c>
      <c r="U1044" s="3" t="s">
        <v>1318</v>
      </c>
      <c r="AO1044" s="15"/>
      <c r="AP1044" s="15"/>
      <c r="AQ1044" s="15"/>
      <c r="AR1044" s="23"/>
      <c r="AS1044" s="15"/>
      <c r="AT1044" s="15"/>
      <c r="AU1044" s="23"/>
      <c r="AV1044" s="23"/>
    </row>
    <row r="1045" spans="1:48" x14ac:dyDescent="0.25">
      <c r="A1045" t="s">
        <v>36</v>
      </c>
      <c r="B1045" t="s">
        <v>7</v>
      </c>
      <c r="C1045" s="10">
        <v>-80</v>
      </c>
      <c r="D1045" t="s">
        <v>1084</v>
      </c>
      <c r="E1045" s="2">
        <f t="shared" si="162"/>
        <v>46221</v>
      </c>
      <c r="F1045" s="3">
        <f t="shared" si="161"/>
        <v>9.0277777777777776E-2</v>
      </c>
      <c r="G1045" t="s">
        <v>38</v>
      </c>
      <c r="H1045" t="s">
        <v>39</v>
      </c>
      <c r="I1045" t="s">
        <v>11</v>
      </c>
      <c r="J1045" s="2">
        <v>46221</v>
      </c>
      <c r="K1045" s="1">
        <v>5.9027777777777783E-2</v>
      </c>
      <c r="L1045" s="10">
        <f t="shared" si="157"/>
        <v>-44.999999999999993</v>
      </c>
      <c r="M1045" s="1" t="str">
        <f t="shared" si="163"/>
        <v>Delayed</v>
      </c>
      <c r="N1045" s="27" t="str">
        <f t="shared" si="158"/>
        <v>airBaltic</v>
      </c>
      <c r="O1045" s="3" t="s">
        <v>1318</v>
      </c>
      <c r="P1045" s="20">
        <f t="shared" si="159"/>
        <v>2</v>
      </c>
      <c r="Q1045" s="3" t="s">
        <v>1318</v>
      </c>
      <c r="R1045" s="23" t="str">
        <f t="shared" si="160"/>
        <v>Saturday</v>
      </c>
      <c r="S1045" s="3" t="s">
        <v>1318</v>
      </c>
      <c r="T1045" s="23" t="s">
        <v>7</v>
      </c>
      <c r="U1045" s="3" t="s">
        <v>1318</v>
      </c>
      <c r="AO1045" s="15"/>
      <c r="AP1045" s="15"/>
      <c r="AQ1045" s="15"/>
      <c r="AR1045" s="23"/>
      <c r="AS1045" s="15"/>
      <c r="AT1045" s="15"/>
      <c r="AU1045" s="23"/>
      <c r="AV1045" s="23"/>
    </row>
    <row r="1046" spans="1:48" x14ac:dyDescent="0.25">
      <c r="A1046" t="s">
        <v>40</v>
      </c>
      <c r="B1046" t="s">
        <v>555</v>
      </c>
      <c r="C1046" s="10">
        <v>-13</v>
      </c>
      <c r="D1046" t="s">
        <v>284</v>
      </c>
      <c r="E1046" s="2">
        <f t="shared" si="162"/>
        <v>46221</v>
      </c>
      <c r="F1046" s="3">
        <f t="shared" si="161"/>
        <v>5.486111111111111E-2</v>
      </c>
      <c r="G1046" t="s">
        <v>43</v>
      </c>
      <c r="H1046" t="s">
        <v>44</v>
      </c>
      <c r="I1046" t="s">
        <v>158</v>
      </c>
      <c r="J1046" s="2">
        <v>46221</v>
      </c>
      <c r="K1046" s="1">
        <v>5.9027777777777783E-2</v>
      </c>
      <c r="L1046" s="10">
        <f t="shared" si="157"/>
        <v>6.0000000000000089</v>
      </c>
      <c r="M1046" s="1" t="str">
        <f t="shared" si="163"/>
        <v>On Time</v>
      </c>
      <c r="N1046" s="27" t="e">
        <f t="shared" si="158"/>
        <v>#N/A</v>
      </c>
      <c r="O1046" s="3" t="s">
        <v>1385</v>
      </c>
      <c r="P1046" s="20">
        <f t="shared" si="159"/>
        <v>1</v>
      </c>
      <c r="Q1046" s="3" t="s">
        <v>1385</v>
      </c>
      <c r="R1046" s="23" t="str">
        <f t="shared" si="160"/>
        <v>Saturday</v>
      </c>
      <c r="S1046" s="3" t="s">
        <v>1385</v>
      </c>
      <c r="T1046" s="23" t="s">
        <v>555</v>
      </c>
      <c r="U1046" s="3" t="s">
        <v>1385</v>
      </c>
      <c r="AO1046" s="15"/>
      <c r="AP1046" s="15"/>
      <c r="AQ1046" s="15"/>
      <c r="AR1046" s="23"/>
      <c r="AS1046" s="15"/>
      <c r="AT1046" s="15"/>
      <c r="AU1046" s="23"/>
      <c r="AV1046" s="23"/>
    </row>
    <row r="1047" spans="1:48" x14ac:dyDescent="0.25">
      <c r="A1047" t="s">
        <v>46</v>
      </c>
      <c r="B1047" t="s">
        <v>47</v>
      </c>
      <c r="D1047" t="s">
        <v>1085</v>
      </c>
      <c r="E1047" s="2">
        <f t="shared" si="162"/>
        <v>46221</v>
      </c>
      <c r="F1047" s="3">
        <f t="shared" si="161"/>
        <v>0.14305555555555557</v>
      </c>
      <c r="G1047" t="s">
        <v>49</v>
      </c>
      <c r="H1047" t="s">
        <v>50</v>
      </c>
      <c r="I1047" t="s">
        <v>51</v>
      </c>
      <c r="J1047" s="2">
        <v>46221</v>
      </c>
      <c r="K1047" s="1">
        <v>0.13819444444444443</v>
      </c>
      <c r="L1047" s="10">
        <f t="shared" si="157"/>
        <v>-7.0000000000000551</v>
      </c>
      <c r="M1047" s="1" t="str">
        <f t="shared" si="163"/>
        <v>On Time</v>
      </c>
      <c r="N1047" s="27" t="e">
        <f t="shared" si="158"/>
        <v>#N/A</v>
      </c>
      <c r="O1047" s="3" t="s">
        <v>1385</v>
      </c>
      <c r="P1047" s="20">
        <f t="shared" si="159"/>
        <v>3</v>
      </c>
      <c r="Q1047" s="3" t="s">
        <v>1385</v>
      </c>
      <c r="R1047" s="23" t="str">
        <f t="shared" si="160"/>
        <v>Saturday</v>
      </c>
      <c r="S1047" s="3" t="s">
        <v>1385</v>
      </c>
      <c r="T1047" s="23" t="s">
        <v>47</v>
      </c>
      <c r="U1047" s="3" t="s">
        <v>1385</v>
      </c>
      <c r="AO1047" s="15"/>
      <c r="AP1047" s="15"/>
      <c r="AQ1047" s="15"/>
      <c r="AR1047" s="23"/>
      <c r="AS1047" s="15"/>
      <c r="AT1047" s="15"/>
      <c r="AU1047" s="23"/>
      <c r="AV1047" s="23"/>
    </row>
    <row r="1048" spans="1:48" x14ac:dyDescent="0.25">
      <c r="A1048" t="s">
        <v>409</v>
      </c>
      <c r="B1048" t="s">
        <v>96</v>
      </c>
      <c r="C1048" s="10" t="e">
        <f>NA()</f>
        <v>#N/A</v>
      </c>
      <c r="D1048" t="s">
        <v>242</v>
      </c>
      <c r="E1048" s="2">
        <f t="shared" si="162"/>
        <v>46221</v>
      </c>
      <c r="F1048" s="3" t="e">
        <f t="shared" si="161"/>
        <v>#N/A</v>
      </c>
      <c r="G1048" t="s">
        <v>98</v>
      </c>
      <c r="H1048" t="s">
        <v>99</v>
      </c>
      <c r="I1048" t="s">
        <v>123</v>
      </c>
      <c r="J1048" s="2">
        <v>46221</v>
      </c>
      <c r="K1048" s="1">
        <v>0.31597222222222221</v>
      </c>
      <c r="L1048" s="10" t="e">
        <f t="shared" si="157"/>
        <v>#N/A</v>
      </c>
      <c r="M1048" s="1" t="e">
        <f t="shared" si="163"/>
        <v>#N/A</v>
      </c>
      <c r="N1048" s="27" t="str">
        <f t="shared" si="158"/>
        <v>Turkish Airlines</v>
      </c>
      <c r="O1048" s="3" t="e">
        <v>#N/A</v>
      </c>
      <c r="P1048" s="20" t="e">
        <f t="shared" si="159"/>
        <v>#N/A</v>
      </c>
      <c r="Q1048" s="3" t="e">
        <v>#N/A</v>
      </c>
      <c r="R1048" s="23" t="str">
        <f t="shared" si="160"/>
        <v>Saturday</v>
      </c>
      <c r="S1048" s="3" t="e">
        <v>#N/A</v>
      </c>
      <c r="T1048" s="23" t="s">
        <v>96</v>
      </c>
      <c r="AO1048" s="15"/>
      <c r="AP1048" s="15"/>
      <c r="AQ1048" s="15"/>
      <c r="AR1048" s="23"/>
      <c r="AS1048" s="15"/>
      <c r="AT1048" s="15"/>
      <c r="AU1048" s="23"/>
      <c r="AV1048" s="23"/>
    </row>
    <row r="1049" spans="1:48" x14ac:dyDescent="0.25">
      <c r="A1049" t="s">
        <v>60</v>
      </c>
      <c r="B1049" t="s">
        <v>7</v>
      </c>
      <c r="C1049" s="10">
        <v>-9</v>
      </c>
      <c r="D1049" t="s">
        <v>1086</v>
      </c>
      <c r="E1049" s="2">
        <f t="shared" si="162"/>
        <v>46221</v>
      </c>
      <c r="F1049" s="3">
        <f t="shared" si="161"/>
        <v>0.35486111111111113</v>
      </c>
      <c r="G1049" t="s">
        <v>9</v>
      </c>
      <c r="H1049" t="s">
        <v>10</v>
      </c>
      <c r="I1049" t="s">
        <v>11</v>
      </c>
      <c r="J1049" s="2">
        <v>46221</v>
      </c>
      <c r="K1049" s="1">
        <v>0.3611111111111111</v>
      </c>
      <c r="L1049" s="10">
        <f t="shared" si="157"/>
        <v>8.999999999999968</v>
      </c>
      <c r="M1049" s="1" t="str">
        <f t="shared" si="163"/>
        <v>On Time</v>
      </c>
      <c r="N1049" s="27" t="str">
        <f t="shared" si="158"/>
        <v>airBaltic</v>
      </c>
      <c r="O1049" s="3" t="s">
        <v>1385</v>
      </c>
      <c r="P1049" s="20">
        <f t="shared" si="159"/>
        <v>8</v>
      </c>
      <c r="Q1049" s="3" t="s">
        <v>1385</v>
      </c>
      <c r="R1049" s="23" t="str">
        <f t="shared" si="160"/>
        <v>Saturday</v>
      </c>
      <c r="S1049" s="3" t="s">
        <v>1385</v>
      </c>
      <c r="T1049" s="23" t="s">
        <v>7</v>
      </c>
      <c r="U1049" s="3" t="s">
        <v>1385</v>
      </c>
      <c r="AO1049" s="15"/>
      <c r="AP1049" s="15"/>
      <c r="AQ1049" s="15"/>
      <c r="AR1049" s="23"/>
      <c r="AS1049" s="15"/>
      <c r="AT1049" s="15"/>
      <c r="AU1049" s="23"/>
      <c r="AV1049" s="23"/>
    </row>
    <row r="1050" spans="1:48" x14ac:dyDescent="0.25">
      <c r="A1050" t="s">
        <v>68</v>
      </c>
      <c r="B1050" t="s">
        <v>69</v>
      </c>
      <c r="C1050" s="10">
        <v>-21</v>
      </c>
      <c r="D1050" t="s">
        <v>414</v>
      </c>
      <c r="E1050" s="2">
        <f t="shared" si="162"/>
        <v>46221</v>
      </c>
      <c r="F1050" s="3">
        <f t="shared" si="161"/>
        <v>0.40208333333333335</v>
      </c>
      <c r="G1050" t="s">
        <v>71</v>
      </c>
      <c r="H1050" t="s">
        <v>72</v>
      </c>
      <c r="I1050" t="s">
        <v>73</v>
      </c>
      <c r="J1050" s="2">
        <v>46221</v>
      </c>
      <c r="K1050" s="1">
        <v>0.3888888888888889</v>
      </c>
      <c r="L1050" s="10">
        <f t="shared" si="157"/>
        <v>-19.000000000000014</v>
      </c>
      <c r="M1050" s="1" t="str">
        <f t="shared" si="163"/>
        <v>Delayed</v>
      </c>
      <c r="N1050" s="27" t="str">
        <f t="shared" si="158"/>
        <v>Finnair</v>
      </c>
      <c r="O1050" s="3" t="s">
        <v>1318</v>
      </c>
      <c r="P1050" s="20">
        <f t="shared" si="159"/>
        <v>9</v>
      </c>
      <c r="Q1050" s="3" t="s">
        <v>1318</v>
      </c>
      <c r="R1050" s="23" t="str">
        <f t="shared" si="160"/>
        <v>Saturday</v>
      </c>
      <c r="S1050" s="3" t="s">
        <v>1318</v>
      </c>
      <c r="T1050" s="23" t="s">
        <v>69</v>
      </c>
      <c r="U1050" s="3" t="s">
        <v>1318</v>
      </c>
      <c r="AO1050" s="15"/>
      <c r="AP1050" s="15"/>
      <c r="AQ1050" s="15"/>
      <c r="AR1050" s="23"/>
      <c r="AS1050" s="15"/>
      <c r="AT1050" s="15"/>
      <c r="AU1050" s="23"/>
      <c r="AV1050" s="23"/>
    </row>
    <row r="1051" spans="1:48" x14ac:dyDescent="0.25">
      <c r="A1051" t="s">
        <v>74</v>
      </c>
      <c r="B1051" t="s">
        <v>13</v>
      </c>
      <c r="C1051" s="10">
        <v>4</v>
      </c>
      <c r="D1051" t="s">
        <v>64</v>
      </c>
      <c r="E1051" s="2">
        <f t="shared" si="162"/>
        <v>46221</v>
      </c>
      <c r="F1051" s="3">
        <f t="shared" si="161"/>
        <v>0.37013888888888885</v>
      </c>
      <c r="G1051" t="s">
        <v>76</v>
      </c>
      <c r="H1051" t="s">
        <v>77</v>
      </c>
      <c r="I1051" t="s">
        <v>17</v>
      </c>
      <c r="J1051" s="2">
        <v>46221</v>
      </c>
      <c r="K1051" s="1">
        <v>0.3888888888888889</v>
      </c>
      <c r="L1051" s="10">
        <f t="shared" si="157"/>
        <v>27.000000000000064</v>
      </c>
      <c r="M1051" s="1" t="str">
        <f t="shared" si="163"/>
        <v>On Time</v>
      </c>
      <c r="N1051" s="27" t="str">
        <f t="shared" si="158"/>
        <v>Wizz Air</v>
      </c>
      <c r="O1051" s="3" t="s">
        <v>1385</v>
      </c>
      <c r="P1051" s="20">
        <f t="shared" si="159"/>
        <v>8</v>
      </c>
      <c r="Q1051" s="3" t="s">
        <v>1385</v>
      </c>
      <c r="R1051" s="23" t="str">
        <f t="shared" si="160"/>
        <v>Saturday</v>
      </c>
      <c r="S1051" s="3" t="s">
        <v>1385</v>
      </c>
      <c r="T1051" s="23" t="s">
        <v>13</v>
      </c>
      <c r="U1051" s="3" t="s">
        <v>1385</v>
      </c>
      <c r="AO1051" s="15"/>
      <c r="AP1051" s="15"/>
      <c r="AQ1051" s="15"/>
      <c r="AR1051" s="23"/>
      <c r="AS1051" s="15"/>
      <c r="AT1051" s="15"/>
      <c r="AU1051" s="23"/>
      <c r="AV1051" s="23"/>
    </row>
    <row r="1052" spans="1:48" x14ac:dyDescent="0.25">
      <c r="A1052" t="s">
        <v>150</v>
      </c>
      <c r="B1052" t="s">
        <v>151</v>
      </c>
      <c r="C1052" s="10">
        <v>-26</v>
      </c>
      <c r="D1052" t="s">
        <v>493</v>
      </c>
      <c r="E1052" s="2">
        <f t="shared" si="162"/>
        <v>46221</v>
      </c>
      <c r="F1052" s="3">
        <f t="shared" si="161"/>
        <v>0.40833333333333338</v>
      </c>
      <c r="G1052" t="s">
        <v>153</v>
      </c>
      <c r="H1052" t="s">
        <v>154</v>
      </c>
      <c r="I1052" t="s">
        <v>188</v>
      </c>
      <c r="J1052" s="2">
        <v>46221</v>
      </c>
      <c r="K1052" s="1">
        <v>0.40277777777777773</v>
      </c>
      <c r="L1052" s="10">
        <f t="shared" si="157"/>
        <v>-8.0000000000001315</v>
      </c>
      <c r="M1052" s="1" t="str">
        <f t="shared" si="163"/>
        <v>On Time</v>
      </c>
      <c r="N1052" s="27" t="e">
        <f t="shared" si="158"/>
        <v>#N/A</v>
      </c>
      <c r="O1052" s="3" t="s">
        <v>1385</v>
      </c>
      <c r="P1052" s="20">
        <f t="shared" si="159"/>
        <v>9</v>
      </c>
      <c r="Q1052" s="3" t="s">
        <v>1385</v>
      </c>
      <c r="R1052" s="23" t="str">
        <f t="shared" si="160"/>
        <v>Saturday</v>
      </c>
      <c r="S1052" s="3" t="s">
        <v>1385</v>
      </c>
      <c r="T1052" s="23" t="s">
        <v>151</v>
      </c>
      <c r="U1052" s="3" t="s">
        <v>1385</v>
      </c>
      <c r="AO1052" s="15"/>
      <c r="AP1052" s="15"/>
      <c r="AQ1052" s="15"/>
      <c r="AR1052" s="23"/>
      <c r="AS1052" s="15"/>
      <c r="AT1052" s="15"/>
      <c r="AU1052" s="23"/>
      <c r="AV1052" s="23"/>
    </row>
    <row r="1053" spans="1:48" x14ac:dyDescent="0.25">
      <c r="A1053" t="s">
        <v>184</v>
      </c>
      <c r="B1053" t="s">
        <v>85</v>
      </c>
      <c r="C1053" s="10">
        <v>-37</v>
      </c>
      <c r="D1053" t="s">
        <v>1087</v>
      </c>
      <c r="E1053" s="2">
        <f t="shared" si="162"/>
        <v>46221</v>
      </c>
      <c r="F1053" s="3">
        <f t="shared" si="161"/>
        <v>0.42499999999999999</v>
      </c>
      <c r="G1053" t="s">
        <v>153</v>
      </c>
      <c r="H1053" t="s">
        <v>154</v>
      </c>
      <c r="I1053" t="s">
        <v>89</v>
      </c>
      <c r="J1053" s="2">
        <v>46221</v>
      </c>
      <c r="K1053" s="1">
        <v>0.41319444444444442</v>
      </c>
      <c r="L1053" s="10">
        <f t="shared" si="157"/>
        <v>-17.000000000000021</v>
      </c>
      <c r="M1053" s="1" t="str">
        <f t="shared" si="163"/>
        <v>Delayed</v>
      </c>
      <c r="N1053" s="27" t="str">
        <f t="shared" si="158"/>
        <v>Ryanair</v>
      </c>
      <c r="O1053" s="3" t="s">
        <v>1318</v>
      </c>
      <c r="P1053" s="20">
        <f t="shared" si="159"/>
        <v>10</v>
      </c>
      <c r="Q1053" s="3" t="s">
        <v>1318</v>
      </c>
      <c r="R1053" s="23" t="str">
        <f t="shared" si="160"/>
        <v>Saturday</v>
      </c>
      <c r="S1053" s="3" t="s">
        <v>1318</v>
      </c>
      <c r="T1053" s="23" t="s">
        <v>85</v>
      </c>
      <c r="U1053" s="3" t="s">
        <v>1318</v>
      </c>
      <c r="AO1053" s="15"/>
      <c r="AP1053" s="15"/>
      <c r="AQ1053" s="15"/>
      <c r="AR1053" s="23"/>
      <c r="AS1053" s="15"/>
      <c r="AT1053" s="15"/>
      <c r="AU1053" s="23"/>
      <c r="AV1053" s="23"/>
    </row>
    <row r="1054" spans="1:48" x14ac:dyDescent="0.25">
      <c r="A1054" t="s">
        <v>90</v>
      </c>
      <c r="B1054" t="s">
        <v>19</v>
      </c>
      <c r="C1054" s="10">
        <v>-21</v>
      </c>
      <c r="D1054" t="s">
        <v>1088</v>
      </c>
      <c r="E1054" s="2">
        <f t="shared" si="162"/>
        <v>46221</v>
      </c>
      <c r="F1054" s="3">
        <f t="shared" si="161"/>
        <v>0.41944444444444445</v>
      </c>
      <c r="G1054" t="s">
        <v>21</v>
      </c>
      <c r="H1054" t="s">
        <v>22</v>
      </c>
      <c r="I1054" t="s">
        <v>303</v>
      </c>
      <c r="J1054" s="2">
        <v>46221</v>
      </c>
      <c r="K1054" s="1">
        <v>0.4201388888888889</v>
      </c>
      <c r="L1054" s="10">
        <f t="shared" si="157"/>
        <v>0.99999999999999645</v>
      </c>
      <c r="M1054" s="1" t="str">
        <f t="shared" si="163"/>
        <v>On Time</v>
      </c>
      <c r="N1054" s="27" t="str">
        <f t="shared" si="158"/>
        <v>LOT</v>
      </c>
      <c r="O1054" s="3" t="s">
        <v>1385</v>
      </c>
      <c r="P1054" s="20">
        <f t="shared" si="159"/>
        <v>10</v>
      </c>
      <c r="Q1054" s="3" t="s">
        <v>1385</v>
      </c>
      <c r="R1054" s="23" t="str">
        <f t="shared" si="160"/>
        <v>Saturday</v>
      </c>
      <c r="S1054" s="3" t="s">
        <v>1385</v>
      </c>
      <c r="T1054" s="23" t="s">
        <v>19</v>
      </c>
      <c r="U1054" s="3" t="s">
        <v>1385</v>
      </c>
      <c r="AO1054" s="15"/>
      <c r="AP1054" s="15"/>
      <c r="AQ1054" s="15"/>
      <c r="AR1054" s="23"/>
      <c r="AS1054" s="15"/>
      <c r="AT1054" s="15"/>
      <c r="AU1054" s="23"/>
      <c r="AV1054" s="23"/>
    </row>
    <row r="1055" spans="1:48" x14ac:dyDescent="0.25">
      <c r="A1055" t="s">
        <v>319</v>
      </c>
      <c r="B1055" t="s">
        <v>85</v>
      </c>
      <c r="C1055" s="10">
        <v>-24</v>
      </c>
      <c r="D1055" t="s">
        <v>1089</v>
      </c>
      <c r="E1055" s="2">
        <f t="shared" si="162"/>
        <v>46221</v>
      </c>
      <c r="F1055" s="3">
        <f t="shared" si="161"/>
        <v>0.41250000000000003</v>
      </c>
      <c r="G1055" t="s">
        <v>15</v>
      </c>
      <c r="H1055" t="s">
        <v>16</v>
      </c>
      <c r="I1055" t="s">
        <v>89</v>
      </c>
      <c r="J1055" s="2">
        <v>46221</v>
      </c>
      <c r="K1055" s="1">
        <v>0.42708333333333331</v>
      </c>
      <c r="L1055" s="10">
        <f t="shared" si="157"/>
        <v>20.999999999999925</v>
      </c>
      <c r="M1055" s="1" t="str">
        <f t="shared" si="163"/>
        <v>On Time</v>
      </c>
      <c r="N1055" s="27" t="str">
        <f t="shared" si="158"/>
        <v>Ryanair</v>
      </c>
      <c r="O1055" s="3" t="s">
        <v>1385</v>
      </c>
      <c r="P1055" s="20">
        <f t="shared" si="159"/>
        <v>9</v>
      </c>
      <c r="Q1055" s="3" t="s">
        <v>1385</v>
      </c>
      <c r="R1055" s="23" t="str">
        <f t="shared" si="160"/>
        <v>Saturday</v>
      </c>
      <c r="S1055" s="3" t="s">
        <v>1385</v>
      </c>
      <c r="T1055" s="23" t="s">
        <v>85</v>
      </c>
      <c r="U1055" s="3" t="s">
        <v>1385</v>
      </c>
      <c r="AO1055" s="15"/>
      <c r="AP1055" s="15"/>
      <c r="AQ1055" s="15"/>
      <c r="AR1055" s="23"/>
      <c r="AS1055" s="15"/>
      <c r="AT1055" s="15"/>
      <c r="AU1055" s="23"/>
      <c r="AV1055" s="23"/>
    </row>
    <row r="1056" spans="1:48" x14ac:dyDescent="0.25">
      <c r="A1056" t="s">
        <v>95</v>
      </c>
      <c r="B1056" t="s">
        <v>96</v>
      </c>
      <c r="C1056" s="10">
        <v>-18</v>
      </c>
      <c r="D1056" t="s">
        <v>415</v>
      </c>
      <c r="E1056" s="2">
        <f t="shared" si="162"/>
        <v>46221</v>
      </c>
      <c r="F1056" s="3">
        <f t="shared" si="161"/>
        <v>0.43541666666666662</v>
      </c>
      <c r="G1056" t="s">
        <v>98</v>
      </c>
      <c r="H1056" t="s">
        <v>99</v>
      </c>
      <c r="I1056" t="s">
        <v>188</v>
      </c>
      <c r="J1056" s="2">
        <v>46221</v>
      </c>
      <c r="K1056" s="1">
        <v>0.44791666666666669</v>
      </c>
      <c r="L1056" s="10">
        <f t="shared" si="157"/>
        <v>18.000000000000096</v>
      </c>
      <c r="M1056" s="1" t="str">
        <f t="shared" si="163"/>
        <v>On Time</v>
      </c>
      <c r="N1056" s="27" t="str">
        <f t="shared" si="158"/>
        <v>Turkish Airlines</v>
      </c>
      <c r="O1056" s="3" t="s">
        <v>1385</v>
      </c>
      <c r="P1056" s="20">
        <f t="shared" si="159"/>
        <v>10</v>
      </c>
      <c r="Q1056" s="3" t="s">
        <v>1385</v>
      </c>
      <c r="R1056" s="23" t="str">
        <f t="shared" si="160"/>
        <v>Saturday</v>
      </c>
      <c r="S1056" s="3" t="s">
        <v>1385</v>
      </c>
      <c r="T1056" s="23" t="s">
        <v>96</v>
      </c>
      <c r="U1056" s="3" t="s">
        <v>1385</v>
      </c>
      <c r="AO1056" s="15"/>
      <c r="AP1056" s="15"/>
      <c r="AQ1056" s="15"/>
      <c r="AR1056" s="23"/>
      <c r="AS1056" s="15"/>
      <c r="AT1056" s="15"/>
      <c r="AU1056" s="23"/>
      <c r="AV1056" s="23"/>
    </row>
    <row r="1057" spans="1:48" x14ac:dyDescent="0.25">
      <c r="A1057" t="s">
        <v>418</v>
      </c>
      <c r="B1057" t="s">
        <v>85</v>
      </c>
      <c r="C1057" s="10">
        <v>-46</v>
      </c>
      <c r="D1057" t="s">
        <v>498</v>
      </c>
      <c r="E1057" s="2">
        <f t="shared" si="162"/>
        <v>46221</v>
      </c>
      <c r="F1057" s="3">
        <f t="shared" si="161"/>
        <v>0.47361111111111115</v>
      </c>
      <c r="G1057" t="s">
        <v>419</v>
      </c>
      <c r="H1057" t="s">
        <v>420</v>
      </c>
      <c r="I1057" t="s">
        <v>89</v>
      </c>
      <c r="J1057" s="2">
        <v>46221</v>
      </c>
      <c r="K1057" s="1">
        <v>0.45833333333333331</v>
      </c>
      <c r="L1057" s="10">
        <f t="shared" si="157"/>
        <v>-22.000000000000082</v>
      </c>
      <c r="M1057" s="1" t="str">
        <f t="shared" si="163"/>
        <v>Delayed</v>
      </c>
      <c r="N1057" s="27" t="str">
        <f t="shared" si="158"/>
        <v>Ryanair</v>
      </c>
      <c r="O1057" s="3" t="s">
        <v>1318</v>
      </c>
      <c r="P1057" s="20">
        <f t="shared" si="159"/>
        <v>11</v>
      </c>
      <c r="Q1057" s="3" t="s">
        <v>1318</v>
      </c>
      <c r="R1057" s="23" t="str">
        <f t="shared" si="160"/>
        <v>Saturday</v>
      </c>
      <c r="S1057" s="3" t="s">
        <v>1318</v>
      </c>
      <c r="T1057" s="23" t="s">
        <v>85</v>
      </c>
      <c r="U1057" s="3" t="s">
        <v>1318</v>
      </c>
      <c r="AO1057" s="15"/>
      <c r="AP1057" s="15"/>
      <c r="AQ1057" s="15"/>
      <c r="AR1057" s="23"/>
      <c r="AS1057" s="15"/>
      <c r="AT1057" s="15"/>
      <c r="AU1057" s="23"/>
      <c r="AV1057" s="23"/>
    </row>
    <row r="1058" spans="1:48" x14ac:dyDescent="0.25">
      <c r="A1058" t="s">
        <v>178</v>
      </c>
      <c r="B1058" t="s">
        <v>85</v>
      </c>
      <c r="C1058" s="10">
        <v>2</v>
      </c>
      <c r="D1058" t="s">
        <v>858</v>
      </c>
      <c r="E1058" s="2">
        <f t="shared" si="162"/>
        <v>46221</v>
      </c>
      <c r="F1058" s="3">
        <f t="shared" si="161"/>
        <v>0.44722222222222219</v>
      </c>
      <c r="G1058" t="s">
        <v>180</v>
      </c>
      <c r="H1058" t="s">
        <v>181</v>
      </c>
      <c r="I1058" t="s">
        <v>89</v>
      </c>
      <c r="J1058" s="2">
        <v>46221</v>
      </c>
      <c r="K1058" s="1">
        <v>0.46180555555555558</v>
      </c>
      <c r="L1058" s="10">
        <f t="shared" si="157"/>
        <v>21.000000000000085</v>
      </c>
      <c r="M1058" s="1" t="str">
        <f t="shared" si="163"/>
        <v>On Time</v>
      </c>
      <c r="N1058" s="27" t="str">
        <f t="shared" si="158"/>
        <v>Ryanair</v>
      </c>
      <c r="O1058" s="3" t="s">
        <v>1385</v>
      </c>
      <c r="P1058" s="20">
        <f t="shared" si="159"/>
        <v>10</v>
      </c>
      <c r="Q1058" s="3" t="s">
        <v>1385</v>
      </c>
      <c r="R1058" s="23" t="str">
        <f t="shared" si="160"/>
        <v>Saturday</v>
      </c>
      <c r="S1058" s="3" t="s">
        <v>1385</v>
      </c>
      <c r="T1058" s="23" t="s">
        <v>85</v>
      </c>
      <c r="U1058" s="3" t="s">
        <v>1385</v>
      </c>
      <c r="AO1058" s="15"/>
      <c r="AP1058" s="15"/>
      <c r="AQ1058" s="15"/>
      <c r="AR1058" s="23"/>
      <c r="AS1058" s="15"/>
      <c r="AT1058" s="15"/>
      <c r="AU1058" s="23"/>
      <c r="AV1058" s="23"/>
    </row>
    <row r="1059" spans="1:48" x14ac:dyDescent="0.25">
      <c r="A1059" t="s">
        <v>422</v>
      </c>
      <c r="B1059" t="s">
        <v>13</v>
      </c>
      <c r="C1059" s="10">
        <v>-11</v>
      </c>
      <c r="D1059" t="s">
        <v>1090</v>
      </c>
      <c r="E1059" s="2">
        <f t="shared" si="162"/>
        <v>46221</v>
      </c>
      <c r="F1059" s="3">
        <f t="shared" si="161"/>
        <v>0.47083333333333338</v>
      </c>
      <c r="G1059" t="s">
        <v>424</v>
      </c>
      <c r="H1059" t="s">
        <v>425</v>
      </c>
      <c r="I1059" t="s">
        <v>17</v>
      </c>
      <c r="J1059" s="2">
        <v>46221</v>
      </c>
      <c r="K1059" s="1">
        <v>0.4826388888888889</v>
      </c>
      <c r="L1059" s="10">
        <f t="shared" si="157"/>
        <v>16.99999999999994</v>
      </c>
      <c r="M1059" s="1" t="str">
        <f t="shared" si="163"/>
        <v>On Time</v>
      </c>
      <c r="N1059" s="27" t="str">
        <f t="shared" si="158"/>
        <v>Wizz Air</v>
      </c>
      <c r="O1059" s="3" t="s">
        <v>1385</v>
      </c>
      <c r="P1059" s="20">
        <f t="shared" si="159"/>
        <v>11</v>
      </c>
      <c r="Q1059" s="3" t="s">
        <v>1385</v>
      </c>
      <c r="R1059" s="23" t="str">
        <f t="shared" si="160"/>
        <v>Saturday</v>
      </c>
      <c r="S1059" s="3" t="s">
        <v>1385</v>
      </c>
      <c r="T1059" s="23" t="s">
        <v>13</v>
      </c>
      <c r="U1059" s="3" t="s">
        <v>1385</v>
      </c>
      <c r="AO1059" s="15"/>
      <c r="AP1059" s="15"/>
      <c r="AQ1059" s="15"/>
      <c r="AR1059" s="23"/>
      <c r="AS1059" s="15"/>
      <c r="AT1059" s="15"/>
      <c r="AU1059" s="23"/>
      <c r="AV1059" s="23"/>
    </row>
    <row r="1060" spans="1:48" x14ac:dyDescent="0.25">
      <c r="A1060" t="s">
        <v>383</v>
      </c>
      <c r="B1060" t="s">
        <v>7</v>
      </c>
      <c r="C1060" s="10">
        <v>-17</v>
      </c>
      <c r="D1060" t="s">
        <v>975</v>
      </c>
      <c r="E1060" s="2">
        <f t="shared" si="162"/>
        <v>46221</v>
      </c>
      <c r="F1060" s="3">
        <f t="shared" si="161"/>
        <v>0.49583333333333335</v>
      </c>
      <c r="G1060" t="s">
        <v>26</v>
      </c>
      <c r="H1060" t="s">
        <v>27</v>
      </c>
      <c r="I1060" t="s">
        <v>11</v>
      </c>
      <c r="J1060" s="2">
        <v>46221</v>
      </c>
      <c r="K1060" s="1">
        <v>0.5</v>
      </c>
      <c r="L1060" s="10">
        <f t="shared" si="157"/>
        <v>5.9999999999999787</v>
      </c>
      <c r="M1060" s="1" t="str">
        <f t="shared" si="163"/>
        <v>On Time</v>
      </c>
      <c r="N1060" s="27" t="str">
        <f t="shared" si="158"/>
        <v>airBaltic</v>
      </c>
      <c r="O1060" s="3" t="s">
        <v>1385</v>
      </c>
      <c r="P1060" s="20">
        <f t="shared" si="159"/>
        <v>11</v>
      </c>
      <c r="Q1060" s="3" t="s">
        <v>1385</v>
      </c>
      <c r="R1060" s="23" t="str">
        <f t="shared" si="160"/>
        <v>Saturday</v>
      </c>
      <c r="S1060" s="3" t="s">
        <v>1385</v>
      </c>
      <c r="T1060" s="23" t="s">
        <v>7</v>
      </c>
      <c r="U1060" s="3" t="s">
        <v>1385</v>
      </c>
      <c r="AO1060" s="15"/>
      <c r="AP1060" s="15"/>
      <c r="AQ1060" s="15"/>
      <c r="AR1060" s="23"/>
      <c r="AS1060" s="15"/>
      <c r="AT1060" s="15"/>
      <c r="AU1060" s="23"/>
      <c r="AV1060" s="23"/>
    </row>
    <row r="1061" spans="1:48" x14ac:dyDescent="0.25">
      <c r="A1061" t="s">
        <v>108</v>
      </c>
      <c r="B1061" t="s">
        <v>190</v>
      </c>
      <c r="C1061" s="10">
        <v>-26</v>
      </c>
      <c r="D1061" t="s">
        <v>901</v>
      </c>
      <c r="E1061" s="2">
        <f t="shared" si="162"/>
        <v>46221</v>
      </c>
      <c r="F1061" s="3">
        <f t="shared" si="161"/>
        <v>0.52847222222222223</v>
      </c>
      <c r="G1061" t="s">
        <v>110</v>
      </c>
      <c r="H1061" t="s">
        <v>111</v>
      </c>
      <c r="I1061" t="s">
        <v>260</v>
      </c>
      <c r="J1061" s="2">
        <v>46221</v>
      </c>
      <c r="K1061" s="1">
        <v>0.52777777777777779</v>
      </c>
      <c r="L1061" s="10">
        <f t="shared" si="157"/>
        <v>-0.99999999999999645</v>
      </c>
      <c r="M1061" s="1" t="str">
        <f t="shared" si="163"/>
        <v>On Time</v>
      </c>
      <c r="N1061" s="27" t="str">
        <f t="shared" si="158"/>
        <v>Lufthansa</v>
      </c>
      <c r="O1061" s="3" t="s">
        <v>1385</v>
      </c>
      <c r="P1061" s="20">
        <f t="shared" si="159"/>
        <v>12</v>
      </c>
      <c r="Q1061" s="3" t="s">
        <v>1385</v>
      </c>
      <c r="R1061" s="23" t="str">
        <f t="shared" si="160"/>
        <v>Saturday</v>
      </c>
      <c r="S1061" s="3" t="s">
        <v>1385</v>
      </c>
      <c r="T1061" s="23" t="s">
        <v>190</v>
      </c>
      <c r="U1061" s="3" t="s">
        <v>1385</v>
      </c>
      <c r="AO1061" s="15"/>
      <c r="AP1061" s="15"/>
      <c r="AQ1061" s="15"/>
      <c r="AR1061" s="23"/>
      <c r="AS1061" s="15"/>
      <c r="AT1061" s="15"/>
      <c r="AU1061" s="23"/>
      <c r="AV1061" s="23"/>
    </row>
    <row r="1062" spans="1:48" x14ac:dyDescent="0.25">
      <c r="A1062" t="s">
        <v>123</v>
      </c>
      <c r="B1062" t="s">
        <v>124</v>
      </c>
      <c r="D1062" t="s">
        <v>118</v>
      </c>
      <c r="E1062" s="2">
        <f t="shared" si="162"/>
        <v>46221</v>
      </c>
      <c r="F1062" s="3">
        <f t="shared" si="161"/>
        <v>0.52569444444444446</v>
      </c>
      <c r="G1062" t="s">
        <v>431</v>
      </c>
      <c r="H1062" t="s">
        <v>432</v>
      </c>
      <c r="I1062" t="s">
        <v>249</v>
      </c>
      <c r="J1062" s="2">
        <v>46221</v>
      </c>
      <c r="K1062" s="1">
        <v>0.52777777777777779</v>
      </c>
      <c r="L1062" s="10">
        <f t="shared" si="157"/>
        <v>2.9999999999999893</v>
      </c>
      <c r="M1062" s="1" t="str">
        <f t="shared" si="163"/>
        <v>On Time</v>
      </c>
      <c r="N1062" s="27" t="str">
        <f t="shared" si="158"/>
        <v>GetJet Airlines</v>
      </c>
      <c r="O1062" s="3" t="s">
        <v>1385</v>
      </c>
      <c r="P1062" s="20">
        <f t="shared" si="159"/>
        <v>12</v>
      </c>
      <c r="Q1062" s="3" t="s">
        <v>1385</v>
      </c>
      <c r="R1062" s="23" t="str">
        <f t="shared" si="160"/>
        <v>Saturday</v>
      </c>
      <c r="S1062" s="3" t="s">
        <v>1385</v>
      </c>
      <c r="T1062" s="23" t="s">
        <v>124</v>
      </c>
      <c r="U1062" s="3" t="s">
        <v>1385</v>
      </c>
      <c r="AO1062" s="15"/>
      <c r="AP1062" s="15"/>
      <c r="AQ1062" s="15"/>
      <c r="AR1062" s="23"/>
      <c r="AS1062" s="15"/>
      <c r="AT1062" s="15"/>
      <c r="AU1062" s="23"/>
      <c r="AV1062" s="23"/>
    </row>
    <row r="1063" spans="1:48" x14ac:dyDescent="0.25">
      <c r="A1063" t="s">
        <v>121</v>
      </c>
      <c r="B1063" t="s">
        <v>69</v>
      </c>
      <c r="C1063" s="10">
        <v>-3</v>
      </c>
      <c r="D1063" t="s">
        <v>824</v>
      </c>
      <c r="E1063" s="2">
        <f t="shared" si="162"/>
        <v>46221</v>
      </c>
      <c r="F1063" s="3">
        <f t="shared" si="161"/>
        <v>0.54236111111111118</v>
      </c>
      <c r="G1063" t="s">
        <v>71</v>
      </c>
      <c r="H1063" t="s">
        <v>72</v>
      </c>
      <c r="I1063" t="s">
        <v>73</v>
      </c>
      <c r="J1063" s="2">
        <v>46221</v>
      </c>
      <c r="K1063" s="1">
        <v>0.54166666666666663</v>
      </c>
      <c r="L1063" s="10">
        <f t="shared" si="157"/>
        <v>-1.0000000000001563</v>
      </c>
      <c r="M1063" s="1" t="str">
        <f t="shared" si="163"/>
        <v>On Time</v>
      </c>
      <c r="N1063" s="27" t="str">
        <f t="shared" si="158"/>
        <v>Finnair</v>
      </c>
      <c r="O1063" s="3" t="s">
        <v>1385</v>
      </c>
      <c r="P1063" s="20">
        <f t="shared" si="159"/>
        <v>13</v>
      </c>
      <c r="Q1063" s="3" t="s">
        <v>1385</v>
      </c>
      <c r="R1063" s="23" t="str">
        <f t="shared" si="160"/>
        <v>Saturday</v>
      </c>
      <c r="S1063" s="3" t="s">
        <v>1385</v>
      </c>
      <c r="T1063" s="23" t="s">
        <v>69</v>
      </c>
      <c r="U1063" s="3" t="s">
        <v>1385</v>
      </c>
      <c r="AO1063" s="15"/>
      <c r="AP1063" s="15"/>
      <c r="AQ1063" s="15"/>
      <c r="AR1063" s="23"/>
      <c r="AS1063" s="15"/>
      <c r="AT1063" s="15"/>
      <c r="AU1063" s="23"/>
      <c r="AV1063" s="23"/>
    </row>
    <row r="1064" spans="1:48" x14ac:dyDescent="0.25">
      <c r="A1064" t="s">
        <v>427</v>
      </c>
      <c r="B1064" t="s">
        <v>117</v>
      </c>
      <c r="C1064" s="10">
        <v>-20</v>
      </c>
      <c r="D1064" t="s">
        <v>322</v>
      </c>
      <c r="E1064" s="2">
        <f t="shared" si="162"/>
        <v>46221</v>
      </c>
      <c r="F1064" s="3">
        <f t="shared" si="161"/>
        <v>0.54375000000000007</v>
      </c>
      <c r="G1064" t="s">
        <v>119</v>
      </c>
      <c r="H1064" t="s">
        <v>120</v>
      </c>
      <c r="I1064" t="s">
        <v>83</v>
      </c>
      <c r="J1064" s="2">
        <v>46221</v>
      </c>
      <c r="K1064" s="1">
        <v>0.54305555555555551</v>
      </c>
      <c r="L1064" s="10">
        <f t="shared" si="157"/>
        <v>-1.0000000000001563</v>
      </c>
      <c r="M1064" s="1" t="str">
        <f t="shared" si="163"/>
        <v>On Time</v>
      </c>
      <c r="N1064" s="27" t="str">
        <f t="shared" si="158"/>
        <v>Heston Airlines</v>
      </c>
      <c r="O1064" s="3" t="s">
        <v>1385</v>
      </c>
      <c r="P1064" s="20">
        <f t="shared" si="159"/>
        <v>13</v>
      </c>
      <c r="Q1064" s="3" t="s">
        <v>1385</v>
      </c>
      <c r="R1064" s="23" t="str">
        <f t="shared" si="160"/>
        <v>Saturday</v>
      </c>
      <c r="S1064" s="3" t="s">
        <v>1385</v>
      </c>
      <c r="T1064" s="23" t="s">
        <v>117</v>
      </c>
      <c r="U1064" s="3" t="s">
        <v>1385</v>
      </c>
      <c r="AO1064" s="15"/>
      <c r="AP1064" s="15"/>
      <c r="AQ1064" s="15"/>
      <c r="AR1064" s="23"/>
      <c r="AS1064" s="15"/>
      <c r="AT1064" s="15"/>
      <c r="AU1064" s="23"/>
      <c r="AV1064" s="23"/>
    </row>
    <row r="1065" spans="1:48" x14ac:dyDescent="0.25">
      <c r="A1065" t="s">
        <v>123</v>
      </c>
      <c r="B1065" t="s">
        <v>124</v>
      </c>
      <c r="D1065" t="s">
        <v>588</v>
      </c>
      <c r="E1065" s="2">
        <f t="shared" si="162"/>
        <v>46221</v>
      </c>
      <c r="F1065" s="3">
        <f t="shared" si="161"/>
        <v>0.53263888888888888</v>
      </c>
      <c r="G1065" t="s">
        <v>119</v>
      </c>
      <c r="H1065" t="s">
        <v>120</v>
      </c>
      <c r="I1065" t="s">
        <v>126</v>
      </c>
      <c r="J1065" s="2">
        <v>46221</v>
      </c>
      <c r="K1065" s="1">
        <v>0.55069444444444449</v>
      </c>
      <c r="L1065" s="10">
        <f t="shared" si="157"/>
        <v>26.000000000000068</v>
      </c>
      <c r="M1065" s="1" t="str">
        <f t="shared" si="163"/>
        <v>On Time</v>
      </c>
      <c r="N1065" s="27" t="str">
        <f t="shared" si="158"/>
        <v>GetJet Airlines</v>
      </c>
      <c r="O1065" s="3" t="s">
        <v>1385</v>
      </c>
      <c r="P1065" s="20">
        <f t="shared" si="159"/>
        <v>12</v>
      </c>
      <c r="Q1065" s="3" t="s">
        <v>1385</v>
      </c>
      <c r="R1065" s="23" t="str">
        <f t="shared" si="160"/>
        <v>Saturday</v>
      </c>
      <c r="S1065" s="3" t="s">
        <v>1385</v>
      </c>
      <c r="T1065" s="23" t="s">
        <v>124</v>
      </c>
      <c r="U1065" s="3" t="s">
        <v>1385</v>
      </c>
      <c r="AO1065" s="15"/>
      <c r="AP1065" s="15"/>
      <c r="AQ1065" s="15"/>
      <c r="AR1065" s="23"/>
      <c r="AS1065" s="15"/>
      <c r="AT1065" s="15"/>
      <c r="AU1065" s="23"/>
      <c r="AV1065" s="23"/>
    </row>
    <row r="1066" spans="1:48" x14ac:dyDescent="0.25">
      <c r="A1066" t="s">
        <v>133</v>
      </c>
      <c r="B1066" t="s">
        <v>7</v>
      </c>
      <c r="C1066" s="10">
        <v>-34</v>
      </c>
      <c r="D1066" t="s">
        <v>1091</v>
      </c>
      <c r="E1066" s="2">
        <f t="shared" si="162"/>
        <v>46221</v>
      </c>
      <c r="F1066" s="3">
        <f t="shared" si="161"/>
        <v>0.56944444444444442</v>
      </c>
      <c r="G1066" t="s">
        <v>135</v>
      </c>
      <c r="H1066" t="s">
        <v>136</v>
      </c>
      <c r="I1066" t="s">
        <v>11</v>
      </c>
      <c r="J1066" s="2">
        <v>46221</v>
      </c>
      <c r="K1066" s="1">
        <v>0.55902777777777779</v>
      </c>
      <c r="L1066" s="10">
        <f t="shared" si="157"/>
        <v>-14.999999999999947</v>
      </c>
      <c r="M1066" s="1" t="str">
        <f t="shared" si="163"/>
        <v>On Time</v>
      </c>
      <c r="N1066" s="27" t="str">
        <f t="shared" si="158"/>
        <v>airBaltic</v>
      </c>
      <c r="O1066" s="3" t="s">
        <v>1385</v>
      </c>
      <c r="P1066" s="20">
        <f t="shared" si="159"/>
        <v>13</v>
      </c>
      <c r="Q1066" s="3" t="s">
        <v>1385</v>
      </c>
      <c r="R1066" s="23" t="str">
        <f t="shared" si="160"/>
        <v>Saturday</v>
      </c>
      <c r="S1066" s="3" t="s">
        <v>1385</v>
      </c>
      <c r="T1066" s="23" t="s">
        <v>7</v>
      </c>
      <c r="U1066" s="3" t="s">
        <v>1385</v>
      </c>
      <c r="AO1066" s="15"/>
      <c r="AP1066" s="15"/>
      <c r="AQ1066" s="15"/>
      <c r="AR1066" s="23"/>
      <c r="AS1066" s="15"/>
      <c r="AT1066" s="15"/>
      <c r="AU1066" s="23"/>
      <c r="AV1066" s="23"/>
    </row>
    <row r="1067" spans="1:48" x14ac:dyDescent="0.25">
      <c r="A1067" t="s">
        <v>213</v>
      </c>
      <c r="B1067" t="s">
        <v>85</v>
      </c>
      <c r="C1067" s="10">
        <v>0</v>
      </c>
      <c r="D1067" t="s">
        <v>652</v>
      </c>
      <c r="E1067" s="2">
        <f t="shared" si="162"/>
        <v>46221</v>
      </c>
      <c r="F1067" s="3">
        <f t="shared" si="161"/>
        <v>0.53888888888888886</v>
      </c>
      <c r="G1067" t="s">
        <v>102</v>
      </c>
      <c r="H1067" t="s">
        <v>115</v>
      </c>
      <c r="I1067" t="s">
        <v>162</v>
      </c>
      <c r="J1067" s="2">
        <v>46221</v>
      </c>
      <c r="K1067" s="1">
        <v>0.55902777777777779</v>
      </c>
      <c r="L1067" s="10">
        <f t="shared" si="157"/>
        <v>29.000000000000057</v>
      </c>
      <c r="M1067" s="1" t="str">
        <f t="shared" si="163"/>
        <v>On Time</v>
      </c>
      <c r="N1067" s="27" t="str">
        <f t="shared" si="158"/>
        <v>Ryanair</v>
      </c>
      <c r="O1067" s="3" t="s">
        <v>1385</v>
      </c>
      <c r="P1067" s="20">
        <f t="shared" si="159"/>
        <v>12</v>
      </c>
      <c r="Q1067" s="3" t="s">
        <v>1385</v>
      </c>
      <c r="R1067" s="23" t="str">
        <f t="shared" si="160"/>
        <v>Saturday</v>
      </c>
      <c r="S1067" s="3" t="s">
        <v>1385</v>
      </c>
      <c r="T1067" s="23" t="s">
        <v>85</v>
      </c>
      <c r="U1067" s="3" t="s">
        <v>1385</v>
      </c>
      <c r="AO1067" s="15"/>
      <c r="AP1067" s="15"/>
      <c r="AQ1067" s="15"/>
      <c r="AR1067" s="23"/>
      <c r="AS1067" s="15"/>
      <c r="AT1067" s="15"/>
      <c r="AU1067" s="23"/>
      <c r="AV1067" s="23"/>
    </row>
    <row r="1068" spans="1:48" x14ac:dyDescent="0.25">
      <c r="A1068" t="s">
        <v>254</v>
      </c>
      <c r="B1068" t="s">
        <v>85</v>
      </c>
      <c r="C1068" s="10">
        <v>-12</v>
      </c>
      <c r="D1068" t="s">
        <v>708</v>
      </c>
      <c r="E1068" s="2">
        <f t="shared" si="162"/>
        <v>46221</v>
      </c>
      <c r="F1068" s="3">
        <f t="shared" si="161"/>
        <v>0.55486111111111114</v>
      </c>
      <c r="G1068" t="s">
        <v>256</v>
      </c>
      <c r="H1068" t="s">
        <v>257</v>
      </c>
      <c r="I1068" t="s">
        <v>162</v>
      </c>
      <c r="J1068" s="2">
        <v>46221</v>
      </c>
      <c r="K1068" s="1">
        <v>0.56944444444444442</v>
      </c>
      <c r="L1068" s="10">
        <f t="shared" si="157"/>
        <v>20.999999999999925</v>
      </c>
      <c r="M1068" s="1" t="str">
        <f t="shared" si="163"/>
        <v>On Time</v>
      </c>
      <c r="N1068" s="27" t="str">
        <f t="shared" si="158"/>
        <v>Ryanair</v>
      </c>
      <c r="O1068" s="3" t="s">
        <v>1385</v>
      </c>
      <c r="P1068" s="20">
        <f t="shared" si="159"/>
        <v>13</v>
      </c>
      <c r="Q1068" s="3" t="s">
        <v>1385</v>
      </c>
      <c r="R1068" s="23" t="str">
        <f t="shared" si="160"/>
        <v>Saturday</v>
      </c>
      <c r="S1068" s="3" t="s">
        <v>1385</v>
      </c>
      <c r="T1068" s="23" t="s">
        <v>85</v>
      </c>
      <c r="U1068" s="3" t="s">
        <v>1385</v>
      </c>
      <c r="AO1068" s="15"/>
      <c r="AP1068" s="15"/>
      <c r="AQ1068" s="15"/>
      <c r="AR1068" s="23"/>
      <c r="AS1068" s="15"/>
      <c r="AT1068" s="15"/>
      <c r="AU1068" s="23"/>
      <c r="AV1068" s="23"/>
    </row>
    <row r="1069" spans="1:48" x14ac:dyDescent="0.25">
      <c r="A1069" t="s">
        <v>436</v>
      </c>
      <c r="B1069" t="s">
        <v>239</v>
      </c>
      <c r="C1069" s="10">
        <v>-27</v>
      </c>
      <c r="D1069" t="s">
        <v>434</v>
      </c>
      <c r="E1069" s="2">
        <f t="shared" si="162"/>
        <v>46221</v>
      </c>
      <c r="F1069" s="3">
        <f t="shared" si="161"/>
        <v>0.55972222222222223</v>
      </c>
      <c r="G1069" t="s">
        <v>119</v>
      </c>
      <c r="H1069" t="s">
        <v>120</v>
      </c>
      <c r="I1069" t="s">
        <v>83</v>
      </c>
      <c r="J1069" s="2">
        <v>46221</v>
      </c>
      <c r="K1069" s="1">
        <v>0.56944444444444442</v>
      </c>
      <c r="L1069" s="10">
        <f t="shared" si="157"/>
        <v>13.99999999999995</v>
      </c>
      <c r="M1069" s="1" t="str">
        <f t="shared" si="163"/>
        <v>On Time</v>
      </c>
      <c r="N1069" s="27" t="str">
        <f t="shared" si="158"/>
        <v>Eurowings</v>
      </c>
      <c r="O1069" s="3" t="s">
        <v>1385</v>
      </c>
      <c r="P1069" s="20">
        <f t="shared" si="159"/>
        <v>13</v>
      </c>
      <c r="Q1069" s="3" t="s">
        <v>1385</v>
      </c>
      <c r="R1069" s="23" t="str">
        <f t="shared" si="160"/>
        <v>Saturday</v>
      </c>
      <c r="S1069" s="3" t="s">
        <v>1385</v>
      </c>
      <c r="T1069" s="23" t="s">
        <v>239</v>
      </c>
      <c r="U1069" s="3" t="s">
        <v>1385</v>
      </c>
      <c r="AO1069" s="15"/>
      <c r="AP1069" s="15"/>
      <c r="AQ1069" s="15"/>
      <c r="AR1069" s="23"/>
      <c r="AS1069" s="15"/>
      <c r="AT1069" s="15"/>
      <c r="AU1069" s="23"/>
      <c r="AV1069" s="23"/>
    </row>
    <row r="1070" spans="1:48" x14ac:dyDescent="0.25">
      <c r="A1070" t="s">
        <v>141</v>
      </c>
      <c r="B1070" t="s">
        <v>19</v>
      </c>
      <c r="C1070" s="10">
        <v>-24</v>
      </c>
      <c r="D1070" t="s">
        <v>1092</v>
      </c>
      <c r="E1070" s="2">
        <f t="shared" si="162"/>
        <v>46221</v>
      </c>
      <c r="F1070" s="3">
        <f t="shared" si="161"/>
        <v>0.57916666666666672</v>
      </c>
      <c r="G1070" t="s">
        <v>21</v>
      </c>
      <c r="H1070" t="s">
        <v>22</v>
      </c>
      <c r="I1070" t="s">
        <v>237</v>
      </c>
      <c r="J1070" s="2">
        <v>46221</v>
      </c>
      <c r="K1070" s="1">
        <v>0.57638888888888895</v>
      </c>
      <c r="L1070" s="10">
        <f t="shared" si="157"/>
        <v>-3.9999999999999858</v>
      </c>
      <c r="M1070" s="1" t="str">
        <f t="shared" si="163"/>
        <v>On Time</v>
      </c>
      <c r="N1070" s="27" t="str">
        <f t="shared" si="158"/>
        <v>LOT</v>
      </c>
      <c r="O1070" s="3" t="s">
        <v>1385</v>
      </c>
      <c r="P1070" s="20">
        <f t="shared" si="159"/>
        <v>13</v>
      </c>
      <c r="Q1070" s="3" t="s">
        <v>1385</v>
      </c>
      <c r="R1070" s="23" t="str">
        <f t="shared" si="160"/>
        <v>Saturday</v>
      </c>
      <c r="S1070" s="3" t="s">
        <v>1385</v>
      </c>
      <c r="T1070" s="23" t="s">
        <v>19</v>
      </c>
      <c r="U1070" s="3" t="s">
        <v>1385</v>
      </c>
      <c r="AO1070" s="15"/>
      <c r="AP1070" s="15"/>
      <c r="AQ1070" s="15"/>
      <c r="AR1070" s="23"/>
      <c r="AS1070" s="15"/>
      <c r="AT1070" s="15"/>
      <c r="AU1070" s="23"/>
      <c r="AV1070" s="23"/>
    </row>
    <row r="1071" spans="1:48" x14ac:dyDescent="0.25">
      <c r="A1071" t="s">
        <v>144</v>
      </c>
      <c r="B1071" t="s">
        <v>13</v>
      </c>
      <c r="C1071" s="10">
        <v>-6</v>
      </c>
      <c r="D1071" t="s">
        <v>1036</v>
      </c>
      <c r="E1071" s="2">
        <f t="shared" si="162"/>
        <v>46221</v>
      </c>
      <c r="F1071" s="3">
        <f t="shared" si="161"/>
        <v>0.58263888888888882</v>
      </c>
      <c r="G1071" t="s">
        <v>146</v>
      </c>
      <c r="H1071" t="s">
        <v>147</v>
      </c>
      <c r="I1071" t="s">
        <v>17</v>
      </c>
      <c r="J1071" s="2">
        <v>46221</v>
      </c>
      <c r="K1071" s="1">
        <v>0.59027777777777779</v>
      </c>
      <c r="L1071" s="10">
        <f t="shared" si="157"/>
        <v>11.000000000000121</v>
      </c>
      <c r="M1071" s="1" t="str">
        <f t="shared" si="163"/>
        <v>On Time</v>
      </c>
      <c r="N1071" s="27" t="str">
        <f t="shared" si="158"/>
        <v>Wizz Air</v>
      </c>
      <c r="O1071" s="3" t="s">
        <v>1385</v>
      </c>
      <c r="P1071" s="20">
        <f t="shared" si="159"/>
        <v>13</v>
      </c>
      <c r="Q1071" s="3" t="s">
        <v>1385</v>
      </c>
      <c r="R1071" s="23" t="str">
        <f t="shared" si="160"/>
        <v>Saturday</v>
      </c>
      <c r="S1071" s="3" t="s">
        <v>1385</v>
      </c>
      <c r="T1071" s="23" t="s">
        <v>13</v>
      </c>
      <c r="U1071" s="3" t="s">
        <v>1385</v>
      </c>
      <c r="AO1071" s="15"/>
      <c r="AP1071" s="15"/>
      <c r="AQ1071" s="15"/>
      <c r="AR1071" s="23"/>
      <c r="AS1071" s="15"/>
      <c r="AT1071" s="15"/>
      <c r="AU1071" s="23"/>
      <c r="AV1071" s="23"/>
    </row>
    <row r="1072" spans="1:48" x14ac:dyDescent="0.25">
      <c r="A1072" t="s">
        <v>393</v>
      </c>
      <c r="B1072" t="s">
        <v>85</v>
      </c>
      <c r="C1072" s="10">
        <v>-30</v>
      </c>
      <c r="D1072" t="s">
        <v>660</v>
      </c>
      <c r="E1072" s="2">
        <f t="shared" si="162"/>
        <v>46221</v>
      </c>
      <c r="F1072" s="3">
        <f t="shared" si="161"/>
        <v>0.61249999999999993</v>
      </c>
      <c r="G1072" t="s">
        <v>153</v>
      </c>
      <c r="H1072" t="s">
        <v>154</v>
      </c>
      <c r="I1072" t="s">
        <v>89</v>
      </c>
      <c r="J1072" s="2">
        <v>46221</v>
      </c>
      <c r="K1072" s="1">
        <v>0.60416666666666663</v>
      </c>
      <c r="L1072" s="10">
        <f t="shared" si="157"/>
        <v>-11.999999999999957</v>
      </c>
      <c r="M1072" s="1" t="str">
        <f t="shared" si="163"/>
        <v>On Time</v>
      </c>
      <c r="N1072" s="27" t="str">
        <f t="shared" si="158"/>
        <v>Ryanair</v>
      </c>
      <c r="O1072" s="3" t="s">
        <v>1385</v>
      </c>
      <c r="P1072" s="20">
        <f t="shared" si="159"/>
        <v>14</v>
      </c>
      <c r="Q1072" s="3" t="s">
        <v>1385</v>
      </c>
      <c r="R1072" s="23" t="str">
        <f t="shared" si="160"/>
        <v>Saturday</v>
      </c>
      <c r="S1072" s="3" t="s">
        <v>1385</v>
      </c>
      <c r="T1072" s="23" t="s">
        <v>85</v>
      </c>
      <c r="U1072" s="3" t="s">
        <v>1385</v>
      </c>
      <c r="AO1072" s="15"/>
      <c r="AP1072" s="15"/>
      <c r="AQ1072" s="15"/>
      <c r="AR1072" s="23"/>
      <c r="AS1072" s="15"/>
      <c r="AT1072" s="15"/>
      <c r="AU1072" s="23"/>
      <c r="AV1072" s="23"/>
    </row>
    <row r="1073" spans="1:48" x14ac:dyDescent="0.25">
      <c r="A1073" t="s">
        <v>148</v>
      </c>
      <c r="B1073" t="s">
        <v>7</v>
      </c>
      <c r="C1073" s="10">
        <v>-103</v>
      </c>
      <c r="D1073" t="s">
        <v>1093</v>
      </c>
      <c r="E1073" s="2">
        <f t="shared" si="162"/>
        <v>46221</v>
      </c>
      <c r="F1073" s="3">
        <f t="shared" si="161"/>
        <v>0.67152777777777783</v>
      </c>
      <c r="G1073" t="s">
        <v>9</v>
      </c>
      <c r="H1073" t="s">
        <v>10</v>
      </c>
      <c r="I1073" t="s">
        <v>11</v>
      </c>
      <c r="J1073" s="2">
        <v>46221</v>
      </c>
      <c r="K1073" s="1">
        <v>0.60763888888888895</v>
      </c>
      <c r="L1073" s="10">
        <f t="shared" si="157"/>
        <v>-92</v>
      </c>
      <c r="M1073" s="1" t="str">
        <f t="shared" si="163"/>
        <v>Delayed</v>
      </c>
      <c r="N1073" s="27" t="str">
        <f t="shared" si="158"/>
        <v>airBaltic</v>
      </c>
      <c r="O1073" s="3" t="s">
        <v>1318</v>
      </c>
      <c r="P1073" s="20">
        <f t="shared" si="159"/>
        <v>16</v>
      </c>
      <c r="Q1073" s="3" t="s">
        <v>1318</v>
      </c>
      <c r="R1073" s="23" t="str">
        <f t="shared" si="160"/>
        <v>Saturday</v>
      </c>
      <c r="S1073" s="3" t="s">
        <v>1318</v>
      </c>
      <c r="T1073" s="23" t="s">
        <v>7</v>
      </c>
      <c r="U1073" s="3" t="s">
        <v>1318</v>
      </c>
      <c r="AO1073" s="15"/>
      <c r="AP1073" s="15"/>
      <c r="AQ1073" s="15"/>
      <c r="AR1073" s="23"/>
      <c r="AS1073" s="15"/>
      <c r="AT1073" s="15"/>
      <c r="AU1073" s="23"/>
      <c r="AV1073" s="23"/>
    </row>
    <row r="1074" spans="1:48" x14ac:dyDescent="0.25">
      <c r="A1074" t="s">
        <v>192</v>
      </c>
      <c r="B1074" t="s">
        <v>13</v>
      </c>
      <c r="C1074" s="10">
        <v>260</v>
      </c>
      <c r="D1074" t="s">
        <v>1035</v>
      </c>
      <c r="E1074" s="2">
        <f t="shared" si="162"/>
        <v>46221</v>
      </c>
      <c r="F1074" s="3">
        <f t="shared" si="161"/>
        <v>0.59652777777777777</v>
      </c>
      <c r="G1074" t="s">
        <v>194</v>
      </c>
      <c r="H1074" t="s">
        <v>195</v>
      </c>
      <c r="I1074" t="s">
        <v>17</v>
      </c>
      <c r="J1074" s="2">
        <v>46221</v>
      </c>
      <c r="K1074" s="1">
        <v>0.60763888888888895</v>
      </c>
      <c r="L1074" s="10">
        <f t="shared" si="157"/>
        <v>16.000000000000103</v>
      </c>
      <c r="M1074" s="1" t="str">
        <f t="shared" si="163"/>
        <v>On Time</v>
      </c>
      <c r="N1074" s="27" t="str">
        <f t="shared" si="158"/>
        <v>Wizz Air</v>
      </c>
      <c r="O1074" s="3" t="s">
        <v>1385</v>
      </c>
      <c r="P1074" s="20">
        <f t="shared" si="159"/>
        <v>14</v>
      </c>
      <c r="Q1074" s="3" t="s">
        <v>1385</v>
      </c>
      <c r="R1074" s="23" t="str">
        <f t="shared" si="160"/>
        <v>Saturday</v>
      </c>
      <c r="S1074" s="3" t="s">
        <v>1385</v>
      </c>
      <c r="T1074" s="23" t="s">
        <v>13</v>
      </c>
      <c r="U1074" s="3" t="s">
        <v>1385</v>
      </c>
      <c r="AO1074" s="15"/>
      <c r="AP1074" s="15"/>
      <c r="AQ1074" s="15"/>
      <c r="AR1074" s="23"/>
      <c r="AS1074" s="15"/>
      <c r="AT1074" s="15"/>
      <c r="AU1074" s="23"/>
      <c r="AV1074" s="23"/>
    </row>
    <row r="1075" spans="1:48" x14ac:dyDescent="0.25">
      <c r="A1075" t="s">
        <v>156</v>
      </c>
      <c r="B1075" t="s">
        <v>41</v>
      </c>
      <c r="C1075" s="10">
        <v>-10</v>
      </c>
      <c r="D1075" t="s">
        <v>776</v>
      </c>
      <c r="E1075" s="2">
        <f t="shared" si="162"/>
        <v>46221</v>
      </c>
      <c r="F1075" s="3">
        <f t="shared" si="161"/>
        <v>0.63402777777777775</v>
      </c>
      <c r="G1075" t="s">
        <v>43</v>
      </c>
      <c r="H1075" t="s">
        <v>44</v>
      </c>
      <c r="I1075" t="s">
        <v>158</v>
      </c>
      <c r="J1075" s="2">
        <v>46221</v>
      </c>
      <c r="K1075" s="1">
        <v>0.63541666666666663</v>
      </c>
      <c r="L1075" s="10">
        <f t="shared" si="157"/>
        <v>1.9999999999999929</v>
      </c>
      <c r="M1075" s="1" t="str">
        <f t="shared" si="163"/>
        <v>On Time</v>
      </c>
      <c r="N1075" s="27" t="str">
        <f t="shared" si="158"/>
        <v>SAS</v>
      </c>
      <c r="O1075" s="3" t="s">
        <v>1385</v>
      </c>
      <c r="P1075" s="20">
        <f t="shared" si="159"/>
        <v>15</v>
      </c>
      <c r="Q1075" s="3" t="s">
        <v>1385</v>
      </c>
      <c r="R1075" s="23" t="str">
        <f t="shared" si="160"/>
        <v>Saturday</v>
      </c>
      <c r="S1075" s="3" t="s">
        <v>1385</v>
      </c>
      <c r="T1075" s="23" t="s">
        <v>41</v>
      </c>
      <c r="U1075" s="3" t="s">
        <v>1385</v>
      </c>
      <c r="AO1075" s="15"/>
      <c r="AP1075" s="15"/>
      <c r="AQ1075" s="15"/>
      <c r="AR1075" s="23"/>
      <c r="AS1075" s="15"/>
      <c r="AT1075" s="15"/>
      <c r="AU1075" s="23"/>
      <c r="AV1075" s="23"/>
    </row>
    <row r="1076" spans="1:48" x14ac:dyDescent="0.25">
      <c r="A1076" t="s">
        <v>261</v>
      </c>
      <c r="B1076" t="s">
        <v>85</v>
      </c>
      <c r="C1076" s="10">
        <v>-11</v>
      </c>
      <c r="D1076" t="s">
        <v>946</v>
      </c>
      <c r="E1076" s="2">
        <f t="shared" si="162"/>
        <v>46221</v>
      </c>
      <c r="F1076" s="3">
        <f t="shared" si="161"/>
        <v>0.6333333333333333</v>
      </c>
      <c r="G1076" t="s">
        <v>263</v>
      </c>
      <c r="H1076" t="s">
        <v>264</v>
      </c>
      <c r="I1076" t="s">
        <v>89</v>
      </c>
      <c r="J1076" s="2">
        <v>46221</v>
      </c>
      <c r="K1076" s="1">
        <v>0.64236111111111105</v>
      </c>
      <c r="L1076" s="10">
        <f t="shared" si="157"/>
        <v>12.999999999999954</v>
      </c>
      <c r="M1076" s="1" t="str">
        <f t="shared" si="163"/>
        <v>On Time</v>
      </c>
      <c r="N1076" s="27" t="str">
        <f t="shared" si="158"/>
        <v>Ryanair</v>
      </c>
      <c r="O1076" s="3" t="s">
        <v>1385</v>
      </c>
      <c r="P1076" s="20">
        <f t="shared" si="159"/>
        <v>15</v>
      </c>
      <c r="Q1076" s="3" t="s">
        <v>1385</v>
      </c>
      <c r="R1076" s="23" t="str">
        <f t="shared" si="160"/>
        <v>Saturday</v>
      </c>
      <c r="S1076" s="3" t="s">
        <v>1385</v>
      </c>
      <c r="T1076" s="23" t="s">
        <v>85</v>
      </c>
      <c r="U1076" s="3" t="s">
        <v>1385</v>
      </c>
      <c r="AO1076" s="15"/>
      <c r="AP1076" s="15"/>
      <c r="AQ1076" s="15"/>
      <c r="AR1076" s="23"/>
      <c r="AS1076" s="15"/>
      <c r="AT1076" s="15"/>
      <c r="AU1076" s="23"/>
      <c r="AV1076" s="23"/>
    </row>
    <row r="1077" spans="1:48" x14ac:dyDescent="0.25">
      <c r="A1077" t="s">
        <v>1094</v>
      </c>
      <c r="B1077" t="s">
        <v>124</v>
      </c>
      <c r="D1077" t="s">
        <v>1095</v>
      </c>
      <c r="E1077" s="2">
        <f t="shared" si="162"/>
        <v>46221</v>
      </c>
      <c r="F1077" s="3">
        <f t="shared" si="161"/>
        <v>0.65625</v>
      </c>
      <c r="G1077" t="s">
        <v>38</v>
      </c>
      <c r="H1077" t="s">
        <v>39</v>
      </c>
      <c r="I1077" t="s">
        <v>67</v>
      </c>
      <c r="J1077" s="2">
        <v>46221</v>
      </c>
      <c r="K1077" s="1">
        <v>0.65347222222222223</v>
      </c>
      <c r="L1077" s="10">
        <f t="shared" si="157"/>
        <v>-3.9999999999999858</v>
      </c>
      <c r="M1077" s="1" t="str">
        <f t="shared" si="163"/>
        <v>On Time</v>
      </c>
      <c r="N1077" s="27" t="str">
        <f t="shared" si="158"/>
        <v>GetJet Airlines</v>
      </c>
      <c r="O1077" s="3" t="s">
        <v>1385</v>
      </c>
      <c r="P1077" s="20">
        <f t="shared" si="159"/>
        <v>15</v>
      </c>
      <c r="Q1077" s="3" t="s">
        <v>1385</v>
      </c>
      <c r="R1077" s="23" t="str">
        <f t="shared" si="160"/>
        <v>Saturday</v>
      </c>
      <c r="S1077" s="3" t="s">
        <v>1385</v>
      </c>
      <c r="T1077" s="23" t="s">
        <v>124</v>
      </c>
      <c r="U1077" s="3" t="s">
        <v>1385</v>
      </c>
      <c r="AO1077" s="15"/>
      <c r="AP1077" s="15"/>
      <c r="AQ1077" s="15"/>
      <c r="AR1077" s="23"/>
      <c r="AS1077" s="15"/>
      <c r="AT1077" s="15"/>
      <c r="AU1077" s="23"/>
      <c r="AV1077" s="23"/>
    </row>
    <row r="1078" spans="1:48" x14ac:dyDescent="0.25">
      <c r="A1078" t="s">
        <v>235</v>
      </c>
      <c r="B1078" t="s">
        <v>19</v>
      </c>
      <c r="C1078" s="10">
        <v>-26</v>
      </c>
      <c r="D1078" t="s">
        <v>518</v>
      </c>
      <c r="E1078" s="2">
        <f t="shared" si="162"/>
        <v>46221</v>
      </c>
      <c r="F1078" s="3">
        <f t="shared" si="161"/>
        <v>0.68402777777777779</v>
      </c>
      <c r="G1078" t="s">
        <v>21</v>
      </c>
      <c r="H1078" t="s">
        <v>22</v>
      </c>
      <c r="I1078" t="s">
        <v>276</v>
      </c>
      <c r="J1078" s="2">
        <v>46221</v>
      </c>
      <c r="K1078" s="1">
        <v>0.68055555555555547</v>
      </c>
      <c r="L1078" s="10">
        <f t="shared" si="157"/>
        <v>-5.0000000000001421</v>
      </c>
      <c r="M1078" s="1" t="str">
        <f t="shared" si="163"/>
        <v>On Time</v>
      </c>
      <c r="N1078" s="27" t="str">
        <f t="shared" si="158"/>
        <v>LOT</v>
      </c>
      <c r="O1078" s="3" t="s">
        <v>1385</v>
      </c>
      <c r="P1078" s="20">
        <f t="shared" si="159"/>
        <v>16</v>
      </c>
      <c r="Q1078" s="3" t="s">
        <v>1385</v>
      </c>
      <c r="R1078" s="23" t="str">
        <f t="shared" si="160"/>
        <v>Saturday</v>
      </c>
      <c r="S1078" s="3" t="s">
        <v>1385</v>
      </c>
      <c r="T1078" s="23" t="s">
        <v>19</v>
      </c>
      <c r="U1078" s="3" t="s">
        <v>1385</v>
      </c>
      <c r="AO1078" s="15"/>
      <c r="AP1078" s="15"/>
      <c r="AQ1078" s="15"/>
      <c r="AR1078" s="23"/>
      <c r="AS1078" s="15"/>
      <c r="AT1078" s="15"/>
      <c r="AU1078" s="23"/>
      <c r="AV1078" s="23"/>
    </row>
    <row r="1079" spans="1:48" x14ac:dyDescent="0.25">
      <c r="A1079" t="s">
        <v>446</v>
      </c>
      <c r="B1079" t="s">
        <v>85</v>
      </c>
      <c r="C1079" s="10">
        <v>-29</v>
      </c>
      <c r="D1079" t="s">
        <v>1096</v>
      </c>
      <c r="E1079" s="2">
        <f t="shared" si="162"/>
        <v>46221</v>
      </c>
      <c r="F1079" s="3">
        <f t="shared" si="161"/>
        <v>0.69374999999999998</v>
      </c>
      <c r="G1079" t="s">
        <v>102</v>
      </c>
      <c r="H1079" t="s">
        <v>103</v>
      </c>
      <c r="I1079" t="s">
        <v>89</v>
      </c>
      <c r="J1079" s="2">
        <v>46221</v>
      </c>
      <c r="K1079" s="1">
        <v>0.69097222222222221</v>
      </c>
      <c r="L1079" s="10">
        <f t="shared" si="157"/>
        <v>-3.9999999999999858</v>
      </c>
      <c r="M1079" s="1" t="str">
        <f t="shared" si="163"/>
        <v>On Time</v>
      </c>
      <c r="N1079" s="27" t="str">
        <f t="shared" si="158"/>
        <v>Ryanair</v>
      </c>
      <c r="O1079" s="3" t="s">
        <v>1385</v>
      </c>
      <c r="P1079" s="20">
        <f t="shared" si="159"/>
        <v>16</v>
      </c>
      <c r="Q1079" s="3" t="s">
        <v>1385</v>
      </c>
      <c r="R1079" s="23" t="str">
        <f t="shared" si="160"/>
        <v>Saturday</v>
      </c>
      <c r="S1079" s="3" t="s">
        <v>1385</v>
      </c>
      <c r="T1079" s="23" t="s">
        <v>85</v>
      </c>
      <c r="U1079" s="3" t="s">
        <v>1385</v>
      </c>
      <c r="AO1079" s="15"/>
      <c r="AP1079" s="15"/>
      <c r="AQ1079" s="15"/>
      <c r="AR1079" s="23"/>
      <c r="AS1079" s="15"/>
      <c r="AT1079" s="15"/>
      <c r="AU1079" s="23"/>
      <c r="AV1079" s="23"/>
    </row>
    <row r="1080" spans="1:48" x14ac:dyDescent="0.25">
      <c r="A1080" t="s">
        <v>159</v>
      </c>
      <c r="B1080" t="s">
        <v>85</v>
      </c>
      <c r="C1080" s="10">
        <v>-128</v>
      </c>
      <c r="D1080" t="s">
        <v>906</v>
      </c>
      <c r="E1080" s="2">
        <f t="shared" si="162"/>
        <v>46221</v>
      </c>
      <c r="F1080" s="3">
        <f t="shared" si="161"/>
        <v>0.76944444444444438</v>
      </c>
      <c r="G1080" t="s">
        <v>34</v>
      </c>
      <c r="H1080" t="s">
        <v>161</v>
      </c>
      <c r="I1080" t="s">
        <v>89</v>
      </c>
      <c r="J1080" s="2">
        <v>46221</v>
      </c>
      <c r="K1080" s="1">
        <v>0.70486111111111116</v>
      </c>
      <c r="L1080" s="10">
        <f t="shared" si="157"/>
        <v>-92.999999999999829</v>
      </c>
      <c r="M1080" s="1" t="str">
        <f t="shared" si="163"/>
        <v>Delayed</v>
      </c>
      <c r="N1080" s="27" t="str">
        <f t="shared" si="158"/>
        <v>Ryanair</v>
      </c>
      <c r="O1080" s="3" t="s">
        <v>1318</v>
      </c>
      <c r="P1080" s="20">
        <f t="shared" si="159"/>
        <v>18</v>
      </c>
      <c r="Q1080" s="3" t="s">
        <v>1318</v>
      </c>
      <c r="R1080" s="23" t="str">
        <f t="shared" si="160"/>
        <v>Saturday</v>
      </c>
      <c r="S1080" s="3" t="s">
        <v>1318</v>
      </c>
      <c r="T1080" s="23" t="s">
        <v>85</v>
      </c>
      <c r="U1080" s="3" t="s">
        <v>1318</v>
      </c>
      <c r="AO1080" s="15"/>
      <c r="AP1080" s="15"/>
      <c r="AQ1080" s="15"/>
      <c r="AR1080" s="23"/>
      <c r="AS1080" s="15"/>
      <c r="AT1080" s="15"/>
      <c r="AU1080" s="23"/>
      <c r="AV1080" s="23"/>
    </row>
    <row r="1081" spans="1:48" x14ac:dyDescent="0.25">
      <c r="A1081" t="s">
        <v>196</v>
      </c>
      <c r="B1081" t="s">
        <v>13</v>
      </c>
      <c r="C1081" s="10">
        <v>-2</v>
      </c>
      <c r="D1081" t="s">
        <v>1097</v>
      </c>
      <c r="E1081" s="2">
        <f t="shared" si="162"/>
        <v>46221</v>
      </c>
      <c r="F1081" s="3">
        <f t="shared" si="161"/>
        <v>0.69930555555555562</v>
      </c>
      <c r="G1081" t="s">
        <v>198</v>
      </c>
      <c r="H1081" t="s">
        <v>199</v>
      </c>
      <c r="I1081" t="s">
        <v>210</v>
      </c>
      <c r="J1081" s="2">
        <v>46221</v>
      </c>
      <c r="K1081" s="1">
        <v>0.70833333333333337</v>
      </c>
      <c r="L1081" s="10">
        <f t="shared" si="157"/>
        <v>12.999999999999954</v>
      </c>
      <c r="M1081" s="1" t="str">
        <f t="shared" si="163"/>
        <v>On Time</v>
      </c>
      <c r="N1081" s="27" t="str">
        <f t="shared" si="158"/>
        <v>Wizz Air</v>
      </c>
      <c r="O1081" s="3" t="s">
        <v>1385</v>
      </c>
      <c r="P1081" s="20">
        <f t="shared" si="159"/>
        <v>16</v>
      </c>
      <c r="Q1081" s="3" t="s">
        <v>1385</v>
      </c>
      <c r="R1081" s="23" t="str">
        <f t="shared" si="160"/>
        <v>Saturday</v>
      </c>
      <c r="S1081" s="3" t="s">
        <v>1385</v>
      </c>
      <c r="T1081" s="23" t="s">
        <v>13</v>
      </c>
      <c r="U1081" s="3" t="s">
        <v>1385</v>
      </c>
      <c r="AO1081" s="15"/>
      <c r="AP1081" s="15"/>
      <c r="AQ1081" s="15"/>
      <c r="AR1081" s="23"/>
      <c r="AS1081" s="15"/>
      <c r="AT1081" s="15"/>
      <c r="AU1081" s="23"/>
      <c r="AV1081" s="23"/>
    </row>
    <row r="1082" spans="1:48" x14ac:dyDescent="0.25">
      <c r="A1082" t="s">
        <v>182</v>
      </c>
      <c r="B1082" t="s">
        <v>69</v>
      </c>
      <c r="C1082" s="10">
        <v>-16</v>
      </c>
      <c r="D1082" t="s">
        <v>669</v>
      </c>
      <c r="E1082" s="2">
        <f t="shared" si="162"/>
        <v>46221</v>
      </c>
      <c r="F1082" s="3">
        <f t="shared" si="161"/>
        <v>0.7583333333333333</v>
      </c>
      <c r="G1082" t="s">
        <v>71</v>
      </c>
      <c r="H1082" t="s">
        <v>72</v>
      </c>
      <c r="I1082" t="s">
        <v>73</v>
      </c>
      <c r="J1082" s="2">
        <v>46221</v>
      </c>
      <c r="K1082" s="1">
        <v>0.74652777777777779</v>
      </c>
      <c r="L1082" s="10">
        <f t="shared" si="157"/>
        <v>-16.99999999999994</v>
      </c>
      <c r="M1082" s="1" t="str">
        <f t="shared" si="163"/>
        <v>Delayed</v>
      </c>
      <c r="N1082" s="27" t="str">
        <f t="shared" si="158"/>
        <v>Finnair</v>
      </c>
      <c r="O1082" s="3" t="s">
        <v>1318</v>
      </c>
      <c r="P1082" s="20">
        <f t="shared" si="159"/>
        <v>18</v>
      </c>
      <c r="Q1082" s="3" t="s">
        <v>1318</v>
      </c>
      <c r="R1082" s="23" t="str">
        <f t="shared" si="160"/>
        <v>Saturday</v>
      </c>
      <c r="S1082" s="3" t="s">
        <v>1318</v>
      </c>
      <c r="T1082" s="23" t="s">
        <v>69</v>
      </c>
      <c r="U1082" s="3" t="s">
        <v>1318</v>
      </c>
      <c r="AO1082" s="15"/>
      <c r="AP1082" s="15"/>
      <c r="AQ1082" s="15"/>
      <c r="AR1082" s="23"/>
      <c r="AS1082" s="15"/>
      <c r="AT1082" s="15"/>
      <c r="AU1082" s="23"/>
      <c r="AV1082" s="23"/>
    </row>
    <row r="1083" spans="1:48" x14ac:dyDescent="0.25">
      <c r="A1083" t="s">
        <v>200</v>
      </c>
      <c r="B1083" t="s">
        <v>13</v>
      </c>
      <c r="C1083" s="10">
        <v>-19</v>
      </c>
      <c r="D1083" t="s">
        <v>183</v>
      </c>
      <c r="E1083" s="2">
        <f t="shared" si="162"/>
        <v>46221</v>
      </c>
      <c r="F1083" s="3">
        <f t="shared" si="161"/>
        <v>0.74513888888888891</v>
      </c>
      <c r="G1083" t="s">
        <v>202</v>
      </c>
      <c r="H1083" t="s">
        <v>203</v>
      </c>
      <c r="I1083" t="s">
        <v>17</v>
      </c>
      <c r="J1083" s="2">
        <v>46221</v>
      </c>
      <c r="K1083" s="1">
        <v>0.75347222222222221</v>
      </c>
      <c r="L1083" s="10">
        <f t="shared" si="157"/>
        <v>11.999999999999957</v>
      </c>
      <c r="M1083" s="1" t="str">
        <f t="shared" si="163"/>
        <v>On Time</v>
      </c>
      <c r="N1083" s="27" t="str">
        <f t="shared" si="158"/>
        <v>Wizz Air</v>
      </c>
      <c r="O1083" s="3" t="s">
        <v>1385</v>
      </c>
      <c r="P1083" s="20">
        <f t="shared" si="159"/>
        <v>17</v>
      </c>
      <c r="Q1083" s="3" t="s">
        <v>1385</v>
      </c>
      <c r="R1083" s="23" t="str">
        <f t="shared" si="160"/>
        <v>Saturday</v>
      </c>
      <c r="S1083" s="3" t="s">
        <v>1385</v>
      </c>
      <c r="T1083" s="23" t="s">
        <v>13</v>
      </c>
      <c r="U1083" s="3" t="s">
        <v>1385</v>
      </c>
      <c r="AO1083" s="15"/>
      <c r="AP1083" s="15"/>
      <c r="AQ1083" s="15"/>
      <c r="AR1083" s="23"/>
      <c r="AS1083" s="15"/>
      <c r="AT1083" s="15"/>
      <c r="AU1083" s="23"/>
      <c r="AV1083" s="23"/>
    </row>
    <row r="1084" spans="1:48" x14ac:dyDescent="0.25">
      <c r="A1084" t="s">
        <v>1098</v>
      </c>
      <c r="B1084" t="s">
        <v>1099</v>
      </c>
      <c r="C1084" s="10" t="e">
        <f>NA()</f>
        <v>#N/A</v>
      </c>
      <c r="D1084" t="s">
        <v>242</v>
      </c>
      <c r="E1084" s="2">
        <f t="shared" si="162"/>
        <v>46221</v>
      </c>
      <c r="F1084" s="3" t="e">
        <f t="shared" si="161"/>
        <v>#N/A</v>
      </c>
      <c r="G1084" t="s">
        <v>1100</v>
      </c>
      <c r="H1084" t="s">
        <v>1101</v>
      </c>
      <c r="I1084" t="s">
        <v>1102</v>
      </c>
      <c r="J1084" s="2">
        <v>46221</v>
      </c>
      <c r="K1084" s="1">
        <v>0.7631944444444444</v>
      </c>
      <c r="L1084" s="10" t="e">
        <f t="shared" si="157"/>
        <v>#N/A</v>
      </c>
      <c r="M1084" s="1" t="e">
        <f t="shared" si="163"/>
        <v>#N/A</v>
      </c>
      <c r="N1084" s="27" t="e">
        <f t="shared" si="158"/>
        <v>#N/A</v>
      </c>
      <c r="O1084" s="3" t="e">
        <v>#N/A</v>
      </c>
      <c r="P1084" s="20" t="e">
        <f t="shared" si="159"/>
        <v>#N/A</v>
      </c>
      <c r="Q1084" s="3" t="e">
        <v>#N/A</v>
      </c>
      <c r="R1084" s="23" t="str">
        <f t="shared" si="160"/>
        <v>Saturday</v>
      </c>
      <c r="S1084" s="3" t="e">
        <v>#N/A</v>
      </c>
      <c r="T1084" s="23" t="s">
        <v>1099</v>
      </c>
      <c r="AO1084" s="15"/>
      <c r="AP1084" s="15"/>
      <c r="AQ1084" s="15"/>
      <c r="AR1084" s="23"/>
      <c r="AS1084" s="15"/>
      <c r="AT1084" s="15"/>
      <c r="AU1084" s="23"/>
      <c r="AV1084" s="23"/>
    </row>
    <row r="1085" spans="1:48" x14ac:dyDescent="0.25">
      <c r="A1085" t="s">
        <v>186</v>
      </c>
      <c r="B1085" t="s">
        <v>19</v>
      </c>
      <c r="C1085" s="10">
        <v>-21</v>
      </c>
      <c r="D1085" t="s">
        <v>187</v>
      </c>
      <c r="E1085" s="2">
        <f t="shared" si="162"/>
        <v>46221</v>
      </c>
      <c r="F1085" s="3">
        <f t="shared" si="161"/>
        <v>0.77430555555555547</v>
      </c>
      <c r="G1085" t="s">
        <v>21</v>
      </c>
      <c r="H1085" t="s">
        <v>22</v>
      </c>
      <c r="I1085" t="s">
        <v>143</v>
      </c>
      <c r="J1085" s="2">
        <v>46221</v>
      </c>
      <c r="K1085" s="1">
        <v>0.77430555555555547</v>
      </c>
      <c r="L1085" s="10">
        <f t="shared" si="157"/>
        <v>0</v>
      </c>
      <c r="M1085" s="1" t="str">
        <f t="shared" si="163"/>
        <v>On Time</v>
      </c>
      <c r="N1085" s="27" t="str">
        <f t="shared" si="158"/>
        <v>LOT</v>
      </c>
      <c r="O1085" s="3" t="s">
        <v>1385</v>
      </c>
      <c r="P1085" s="20">
        <f t="shared" si="159"/>
        <v>18</v>
      </c>
      <c r="Q1085" s="3" t="s">
        <v>1385</v>
      </c>
      <c r="R1085" s="23" t="str">
        <f t="shared" si="160"/>
        <v>Saturday</v>
      </c>
      <c r="S1085" s="3" t="s">
        <v>1385</v>
      </c>
      <c r="T1085" s="23" t="s">
        <v>19</v>
      </c>
      <c r="U1085" s="3" t="s">
        <v>1385</v>
      </c>
      <c r="AO1085" s="15"/>
      <c r="AP1085" s="15"/>
      <c r="AQ1085" s="15"/>
      <c r="AR1085" s="23"/>
      <c r="AS1085" s="15"/>
      <c r="AT1085" s="15"/>
      <c r="AU1085" s="23"/>
      <c r="AV1085" s="23"/>
    </row>
    <row r="1086" spans="1:48" x14ac:dyDescent="0.25">
      <c r="A1086" t="s">
        <v>208</v>
      </c>
      <c r="B1086" t="s">
        <v>96</v>
      </c>
      <c r="C1086" s="10">
        <v>-24</v>
      </c>
      <c r="D1086" t="s">
        <v>608</v>
      </c>
      <c r="E1086" s="2">
        <f t="shared" si="162"/>
        <v>46221</v>
      </c>
      <c r="F1086" s="3">
        <f t="shared" si="161"/>
        <v>0.8041666666666667</v>
      </c>
      <c r="G1086" t="s">
        <v>98</v>
      </c>
      <c r="H1086" t="s">
        <v>99</v>
      </c>
      <c r="I1086" t="s">
        <v>876</v>
      </c>
      <c r="J1086" s="2">
        <v>46221</v>
      </c>
      <c r="K1086" s="1">
        <v>0.8125</v>
      </c>
      <c r="L1086" s="10">
        <f t="shared" si="157"/>
        <v>11.999999999999957</v>
      </c>
      <c r="M1086" s="1" t="str">
        <f t="shared" si="163"/>
        <v>On Time</v>
      </c>
      <c r="N1086" s="27" t="str">
        <f t="shared" si="158"/>
        <v>Turkish Airlines</v>
      </c>
      <c r="O1086" s="3" t="s">
        <v>1385</v>
      </c>
      <c r="P1086" s="20">
        <f t="shared" si="159"/>
        <v>19</v>
      </c>
      <c r="Q1086" s="3" t="s">
        <v>1385</v>
      </c>
      <c r="R1086" s="23" t="str">
        <f t="shared" si="160"/>
        <v>Saturday</v>
      </c>
      <c r="S1086" s="3" t="s">
        <v>1385</v>
      </c>
      <c r="T1086" s="23" t="s">
        <v>96</v>
      </c>
      <c r="U1086" s="3" t="s">
        <v>1385</v>
      </c>
      <c r="AO1086" s="15"/>
      <c r="AP1086" s="15"/>
      <c r="AQ1086" s="15"/>
      <c r="AR1086" s="23"/>
      <c r="AS1086" s="15"/>
      <c r="AT1086" s="15"/>
      <c r="AU1086" s="23"/>
      <c r="AV1086" s="23"/>
    </row>
    <row r="1087" spans="1:48" x14ac:dyDescent="0.25">
      <c r="A1087" t="s">
        <v>211</v>
      </c>
      <c r="B1087" t="s">
        <v>7</v>
      </c>
      <c r="C1087" s="10">
        <v>-36</v>
      </c>
      <c r="D1087" t="s">
        <v>1103</v>
      </c>
      <c r="E1087" s="2">
        <f t="shared" si="162"/>
        <v>46221</v>
      </c>
      <c r="F1087" s="3">
        <f t="shared" si="161"/>
        <v>0.83819444444444446</v>
      </c>
      <c r="G1087" t="s">
        <v>135</v>
      </c>
      <c r="H1087" t="s">
        <v>136</v>
      </c>
      <c r="I1087" t="s">
        <v>11</v>
      </c>
      <c r="J1087" s="2">
        <v>46221</v>
      </c>
      <c r="K1087" s="1">
        <v>0.82638888888888884</v>
      </c>
      <c r="L1087" s="10">
        <f t="shared" si="157"/>
        <v>-17.000000000000099</v>
      </c>
      <c r="M1087" s="1" t="str">
        <f t="shared" si="163"/>
        <v>Delayed</v>
      </c>
      <c r="N1087" s="27" t="str">
        <f t="shared" si="158"/>
        <v>airBaltic</v>
      </c>
      <c r="O1087" s="3" t="s">
        <v>1318</v>
      </c>
      <c r="P1087" s="20">
        <f t="shared" si="159"/>
        <v>20</v>
      </c>
      <c r="Q1087" s="3" t="s">
        <v>1318</v>
      </c>
      <c r="R1087" s="23" t="str">
        <f t="shared" si="160"/>
        <v>Saturday</v>
      </c>
      <c r="S1087" s="3" t="s">
        <v>1318</v>
      </c>
      <c r="T1087" s="23" t="s">
        <v>7</v>
      </c>
      <c r="U1087" s="3" t="s">
        <v>1318</v>
      </c>
      <c r="AO1087" s="15"/>
      <c r="AP1087" s="15"/>
      <c r="AQ1087" s="15"/>
      <c r="AR1087" s="23"/>
      <c r="AS1087" s="15"/>
      <c r="AT1087" s="15"/>
      <c r="AU1087" s="23"/>
      <c r="AV1087" s="23"/>
    </row>
    <row r="1088" spans="1:48" x14ac:dyDescent="0.25">
      <c r="A1088" t="s">
        <v>215</v>
      </c>
      <c r="B1088" t="s">
        <v>13</v>
      </c>
      <c r="C1088" s="10">
        <v>-22</v>
      </c>
      <c r="D1088" t="s">
        <v>1104</v>
      </c>
      <c r="E1088" s="2">
        <f t="shared" si="162"/>
        <v>46221</v>
      </c>
      <c r="F1088" s="3">
        <f t="shared" si="161"/>
        <v>0.85</v>
      </c>
      <c r="G1088" t="s">
        <v>217</v>
      </c>
      <c r="H1088" t="s">
        <v>218</v>
      </c>
      <c r="I1088" t="s">
        <v>17</v>
      </c>
      <c r="J1088" s="2">
        <v>46221</v>
      </c>
      <c r="K1088" s="1">
        <v>0.84375</v>
      </c>
      <c r="L1088" s="10">
        <f t="shared" si="157"/>
        <v>-8.999999999999968</v>
      </c>
      <c r="M1088" s="1" t="str">
        <f t="shared" si="163"/>
        <v>On Time</v>
      </c>
      <c r="N1088" s="27" t="str">
        <f t="shared" si="158"/>
        <v>Wizz Air</v>
      </c>
      <c r="O1088" s="3" t="s">
        <v>1385</v>
      </c>
      <c r="P1088" s="20">
        <f t="shared" si="159"/>
        <v>20</v>
      </c>
      <c r="Q1088" s="3" t="s">
        <v>1385</v>
      </c>
      <c r="R1088" s="23" t="str">
        <f t="shared" si="160"/>
        <v>Saturday</v>
      </c>
      <c r="S1088" s="3" t="s">
        <v>1385</v>
      </c>
      <c r="T1088" s="23" t="s">
        <v>13</v>
      </c>
      <c r="U1088" s="3" t="s">
        <v>1385</v>
      </c>
      <c r="AO1088" s="15"/>
      <c r="AP1088" s="15"/>
      <c r="AQ1088" s="15"/>
      <c r="AR1088" s="23"/>
      <c r="AS1088" s="15"/>
      <c r="AT1088" s="15"/>
      <c r="AU1088" s="23"/>
      <c r="AV1088" s="23"/>
    </row>
    <row r="1089" spans="1:48" x14ac:dyDescent="0.25">
      <c r="A1089" t="s">
        <v>219</v>
      </c>
      <c r="B1089" t="s">
        <v>7</v>
      </c>
      <c r="C1089" s="10">
        <v>-170</v>
      </c>
      <c r="D1089" t="s">
        <v>1105</v>
      </c>
      <c r="E1089" s="2">
        <f t="shared" si="162"/>
        <v>46221</v>
      </c>
      <c r="F1089" s="3">
        <f t="shared" si="161"/>
        <v>0.97361111111111109</v>
      </c>
      <c r="G1089" t="s">
        <v>9</v>
      </c>
      <c r="H1089" t="s">
        <v>10</v>
      </c>
      <c r="I1089" t="s">
        <v>11</v>
      </c>
      <c r="J1089" s="2">
        <v>46221</v>
      </c>
      <c r="K1089" s="1">
        <v>0.86805555555555547</v>
      </c>
      <c r="L1089" s="10">
        <f t="shared" si="157"/>
        <v>-152.00000000000011</v>
      </c>
      <c r="M1089" s="1" t="str">
        <f t="shared" si="163"/>
        <v>Delayed</v>
      </c>
      <c r="N1089" s="27" t="str">
        <f t="shared" si="158"/>
        <v>airBaltic</v>
      </c>
      <c r="O1089" s="3" t="s">
        <v>1318</v>
      </c>
      <c r="P1089" s="20">
        <f t="shared" si="159"/>
        <v>23</v>
      </c>
      <c r="Q1089" s="3" t="s">
        <v>1318</v>
      </c>
      <c r="R1089" s="23" t="str">
        <f t="shared" si="160"/>
        <v>Saturday</v>
      </c>
      <c r="S1089" s="3" t="s">
        <v>1318</v>
      </c>
      <c r="T1089" s="23" t="s">
        <v>7</v>
      </c>
      <c r="U1089" s="3" t="s">
        <v>1318</v>
      </c>
      <c r="AO1089" s="15"/>
      <c r="AP1089" s="15"/>
      <c r="AQ1089" s="15"/>
      <c r="AR1089" s="23"/>
      <c r="AS1089" s="15"/>
      <c r="AT1089" s="15"/>
      <c r="AU1089" s="23"/>
      <c r="AV1089" s="23"/>
    </row>
    <row r="1090" spans="1:48" x14ac:dyDescent="0.25">
      <c r="A1090" t="s">
        <v>228</v>
      </c>
      <c r="B1090" t="s">
        <v>69</v>
      </c>
      <c r="C1090" s="10">
        <v>-30</v>
      </c>
      <c r="D1090" t="s">
        <v>1106</v>
      </c>
      <c r="E1090" s="2">
        <f t="shared" si="162"/>
        <v>46221</v>
      </c>
      <c r="F1090" s="3">
        <f t="shared" si="161"/>
        <v>0.90347222222222223</v>
      </c>
      <c r="G1090" t="s">
        <v>71</v>
      </c>
      <c r="H1090" t="s">
        <v>72</v>
      </c>
      <c r="I1090" t="s">
        <v>73</v>
      </c>
      <c r="J1090" s="2">
        <v>46221</v>
      </c>
      <c r="K1090" s="1">
        <v>0.88194444444444453</v>
      </c>
      <c r="L1090" s="10">
        <f t="shared" ref="L1090:L1153" si="164">IF(J1090&gt;E1090,(K1090+1-F1090)*1440,IF(J1090&lt;E1090,-(F1090+1-K1090)*1440,(K1090-F1090)*1440))</f>
        <v>-30.99999999999989</v>
      </c>
      <c r="M1090" s="1" t="str">
        <f t="shared" si="163"/>
        <v>Delayed</v>
      </c>
      <c r="N1090" s="27" t="str">
        <f t="shared" ref="N1090:N1153" si="165">IF(COUNTIFS($B$2:$B$1553,B1090,$M$2:$M$1553,"&lt;&gt;#N/A")&gt;=30,B1090,NA())</f>
        <v>Finnair</v>
      </c>
      <c r="O1090" s="3" t="s">
        <v>1318</v>
      </c>
      <c r="P1090" s="20">
        <f t="shared" ref="P1090:P1153" si="166">HOUR(F1090)</f>
        <v>21</v>
      </c>
      <c r="Q1090" s="3" t="s">
        <v>1318</v>
      </c>
      <c r="R1090" s="23" t="str">
        <f t="shared" ref="R1090:R1153" si="167">TEXT(E1090, "dddd")</f>
        <v>Saturday</v>
      </c>
      <c r="S1090" s="3" t="s">
        <v>1318</v>
      </c>
      <c r="T1090" s="23" t="s">
        <v>69</v>
      </c>
      <c r="U1090" s="3" t="s">
        <v>1318</v>
      </c>
      <c r="AO1090" s="15"/>
      <c r="AP1090" s="15"/>
      <c r="AQ1090" s="15"/>
      <c r="AR1090" s="23"/>
      <c r="AS1090" s="15"/>
      <c r="AT1090" s="15"/>
      <c r="AU1090" s="23"/>
      <c r="AV1090" s="23"/>
    </row>
    <row r="1091" spans="1:48" x14ac:dyDescent="0.25">
      <c r="A1091" t="s">
        <v>457</v>
      </c>
      <c r="B1091" t="s">
        <v>117</v>
      </c>
      <c r="D1091" t="s">
        <v>1107</v>
      </c>
      <c r="E1091" s="2">
        <f t="shared" si="162"/>
        <v>46221</v>
      </c>
      <c r="F1091" s="3">
        <f t="shared" ref="F1091:F1154" si="168">IF(ISNUMBER(SEARCH("Landed", D1091)), TIMEVALUE(_xlfn.TEXTAFTER(D1091, " ")), NA())</f>
        <v>0.90416666666666667</v>
      </c>
      <c r="G1091" t="s">
        <v>247</v>
      </c>
      <c r="H1091" t="s">
        <v>248</v>
      </c>
      <c r="I1091" t="s">
        <v>83</v>
      </c>
      <c r="J1091" s="2">
        <v>46221</v>
      </c>
      <c r="K1091" s="1">
        <v>0.89861111111111114</v>
      </c>
      <c r="L1091" s="10">
        <f t="shared" si="164"/>
        <v>-7.9999999999999716</v>
      </c>
      <c r="M1091" s="1" t="str">
        <f t="shared" si="163"/>
        <v>On Time</v>
      </c>
      <c r="N1091" s="27" t="str">
        <f t="shared" si="165"/>
        <v>Heston Airlines</v>
      </c>
      <c r="O1091" s="3" t="s">
        <v>1385</v>
      </c>
      <c r="P1091" s="20">
        <f t="shared" si="166"/>
        <v>21</v>
      </c>
      <c r="Q1091" s="3" t="s">
        <v>1385</v>
      </c>
      <c r="R1091" s="23" t="str">
        <f t="shared" si="167"/>
        <v>Saturday</v>
      </c>
      <c r="S1091" s="3" t="s">
        <v>1385</v>
      </c>
      <c r="T1091" s="23" t="s">
        <v>117</v>
      </c>
      <c r="U1091" s="3" t="s">
        <v>1385</v>
      </c>
      <c r="AO1091" s="15"/>
      <c r="AP1091" s="15"/>
      <c r="AQ1091" s="15"/>
      <c r="AR1091" s="23"/>
      <c r="AS1091" s="15"/>
      <c r="AT1091" s="15"/>
      <c r="AU1091" s="23"/>
      <c r="AV1091" s="23"/>
    </row>
    <row r="1092" spans="1:48" x14ac:dyDescent="0.25">
      <c r="A1092" t="s">
        <v>62</v>
      </c>
      <c r="B1092" t="s">
        <v>85</v>
      </c>
      <c r="C1092" s="10">
        <v>-102</v>
      </c>
      <c r="D1092" t="s">
        <v>797</v>
      </c>
      <c r="E1092" s="2">
        <f t="shared" si="162"/>
        <v>46221</v>
      </c>
      <c r="F1092" s="3">
        <f t="shared" si="168"/>
        <v>0.9590277777777777</v>
      </c>
      <c r="G1092" t="s">
        <v>65</v>
      </c>
      <c r="H1092" t="s">
        <v>66</v>
      </c>
      <c r="I1092" t="s">
        <v>89</v>
      </c>
      <c r="J1092" s="2">
        <v>46221</v>
      </c>
      <c r="K1092" s="1">
        <v>0.90972222222222221</v>
      </c>
      <c r="L1092" s="10">
        <f t="shared" si="164"/>
        <v>-70.999999999999915</v>
      </c>
      <c r="M1092" s="1" t="str">
        <f t="shared" si="163"/>
        <v>Delayed</v>
      </c>
      <c r="N1092" s="27" t="str">
        <f t="shared" si="165"/>
        <v>Ryanair</v>
      </c>
      <c r="O1092" s="3" t="s">
        <v>1318</v>
      </c>
      <c r="P1092" s="20">
        <f t="shared" si="166"/>
        <v>23</v>
      </c>
      <c r="Q1092" s="3" t="s">
        <v>1318</v>
      </c>
      <c r="R1092" s="23" t="str">
        <f t="shared" si="167"/>
        <v>Saturday</v>
      </c>
      <c r="S1092" s="3" t="s">
        <v>1318</v>
      </c>
      <c r="T1092" s="23" t="s">
        <v>85</v>
      </c>
      <c r="U1092" s="3" t="s">
        <v>1318</v>
      </c>
      <c r="AO1092" s="15"/>
      <c r="AP1092" s="15"/>
      <c r="AQ1092" s="15"/>
      <c r="AR1092" s="23"/>
      <c r="AS1092" s="15"/>
      <c r="AT1092" s="15"/>
      <c r="AU1092" s="23"/>
      <c r="AV1092" s="23"/>
    </row>
    <row r="1093" spans="1:48" x14ac:dyDescent="0.25">
      <c r="A1093" t="s">
        <v>245</v>
      </c>
      <c r="B1093" t="s">
        <v>124</v>
      </c>
      <c r="D1093" t="s">
        <v>1108</v>
      </c>
      <c r="E1093" s="2">
        <f t="shared" si="162"/>
        <v>46221</v>
      </c>
      <c r="F1093" s="3">
        <f t="shared" si="168"/>
        <v>0.9159722222222223</v>
      </c>
      <c r="G1093" t="s">
        <v>247</v>
      </c>
      <c r="H1093" t="s">
        <v>248</v>
      </c>
      <c r="I1093" t="s">
        <v>249</v>
      </c>
      <c r="J1093" s="2">
        <v>46221</v>
      </c>
      <c r="K1093" s="1">
        <v>0.90972222222222221</v>
      </c>
      <c r="L1093" s="10">
        <f t="shared" si="164"/>
        <v>-9.0000000000001279</v>
      </c>
      <c r="M1093" s="1" t="str">
        <f t="shared" si="163"/>
        <v>On Time</v>
      </c>
      <c r="N1093" s="27" t="str">
        <f t="shared" si="165"/>
        <v>GetJet Airlines</v>
      </c>
      <c r="O1093" s="3" t="s">
        <v>1385</v>
      </c>
      <c r="P1093" s="20">
        <f t="shared" si="166"/>
        <v>21</v>
      </c>
      <c r="Q1093" s="3" t="s">
        <v>1385</v>
      </c>
      <c r="R1093" s="23" t="str">
        <f t="shared" si="167"/>
        <v>Saturday</v>
      </c>
      <c r="S1093" s="3" t="s">
        <v>1385</v>
      </c>
      <c r="T1093" s="23" t="s">
        <v>124</v>
      </c>
      <c r="U1093" s="3" t="s">
        <v>1385</v>
      </c>
      <c r="AO1093" s="15"/>
      <c r="AP1093" s="15"/>
      <c r="AQ1093" s="15"/>
      <c r="AR1093" s="23"/>
      <c r="AS1093" s="15"/>
      <c r="AT1093" s="15"/>
      <c r="AU1093" s="23"/>
      <c r="AV1093" s="23"/>
    </row>
    <row r="1094" spans="1:48" x14ac:dyDescent="0.25">
      <c r="A1094" t="s">
        <v>104</v>
      </c>
      <c r="B1094" t="s">
        <v>85</v>
      </c>
      <c r="C1094" s="10">
        <v>-26</v>
      </c>
      <c r="D1094" t="s">
        <v>804</v>
      </c>
      <c r="E1094" s="2">
        <f t="shared" si="162"/>
        <v>46221</v>
      </c>
      <c r="F1094" s="3">
        <f t="shared" si="168"/>
        <v>0.90902777777777777</v>
      </c>
      <c r="G1094" t="s">
        <v>106</v>
      </c>
      <c r="H1094" t="s">
        <v>107</v>
      </c>
      <c r="I1094" t="s">
        <v>89</v>
      </c>
      <c r="J1094" s="2">
        <v>46221</v>
      </c>
      <c r="K1094" s="1">
        <v>0.91319444444444453</v>
      </c>
      <c r="L1094" s="10">
        <f t="shared" si="164"/>
        <v>6.0000000000001386</v>
      </c>
      <c r="M1094" s="1" t="str">
        <f t="shared" si="163"/>
        <v>On Time</v>
      </c>
      <c r="N1094" s="27" t="str">
        <f t="shared" si="165"/>
        <v>Ryanair</v>
      </c>
      <c r="O1094" s="3" t="s">
        <v>1385</v>
      </c>
      <c r="P1094" s="20">
        <f t="shared" si="166"/>
        <v>21</v>
      </c>
      <c r="Q1094" s="3" t="s">
        <v>1385</v>
      </c>
      <c r="R1094" s="23" t="str">
        <f t="shared" si="167"/>
        <v>Saturday</v>
      </c>
      <c r="S1094" s="3" t="s">
        <v>1385</v>
      </c>
      <c r="T1094" s="23" t="s">
        <v>85</v>
      </c>
      <c r="U1094" s="3" t="s">
        <v>1385</v>
      </c>
      <c r="AO1094" s="15"/>
      <c r="AP1094" s="15"/>
      <c r="AQ1094" s="15"/>
      <c r="AR1094" s="23"/>
      <c r="AS1094" s="15"/>
      <c r="AT1094" s="15"/>
      <c r="AU1094" s="23"/>
      <c r="AV1094" s="23"/>
    </row>
    <row r="1095" spans="1:48" x14ac:dyDescent="0.25">
      <c r="A1095" t="s">
        <v>463</v>
      </c>
      <c r="B1095" t="s">
        <v>239</v>
      </c>
      <c r="D1095" t="s">
        <v>957</v>
      </c>
      <c r="E1095" s="2">
        <f t="shared" si="162"/>
        <v>46221</v>
      </c>
      <c r="F1095" s="3">
        <f t="shared" si="168"/>
        <v>0.92847222222222225</v>
      </c>
      <c r="G1095" t="s">
        <v>247</v>
      </c>
      <c r="H1095" t="s">
        <v>248</v>
      </c>
      <c r="I1095" t="s">
        <v>83</v>
      </c>
      <c r="J1095" s="2">
        <v>46221</v>
      </c>
      <c r="K1095" s="1">
        <v>0.92361111111111116</v>
      </c>
      <c r="L1095" s="10">
        <f t="shared" si="164"/>
        <v>-6.9999999999999751</v>
      </c>
      <c r="M1095" s="1" t="str">
        <f t="shared" si="163"/>
        <v>On Time</v>
      </c>
      <c r="N1095" s="27" t="str">
        <f t="shared" si="165"/>
        <v>Eurowings</v>
      </c>
      <c r="O1095" s="3" t="s">
        <v>1385</v>
      </c>
      <c r="P1095" s="20">
        <f t="shared" si="166"/>
        <v>22</v>
      </c>
      <c r="Q1095" s="3" t="s">
        <v>1385</v>
      </c>
      <c r="R1095" s="23" t="str">
        <f t="shared" si="167"/>
        <v>Saturday</v>
      </c>
      <c r="S1095" s="3" t="s">
        <v>1385</v>
      </c>
      <c r="T1095" s="23" t="s">
        <v>239</v>
      </c>
      <c r="U1095" s="3" t="s">
        <v>1385</v>
      </c>
      <c r="AO1095" s="15"/>
      <c r="AP1095" s="15"/>
      <c r="AQ1095" s="15"/>
      <c r="AR1095" s="23"/>
      <c r="AS1095" s="15"/>
      <c r="AT1095" s="15"/>
      <c r="AU1095" s="23"/>
      <c r="AV1095" s="23"/>
    </row>
    <row r="1096" spans="1:48" x14ac:dyDescent="0.25">
      <c r="A1096" t="s">
        <v>123</v>
      </c>
      <c r="B1096" t="s">
        <v>124</v>
      </c>
      <c r="D1096" t="s">
        <v>1109</v>
      </c>
      <c r="E1096" s="2">
        <f t="shared" si="162"/>
        <v>46221</v>
      </c>
      <c r="F1096" s="3">
        <f t="shared" si="168"/>
        <v>0.9375</v>
      </c>
      <c r="G1096" t="s">
        <v>466</v>
      </c>
      <c r="H1096" t="s">
        <v>467</v>
      </c>
      <c r="I1096" t="s">
        <v>126</v>
      </c>
      <c r="J1096" s="2">
        <v>46221</v>
      </c>
      <c r="K1096" s="1">
        <v>0.94791666666666663</v>
      </c>
      <c r="L1096" s="10">
        <f t="shared" si="164"/>
        <v>14.999999999999947</v>
      </c>
      <c r="M1096" s="1" t="str">
        <f t="shared" si="163"/>
        <v>On Time</v>
      </c>
      <c r="N1096" s="27" t="str">
        <f t="shared" si="165"/>
        <v>GetJet Airlines</v>
      </c>
      <c r="O1096" s="3" t="s">
        <v>1385</v>
      </c>
      <c r="P1096" s="20">
        <f t="shared" si="166"/>
        <v>22</v>
      </c>
      <c r="Q1096" s="3" t="s">
        <v>1385</v>
      </c>
      <c r="R1096" s="23" t="str">
        <f t="shared" si="167"/>
        <v>Saturday</v>
      </c>
      <c r="S1096" s="3" t="s">
        <v>1385</v>
      </c>
      <c r="T1096" s="23" t="s">
        <v>124</v>
      </c>
      <c r="U1096" s="3" t="s">
        <v>1385</v>
      </c>
      <c r="AO1096" s="15"/>
      <c r="AP1096" s="15"/>
      <c r="AQ1096" s="15"/>
      <c r="AR1096" s="23"/>
      <c r="AS1096" s="15"/>
      <c r="AT1096" s="15"/>
      <c r="AU1096" s="23"/>
      <c r="AV1096" s="23"/>
    </row>
    <row r="1097" spans="1:48" x14ac:dyDescent="0.25">
      <c r="A1097" t="s">
        <v>258</v>
      </c>
      <c r="B1097" t="s">
        <v>190</v>
      </c>
      <c r="C1097" s="10">
        <v>-30</v>
      </c>
      <c r="D1097" t="s">
        <v>1110</v>
      </c>
      <c r="E1097" s="2">
        <f t="shared" si="162"/>
        <v>46221</v>
      </c>
      <c r="F1097" s="3">
        <f t="shared" si="168"/>
        <v>0.99375000000000002</v>
      </c>
      <c r="G1097" t="s">
        <v>110</v>
      </c>
      <c r="H1097" t="s">
        <v>111</v>
      </c>
      <c r="I1097" t="s">
        <v>17</v>
      </c>
      <c r="J1097" s="2">
        <v>46221</v>
      </c>
      <c r="K1097" s="1">
        <v>0.98958333333333337</v>
      </c>
      <c r="L1097" s="10">
        <f t="shared" si="164"/>
        <v>-5.9999999999999787</v>
      </c>
      <c r="M1097" s="1" t="str">
        <f t="shared" si="163"/>
        <v>On Time</v>
      </c>
      <c r="N1097" s="27" t="str">
        <f t="shared" si="165"/>
        <v>Lufthansa</v>
      </c>
      <c r="O1097" s="3" t="s">
        <v>1385</v>
      </c>
      <c r="P1097" s="20">
        <f t="shared" si="166"/>
        <v>23</v>
      </c>
      <c r="Q1097" s="3" t="s">
        <v>1385</v>
      </c>
      <c r="R1097" s="23" t="str">
        <f t="shared" si="167"/>
        <v>Saturday</v>
      </c>
      <c r="S1097" s="3" t="s">
        <v>1385</v>
      </c>
      <c r="T1097" s="23" t="s">
        <v>190</v>
      </c>
      <c r="U1097" s="3" t="s">
        <v>1385</v>
      </c>
      <c r="AO1097" s="15"/>
      <c r="AP1097" s="15"/>
      <c r="AQ1097" s="15"/>
      <c r="AR1097" s="23"/>
      <c r="AS1097" s="15"/>
      <c r="AT1097" s="15"/>
      <c r="AU1097" s="23"/>
      <c r="AV1097" s="23"/>
    </row>
    <row r="1098" spans="1:48" x14ac:dyDescent="0.25">
      <c r="A1098" t="s">
        <v>470</v>
      </c>
      <c r="B1098" t="s">
        <v>13</v>
      </c>
      <c r="C1098" s="10">
        <v>0</v>
      </c>
      <c r="D1098" t="s">
        <v>882</v>
      </c>
      <c r="E1098" s="2">
        <f t="shared" si="162"/>
        <v>46221</v>
      </c>
      <c r="F1098" s="3">
        <f t="shared" si="168"/>
        <v>0.98402777777777783</v>
      </c>
      <c r="G1098" t="s">
        <v>280</v>
      </c>
      <c r="H1098" t="s">
        <v>281</v>
      </c>
      <c r="I1098" t="s">
        <v>17</v>
      </c>
      <c r="J1098" s="2">
        <v>46221</v>
      </c>
      <c r="K1098" s="1">
        <v>0.99652777777777779</v>
      </c>
      <c r="L1098" s="10">
        <f t="shared" si="164"/>
        <v>17.999999999999936</v>
      </c>
      <c r="M1098" s="1" t="str">
        <f t="shared" si="163"/>
        <v>On Time</v>
      </c>
      <c r="N1098" s="27" t="str">
        <f t="shared" si="165"/>
        <v>Wizz Air</v>
      </c>
      <c r="O1098" s="3" t="s">
        <v>1385</v>
      </c>
      <c r="P1098" s="20">
        <f t="shared" si="166"/>
        <v>23</v>
      </c>
      <c r="Q1098" s="3" t="s">
        <v>1385</v>
      </c>
      <c r="R1098" s="23" t="str">
        <f t="shared" si="167"/>
        <v>Saturday</v>
      </c>
      <c r="S1098" s="3" t="s">
        <v>1385</v>
      </c>
      <c r="T1098" s="23" t="s">
        <v>13</v>
      </c>
      <c r="U1098" s="3" t="s">
        <v>1385</v>
      </c>
      <c r="AO1098" s="15"/>
      <c r="AP1098" s="15"/>
      <c r="AQ1098" s="15"/>
      <c r="AR1098" s="23"/>
      <c r="AS1098" s="15"/>
      <c r="AT1098" s="15"/>
      <c r="AU1098" s="23"/>
      <c r="AV1098" s="23"/>
    </row>
    <row r="1099" spans="1:48" x14ac:dyDescent="0.25">
      <c r="A1099" t="s">
        <v>267</v>
      </c>
      <c r="B1099" t="s">
        <v>13</v>
      </c>
      <c r="C1099" s="10">
        <v>-12</v>
      </c>
      <c r="D1099" t="s">
        <v>1111</v>
      </c>
      <c r="E1099" s="2">
        <f t="shared" si="162"/>
        <v>46222</v>
      </c>
      <c r="F1099" s="3">
        <f t="shared" si="168"/>
        <v>4.1666666666666666E-3</v>
      </c>
      <c r="G1099" t="s">
        <v>269</v>
      </c>
      <c r="H1099" t="s">
        <v>270</v>
      </c>
      <c r="I1099" t="s">
        <v>17</v>
      </c>
      <c r="J1099" s="2">
        <v>46222</v>
      </c>
      <c r="K1099" s="1">
        <v>1.0416666666666666E-2</v>
      </c>
      <c r="L1099" s="10">
        <f t="shared" si="164"/>
        <v>9</v>
      </c>
      <c r="M1099" s="1" t="str">
        <f t="shared" si="163"/>
        <v>On Time</v>
      </c>
      <c r="N1099" s="27" t="str">
        <f t="shared" si="165"/>
        <v>Wizz Air</v>
      </c>
      <c r="O1099" s="3" t="s">
        <v>1385</v>
      </c>
      <c r="P1099" s="20">
        <f t="shared" si="166"/>
        <v>0</v>
      </c>
      <c r="Q1099" s="3" t="s">
        <v>1385</v>
      </c>
      <c r="R1099" s="23" t="str">
        <f t="shared" si="167"/>
        <v>Sunday</v>
      </c>
      <c r="S1099" s="3" t="s">
        <v>1385</v>
      </c>
      <c r="T1099" s="23" t="s">
        <v>13</v>
      </c>
      <c r="U1099" s="3" t="s">
        <v>1385</v>
      </c>
      <c r="AO1099" s="15"/>
      <c r="AP1099" s="15"/>
      <c r="AQ1099" s="15"/>
      <c r="AR1099" s="23"/>
      <c r="AS1099" s="15"/>
      <c r="AT1099" s="15"/>
      <c r="AU1099" s="23"/>
      <c r="AV1099" s="23"/>
    </row>
    <row r="1100" spans="1:48" x14ac:dyDescent="0.25">
      <c r="A1100" t="s">
        <v>6</v>
      </c>
      <c r="B1100" t="s">
        <v>7</v>
      </c>
      <c r="C1100" s="10">
        <v>-85</v>
      </c>
      <c r="D1100" t="s">
        <v>1112</v>
      </c>
      <c r="E1100" s="2">
        <f t="shared" si="162"/>
        <v>46222</v>
      </c>
      <c r="F1100" s="3">
        <f t="shared" si="168"/>
        <v>6.6666666666666666E-2</v>
      </c>
      <c r="G1100" t="s">
        <v>9</v>
      </c>
      <c r="H1100" t="s">
        <v>10</v>
      </c>
      <c r="I1100" t="s">
        <v>11</v>
      </c>
      <c r="J1100" s="2">
        <v>46222</v>
      </c>
      <c r="K1100" s="1">
        <v>2.0833333333333332E-2</v>
      </c>
      <c r="L1100" s="10">
        <f t="shared" si="164"/>
        <v>-66</v>
      </c>
      <c r="M1100" s="1" t="str">
        <f t="shared" si="163"/>
        <v>Delayed</v>
      </c>
      <c r="N1100" s="27" t="str">
        <f t="shared" si="165"/>
        <v>airBaltic</v>
      </c>
      <c r="O1100" s="3" t="s">
        <v>1318</v>
      </c>
      <c r="P1100" s="20">
        <f t="shared" si="166"/>
        <v>1</v>
      </c>
      <c r="Q1100" s="3" t="s">
        <v>1318</v>
      </c>
      <c r="R1100" s="23" t="str">
        <f t="shared" si="167"/>
        <v>Sunday</v>
      </c>
      <c r="S1100" s="3" t="s">
        <v>1318</v>
      </c>
      <c r="T1100" s="23" t="s">
        <v>7</v>
      </c>
      <c r="U1100" s="3" t="s">
        <v>1318</v>
      </c>
      <c r="AO1100" s="15"/>
      <c r="AP1100" s="15"/>
      <c r="AQ1100" s="15"/>
      <c r="AR1100" s="23"/>
      <c r="AS1100" s="15"/>
      <c r="AT1100" s="15"/>
      <c r="AU1100" s="23"/>
      <c r="AV1100" s="23"/>
    </row>
    <row r="1101" spans="1:48" x14ac:dyDescent="0.25">
      <c r="A1101" t="s">
        <v>12</v>
      </c>
      <c r="B1101" t="s">
        <v>13</v>
      </c>
      <c r="C1101" s="10">
        <v>-50</v>
      </c>
      <c r="D1101" t="s">
        <v>988</v>
      </c>
      <c r="E1101" s="2">
        <f t="shared" ref="E1101:E1163" si="169">J1101</f>
        <v>46222</v>
      </c>
      <c r="F1101" s="3">
        <f t="shared" si="168"/>
        <v>2.2916666666666669E-2</v>
      </c>
      <c r="G1101" t="s">
        <v>15</v>
      </c>
      <c r="H1101" t="s">
        <v>16</v>
      </c>
      <c r="I1101" t="s">
        <v>17</v>
      </c>
      <c r="J1101" s="2">
        <v>46222</v>
      </c>
      <c r="K1101" s="1">
        <v>2.0833333333333332E-2</v>
      </c>
      <c r="L1101" s="10">
        <f t="shared" si="164"/>
        <v>-3.0000000000000044</v>
      </c>
      <c r="M1101" s="1" t="str">
        <f t="shared" si="163"/>
        <v>On Time</v>
      </c>
      <c r="N1101" s="27" t="str">
        <f t="shared" si="165"/>
        <v>Wizz Air</v>
      </c>
      <c r="O1101" s="3" t="s">
        <v>1385</v>
      </c>
      <c r="P1101" s="20">
        <f t="shared" si="166"/>
        <v>0</v>
      </c>
      <c r="Q1101" s="3" t="s">
        <v>1385</v>
      </c>
      <c r="R1101" s="23" t="str">
        <f t="shared" si="167"/>
        <v>Sunday</v>
      </c>
      <c r="S1101" s="3" t="s">
        <v>1385</v>
      </c>
      <c r="T1101" s="23" t="s">
        <v>13</v>
      </c>
      <c r="U1101" s="3" t="s">
        <v>1385</v>
      </c>
      <c r="AO1101" s="15"/>
      <c r="AP1101" s="15"/>
      <c r="AQ1101" s="15"/>
      <c r="AR1101" s="23"/>
      <c r="AS1101" s="15"/>
      <c r="AT1101" s="15"/>
      <c r="AU1101" s="23"/>
      <c r="AV1101" s="23"/>
    </row>
    <row r="1102" spans="1:48" x14ac:dyDescent="0.25">
      <c r="A1102" t="s">
        <v>18</v>
      </c>
      <c r="B1102" t="s">
        <v>19</v>
      </c>
      <c r="C1102" s="10">
        <v>-40</v>
      </c>
      <c r="D1102" t="s">
        <v>967</v>
      </c>
      <c r="E1102" s="2">
        <f t="shared" si="169"/>
        <v>46222</v>
      </c>
      <c r="F1102" s="3">
        <f t="shared" si="168"/>
        <v>3.888888888888889E-2</v>
      </c>
      <c r="G1102" t="s">
        <v>21</v>
      </c>
      <c r="H1102" t="s">
        <v>22</v>
      </c>
      <c r="I1102" t="s">
        <v>594</v>
      </c>
      <c r="J1102" s="2">
        <v>46222</v>
      </c>
      <c r="K1102" s="1">
        <v>2.7777777777777776E-2</v>
      </c>
      <c r="L1102" s="10">
        <f t="shared" si="164"/>
        <v>-16.000000000000004</v>
      </c>
      <c r="M1102" s="1" t="str">
        <f t="shared" si="163"/>
        <v>Delayed</v>
      </c>
      <c r="N1102" s="27" t="str">
        <f t="shared" si="165"/>
        <v>LOT</v>
      </c>
      <c r="O1102" s="3" t="s">
        <v>1318</v>
      </c>
      <c r="P1102" s="20">
        <f t="shared" si="166"/>
        <v>0</v>
      </c>
      <c r="Q1102" s="3" t="s">
        <v>1318</v>
      </c>
      <c r="R1102" s="23" t="str">
        <f t="shared" si="167"/>
        <v>Sunday</v>
      </c>
      <c r="S1102" s="3" t="s">
        <v>1318</v>
      </c>
      <c r="T1102" s="23" t="s">
        <v>19</v>
      </c>
      <c r="U1102" s="3" t="s">
        <v>1318</v>
      </c>
      <c r="AO1102" s="15"/>
      <c r="AP1102" s="15"/>
      <c r="AQ1102" s="15"/>
      <c r="AR1102" s="23"/>
      <c r="AS1102" s="15"/>
      <c r="AT1102" s="15"/>
      <c r="AU1102" s="23"/>
      <c r="AV1102" s="23"/>
    </row>
    <row r="1103" spans="1:48" x14ac:dyDescent="0.25">
      <c r="A1103" t="s">
        <v>36</v>
      </c>
      <c r="B1103" t="s">
        <v>7</v>
      </c>
      <c r="C1103" s="10">
        <v>-24</v>
      </c>
      <c r="D1103" t="s">
        <v>752</v>
      </c>
      <c r="E1103" s="2">
        <f t="shared" si="169"/>
        <v>46222</v>
      </c>
      <c r="F1103" s="3">
        <f t="shared" si="168"/>
        <v>5.0694444444444452E-2</v>
      </c>
      <c r="G1103" t="s">
        <v>38</v>
      </c>
      <c r="H1103" t="s">
        <v>39</v>
      </c>
      <c r="I1103" t="s">
        <v>11</v>
      </c>
      <c r="J1103" s="2">
        <v>46222</v>
      </c>
      <c r="K1103" s="1">
        <v>5.9027777777777783E-2</v>
      </c>
      <c r="L1103" s="10">
        <f t="shared" si="164"/>
        <v>11.999999999999996</v>
      </c>
      <c r="M1103" s="1" t="str">
        <f t="shared" si="163"/>
        <v>On Time</v>
      </c>
      <c r="N1103" s="27" t="str">
        <f t="shared" si="165"/>
        <v>airBaltic</v>
      </c>
      <c r="O1103" s="3" t="s">
        <v>1385</v>
      </c>
      <c r="P1103" s="20">
        <f t="shared" si="166"/>
        <v>1</v>
      </c>
      <c r="Q1103" s="3" t="s">
        <v>1385</v>
      </c>
      <c r="R1103" s="23" t="str">
        <f t="shared" si="167"/>
        <v>Sunday</v>
      </c>
      <c r="S1103" s="3" t="s">
        <v>1385</v>
      </c>
      <c r="T1103" s="23" t="s">
        <v>7</v>
      </c>
      <c r="U1103" s="3" t="s">
        <v>1385</v>
      </c>
      <c r="AO1103" s="15"/>
      <c r="AP1103" s="15"/>
      <c r="AQ1103" s="15"/>
      <c r="AR1103" s="23"/>
      <c r="AS1103" s="15"/>
      <c r="AT1103" s="15"/>
      <c r="AU1103" s="23"/>
      <c r="AV1103" s="23"/>
    </row>
    <row r="1104" spans="1:48" x14ac:dyDescent="0.25">
      <c r="A1104" t="s">
        <v>40</v>
      </c>
      <c r="B1104" t="s">
        <v>555</v>
      </c>
      <c r="C1104" s="10">
        <v>-8</v>
      </c>
      <c r="D1104" t="s">
        <v>283</v>
      </c>
      <c r="E1104" s="2">
        <f t="shared" si="169"/>
        <v>46222</v>
      </c>
      <c r="F1104" s="3">
        <f t="shared" si="168"/>
        <v>5.2777777777777778E-2</v>
      </c>
      <c r="G1104" t="s">
        <v>43</v>
      </c>
      <c r="H1104" t="s">
        <v>44</v>
      </c>
      <c r="I1104" t="s">
        <v>158</v>
      </c>
      <c r="J1104" s="2">
        <v>46222</v>
      </c>
      <c r="K1104" s="1">
        <v>5.9027777777777783E-2</v>
      </c>
      <c r="L1104" s="10">
        <f t="shared" si="164"/>
        <v>9.0000000000000071</v>
      </c>
      <c r="M1104" s="1" t="str">
        <f t="shared" si="163"/>
        <v>On Time</v>
      </c>
      <c r="N1104" s="27" t="e">
        <f t="shared" si="165"/>
        <v>#N/A</v>
      </c>
      <c r="O1104" s="3" t="s">
        <v>1385</v>
      </c>
      <c r="P1104" s="20">
        <f t="shared" si="166"/>
        <v>1</v>
      </c>
      <c r="Q1104" s="3" t="s">
        <v>1385</v>
      </c>
      <c r="R1104" s="23" t="str">
        <f t="shared" si="167"/>
        <v>Sunday</v>
      </c>
      <c r="S1104" s="3" t="s">
        <v>1385</v>
      </c>
      <c r="T1104" s="23" t="s">
        <v>555</v>
      </c>
      <c r="U1104" s="3" t="s">
        <v>1385</v>
      </c>
      <c r="AO1104" s="15"/>
      <c r="AP1104" s="15"/>
      <c r="AQ1104" s="15"/>
      <c r="AR1104" s="23"/>
      <c r="AS1104" s="15"/>
      <c r="AT1104" s="15"/>
      <c r="AU1104" s="23"/>
      <c r="AV1104" s="23"/>
    </row>
    <row r="1105" spans="1:48" x14ac:dyDescent="0.25">
      <c r="A1105" t="s">
        <v>476</v>
      </c>
      <c r="B1105" t="s">
        <v>477</v>
      </c>
      <c r="C1105" s="10">
        <v>-25</v>
      </c>
      <c r="D1105" t="s">
        <v>1113</v>
      </c>
      <c r="E1105" s="2">
        <f t="shared" si="169"/>
        <v>46222</v>
      </c>
      <c r="F1105" s="3">
        <f t="shared" si="168"/>
        <v>9.3055555555555558E-2</v>
      </c>
      <c r="G1105" t="s">
        <v>106</v>
      </c>
      <c r="H1105" t="s">
        <v>107</v>
      </c>
      <c r="I1105" t="s">
        <v>112</v>
      </c>
      <c r="J1105" s="2">
        <v>46222</v>
      </c>
      <c r="K1105" s="1">
        <v>9.0277777777777776E-2</v>
      </c>
      <c r="L1105" s="10">
        <f t="shared" si="164"/>
        <v>-4.0000000000000053</v>
      </c>
      <c r="M1105" s="1" t="str">
        <f t="shared" si="163"/>
        <v>On Time</v>
      </c>
      <c r="N1105" s="27" t="e">
        <f t="shared" si="165"/>
        <v>#N/A</v>
      </c>
      <c r="O1105" s="3" t="s">
        <v>1385</v>
      </c>
      <c r="P1105" s="20">
        <f t="shared" si="166"/>
        <v>2</v>
      </c>
      <c r="Q1105" s="3" t="s">
        <v>1385</v>
      </c>
      <c r="R1105" s="23" t="str">
        <f t="shared" si="167"/>
        <v>Sunday</v>
      </c>
      <c r="S1105" s="3" t="s">
        <v>1385</v>
      </c>
      <c r="T1105" s="23" t="s">
        <v>477</v>
      </c>
      <c r="U1105" s="3" t="s">
        <v>1385</v>
      </c>
      <c r="AO1105" s="15"/>
      <c r="AP1105" s="15"/>
      <c r="AQ1105" s="15"/>
      <c r="AR1105" s="23"/>
      <c r="AS1105" s="15"/>
      <c r="AT1105" s="15"/>
      <c r="AU1105" s="23"/>
      <c r="AV1105" s="23"/>
    </row>
    <row r="1106" spans="1:48" x14ac:dyDescent="0.25">
      <c r="A1106" t="s">
        <v>479</v>
      </c>
      <c r="B1106" t="s">
        <v>7</v>
      </c>
      <c r="C1106" s="10">
        <v>-48</v>
      </c>
      <c r="D1106" t="s">
        <v>1114</v>
      </c>
      <c r="E1106" s="2">
        <f t="shared" si="169"/>
        <v>46222</v>
      </c>
      <c r="F1106" s="3">
        <f t="shared" si="168"/>
        <v>0.13125000000000001</v>
      </c>
      <c r="G1106" t="s">
        <v>481</v>
      </c>
      <c r="H1106" t="s">
        <v>482</v>
      </c>
      <c r="I1106" t="s">
        <v>11</v>
      </c>
      <c r="J1106" s="2">
        <v>46222</v>
      </c>
      <c r="K1106" s="1">
        <v>0.11805555555555557</v>
      </c>
      <c r="L1106" s="10">
        <f t="shared" si="164"/>
        <v>-18.999999999999993</v>
      </c>
      <c r="M1106" s="1" t="str">
        <f t="shared" si="163"/>
        <v>Delayed</v>
      </c>
      <c r="N1106" s="27" t="str">
        <f t="shared" si="165"/>
        <v>airBaltic</v>
      </c>
      <c r="O1106" s="3" t="s">
        <v>1318</v>
      </c>
      <c r="P1106" s="20">
        <f t="shared" si="166"/>
        <v>3</v>
      </c>
      <c r="Q1106" s="3" t="s">
        <v>1318</v>
      </c>
      <c r="R1106" s="23" t="str">
        <f t="shared" si="167"/>
        <v>Sunday</v>
      </c>
      <c r="S1106" s="3" t="s">
        <v>1318</v>
      </c>
      <c r="T1106" s="23" t="s">
        <v>7</v>
      </c>
      <c r="U1106" s="3" t="s">
        <v>1318</v>
      </c>
      <c r="AO1106" s="15"/>
      <c r="AP1106" s="15"/>
      <c r="AQ1106" s="15"/>
      <c r="AR1106" s="23"/>
      <c r="AS1106" s="15"/>
      <c r="AT1106" s="15"/>
      <c r="AU1106" s="23"/>
      <c r="AV1106" s="23"/>
    </row>
    <row r="1107" spans="1:48" x14ac:dyDescent="0.25">
      <c r="A1107" t="s">
        <v>483</v>
      </c>
      <c r="B1107" t="s">
        <v>7</v>
      </c>
      <c r="C1107" s="10">
        <v>-28</v>
      </c>
      <c r="D1107" t="s">
        <v>813</v>
      </c>
      <c r="E1107" s="2">
        <f t="shared" si="169"/>
        <v>46222</v>
      </c>
      <c r="F1107" s="3">
        <f t="shared" si="168"/>
        <v>0.13402777777777777</v>
      </c>
      <c r="G1107" t="s">
        <v>485</v>
      </c>
      <c r="H1107" t="s">
        <v>486</v>
      </c>
      <c r="I1107" t="s">
        <v>11</v>
      </c>
      <c r="J1107" s="2">
        <v>46222</v>
      </c>
      <c r="K1107" s="1">
        <v>0.14930555555555555</v>
      </c>
      <c r="L1107" s="10">
        <f t="shared" si="164"/>
        <v>22</v>
      </c>
      <c r="M1107" s="1" t="str">
        <f t="shared" ref="M1107:M1170" si="170">IF(L1107&gt;=-15, "On Time", "Delayed")</f>
        <v>On Time</v>
      </c>
      <c r="N1107" s="27" t="str">
        <f t="shared" si="165"/>
        <v>airBaltic</v>
      </c>
      <c r="O1107" s="3" t="s">
        <v>1385</v>
      </c>
      <c r="P1107" s="20">
        <f t="shared" si="166"/>
        <v>3</v>
      </c>
      <c r="Q1107" s="3" t="s">
        <v>1385</v>
      </c>
      <c r="R1107" s="23" t="str">
        <f t="shared" si="167"/>
        <v>Sunday</v>
      </c>
      <c r="S1107" s="3" t="s">
        <v>1385</v>
      </c>
      <c r="T1107" s="23" t="s">
        <v>7</v>
      </c>
      <c r="U1107" s="3" t="s">
        <v>1385</v>
      </c>
      <c r="AO1107" s="15"/>
      <c r="AP1107" s="15"/>
      <c r="AQ1107" s="15"/>
      <c r="AR1107" s="23"/>
      <c r="AS1107" s="15"/>
      <c r="AT1107" s="15"/>
      <c r="AU1107" s="23"/>
      <c r="AV1107" s="23"/>
    </row>
    <row r="1108" spans="1:48" x14ac:dyDescent="0.25">
      <c r="A1108" t="s">
        <v>68</v>
      </c>
      <c r="B1108" t="s">
        <v>69</v>
      </c>
      <c r="C1108" s="10">
        <v>0</v>
      </c>
      <c r="D1108" t="s">
        <v>1115</v>
      </c>
      <c r="E1108" s="2">
        <f t="shared" si="169"/>
        <v>46222</v>
      </c>
      <c r="F1108" s="3">
        <f t="shared" si="168"/>
        <v>0.3298611111111111</v>
      </c>
      <c r="G1108" t="s">
        <v>71</v>
      </c>
      <c r="H1108" t="s">
        <v>72</v>
      </c>
      <c r="I1108" t="s">
        <v>295</v>
      </c>
      <c r="J1108" s="2">
        <v>46222</v>
      </c>
      <c r="K1108" s="1">
        <v>0.34027777777777773</v>
      </c>
      <c r="L1108" s="10">
        <f t="shared" si="164"/>
        <v>14.999999999999947</v>
      </c>
      <c r="M1108" s="1" t="str">
        <f t="shared" si="170"/>
        <v>On Time</v>
      </c>
      <c r="N1108" s="27" t="str">
        <f t="shared" si="165"/>
        <v>Finnair</v>
      </c>
      <c r="O1108" s="3" t="s">
        <v>1385</v>
      </c>
      <c r="P1108" s="20">
        <f t="shared" si="166"/>
        <v>7</v>
      </c>
      <c r="Q1108" s="3" t="s">
        <v>1385</v>
      </c>
      <c r="R1108" s="23" t="str">
        <f t="shared" si="167"/>
        <v>Sunday</v>
      </c>
      <c r="S1108" s="3" t="s">
        <v>1385</v>
      </c>
      <c r="T1108" s="23" t="s">
        <v>69</v>
      </c>
      <c r="U1108" s="3" t="s">
        <v>1385</v>
      </c>
      <c r="AO1108" s="15"/>
      <c r="AP1108" s="15"/>
      <c r="AQ1108" s="15"/>
      <c r="AR1108" s="23"/>
      <c r="AS1108" s="15"/>
      <c r="AT1108" s="15"/>
      <c r="AU1108" s="23"/>
      <c r="AV1108" s="23"/>
    </row>
    <row r="1109" spans="1:48" x14ac:dyDescent="0.25">
      <c r="A1109" t="s">
        <v>291</v>
      </c>
      <c r="B1109" t="s">
        <v>13</v>
      </c>
      <c r="C1109" s="10">
        <v>-419</v>
      </c>
      <c r="D1109" t="s">
        <v>1065</v>
      </c>
      <c r="E1109" s="2">
        <f t="shared" si="169"/>
        <v>46222</v>
      </c>
      <c r="F1109" s="3">
        <f t="shared" si="168"/>
        <v>0.64444444444444449</v>
      </c>
      <c r="G1109" t="s">
        <v>293</v>
      </c>
      <c r="H1109" t="s">
        <v>294</v>
      </c>
      <c r="I1109" t="s">
        <v>17</v>
      </c>
      <c r="J1109" s="2">
        <v>46222</v>
      </c>
      <c r="K1109" s="1">
        <v>0.36805555555555558</v>
      </c>
      <c r="L1109" s="10">
        <f t="shared" si="164"/>
        <v>-398</v>
      </c>
      <c r="M1109" s="1" t="str">
        <f t="shared" si="170"/>
        <v>Delayed</v>
      </c>
      <c r="N1109" s="27" t="str">
        <f t="shared" si="165"/>
        <v>Wizz Air</v>
      </c>
      <c r="O1109" s="3" t="s">
        <v>1318</v>
      </c>
      <c r="P1109" s="20">
        <f t="shared" si="166"/>
        <v>15</v>
      </c>
      <c r="Q1109" s="3" t="s">
        <v>1318</v>
      </c>
      <c r="R1109" s="23" t="str">
        <f t="shared" si="167"/>
        <v>Sunday</v>
      </c>
      <c r="S1109" s="3" t="s">
        <v>1318</v>
      </c>
      <c r="T1109" s="23" t="s">
        <v>13</v>
      </c>
      <c r="U1109" s="3" t="s">
        <v>1318</v>
      </c>
      <c r="AO1109" s="15"/>
      <c r="AP1109" s="15"/>
      <c r="AQ1109" s="15"/>
      <c r="AR1109" s="23"/>
      <c r="AS1109" s="15"/>
      <c r="AT1109" s="15"/>
      <c r="AU1109" s="23"/>
      <c r="AV1109" s="23"/>
    </row>
    <row r="1110" spans="1:48" x14ac:dyDescent="0.25">
      <c r="A1110" t="s">
        <v>74</v>
      </c>
      <c r="B1110" t="s">
        <v>13</v>
      </c>
      <c r="C1110" s="10">
        <v>6</v>
      </c>
      <c r="D1110" t="s">
        <v>296</v>
      </c>
      <c r="E1110" s="2">
        <f t="shared" si="169"/>
        <v>46222</v>
      </c>
      <c r="F1110" s="3">
        <f t="shared" si="168"/>
        <v>0.36874999999999997</v>
      </c>
      <c r="G1110" t="s">
        <v>76</v>
      </c>
      <c r="H1110" t="s">
        <v>77</v>
      </c>
      <c r="I1110" t="s">
        <v>17</v>
      </c>
      <c r="J1110" s="2">
        <v>46222</v>
      </c>
      <c r="K1110" s="1">
        <v>0.3888888888888889</v>
      </c>
      <c r="L1110" s="10">
        <f t="shared" si="164"/>
        <v>29.000000000000057</v>
      </c>
      <c r="M1110" s="1" t="str">
        <f t="shared" si="170"/>
        <v>On Time</v>
      </c>
      <c r="N1110" s="27" t="str">
        <f t="shared" si="165"/>
        <v>Wizz Air</v>
      </c>
      <c r="O1110" s="3" t="s">
        <v>1385</v>
      </c>
      <c r="P1110" s="20">
        <f t="shared" si="166"/>
        <v>8</v>
      </c>
      <c r="Q1110" s="3" t="s">
        <v>1385</v>
      </c>
      <c r="R1110" s="23" t="str">
        <f t="shared" si="167"/>
        <v>Sunday</v>
      </c>
      <c r="S1110" s="3" t="s">
        <v>1385</v>
      </c>
      <c r="T1110" s="23" t="s">
        <v>13</v>
      </c>
      <c r="U1110" s="3" t="s">
        <v>1385</v>
      </c>
      <c r="AO1110" s="15"/>
      <c r="AP1110" s="15"/>
      <c r="AQ1110" s="15"/>
      <c r="AR1110" s="23"/>
      <c r="AS1110" s="15"/>
      <c r="AT1110" s="15"/>
      <c r="AU1110" s="23"/>
      <c r="AV1110" s="23"/>
    </row>
    <row r="1111" spans="1:48" x14ac:dyDescent="0.25">
      <c r="A1111" t="s">
        <v>78</v>
      </c>
      <c r="B1111" t="s">
        <v>55</v>
      </c>
      <c r="C1111" s="10">
        <v>-30</v>
      </c>
      <c r="D1111" t="s">
        <v>414</v>
      </c>
      <c r="E1111" s="2">
        <f t="shared" si="169"/>
        <v>46222</v>
      </c>
      <c r="F1111" s="3">
        <f t="shared" si="168"/>
        <v>0.40208333333333335</v>
      </c>
      <c r="G1111" t="s">
        <v>81</v>
      </c>
      <c r="H1111" t="s">
        <v>82</v>
      </c>
      <c r="I1111" t="s">
        <v>1116</v>
      </c>
      <c r="J1111" s="2">
        <v>46222</v>
      </c>
      <c r="K1111" s="1">
        <v>0.40972222222222227</v>
      </c>
      <c r="L1111" s="10">
        <f t="shared" si="164"/>
        <v>11.000000000000041</v>
      </c>
      <c r="M1111" s="1" t="str">
        <f t="shared" si="170"/>
        <v>On Time</v>
      </c>
      <c r="N1111" s="27" t="e">
        <f t="shared" si="165"/>
        <v>#N/A</v>
      </c>
      <c r="O1111" s="3" t="s">
        <v>1385</v>
      </c>
      <c r="P1111" s="20">
        <f t="shared" si="166"/>
        <v>9</v>
      </c>
      <c r="Q1111" s="3" t="s">
        <v>1385</v>
      </c>
      <c r="R1111" s="23" t="str">
        <f t="shared" si="167"/>
        <v>Sunday</v>
      </c>
      <c r="S1111" s="3" t="s">
        <v>1385</v>
      </c>
      <c r="T1111" s="23" t="s">
        <v>55</v>
      </c>
      <c r="U1111" s="3" t="s">
        <v>1385</v>
      </c>
      <c r="AO1111" s="15"/>
      <c r="AP1111" s="15"/>
      <c r="AQ1111" s="15"/>
      <c r="AR1111" s="23"/>
      <c r="AS1111" s="15"/>
      <c r="AT1111" s="15"/>
      <c r="AU1111" s="23"/>
      <c r="AV1111" s="23"/>
    </row>
    <row r="1112" spans="1:48" x14ac:dyDescent="0.25">
      <c r="A1112" t="s">
        <v>127</v>
      </c>
      <c r="B1112" t="s">
        <v>85</v>
      </c>
      <c r="C1112" s="10">
        <v>-7</v>
      </c>
      <c r="D1112" t="s">
        <v>933</v>
      </c>
      <c r="E1112" s="2">
        <f t="shared" si="169"/>
        <v>46222</v>
      </c>
      <c r="F1112" s="3">
        <f t="shared" si="168"/>
        <v>0.40347222222222223</v>
      </c>
      <c r="G1112" t="s">
        <v>129</v>
      </c>
      <c r="H1112" t="s">
        <v>130</v>
      </c>
      <c r="I1112" t="s">
        <v>162</v>
      </c>
      <c r="J1112" s="2">
        <v>46222</v>
      </c>
      <c r="K1112" s="1">
        <v>0.41666666666666669</v>
      </c>
      <c r="L1112" s="10">
        <f t="shared" si="164"/>
        <v>19.000000000000014</v>
      </c>
      <c r="M1112" s="1" t="str">
        <f t="shared" si="170"/>
        <v>On Time</v>
      </c>
      <c r="N1112" s="27" t="str">
        <f t="shared" si="165"/>
        <v>Ryanair</v>
      </c>
      <c r="O1112" s="3" t="s">
        <v>1385</v>
      </c>
      <c r="P1112" s="20">
        <f t="shared" si="166"/>
        <v>9</v>
      </c>
      <c r="Q1112" s="3" t="s">
        <v>1385</v>
      </c>
      <c r="R1112" s="23" t="str">
        <f t="shared" si="167"/>
        <v>Sunday</v>
      </c>
      <c r="S1112" s="3" t="s">
        <v>1385</v>
      </c>
      <c r="T1112" s="23" t="s">
        <v>85</v>
      </c>
      <c r="U1112" s="3" t="s">
        <v>1385</v>
      </c>
      <c r="AO1112" s="15"/>
      <c r="AP1112" s="15"/>
      <c r="AQ1112" s="15"/>
      <c r="AR1112" s="23"/>
      <c r="AS1112" s="15"/>
      <c r="AT1112" s="15"/>
      <c r="AU1112" s="23"/>
      <c r="AV1112" s="23"/>
    </row>
    <row r="1113" spans="1:48" x14ac:dyDescent="0.25">
      <c r="A1113" t="s">
        <v>95</v>
      </c>
      <c r="B1113" t="s">
        <v>96</v>
      </c>
      <c r="C1113" s="10">
        <v>-58</v>
      </c>
      <c r="D1113" t="s">
        <v>995</v>
      </c>
      <c r="E1113" s="2">
        <f t="shared" si="169"/>
        <v>46222</v>
      </c>
      <c r="F1113" s="3">
        <f t="shared" si="168"/>
        <v>0.46249999999999997</v>
      </c>
      <c r="G1113" t="s">
        <v>98</v>
      </c>
      <c r="H1113" t="s">
        <v>99</v>
      </c>
      <c r="I1113" t="s">
        <v>210</v>
      </c>
      <c r="J1113" s="2">
        <v>46222</v>
      </c>
      <c r="K1113" s="1">
        <v>0.44791666666666669</v>
      </c>
      <c r="L1113" s="10">
        <f t="shared" si="164"/>
        <v>-20.999999999999925</v>
      </c>
      <c r="M1113" s="1" t="str">
        <f t="shared" si="170"/>
        <v>Delayed</v>
      </c>
      <c r="N1113" s="27" t="str">
        <f t="shared" si="165"/>
        <v>Turkish Airlines</v>
      </c>
      <c r="O1113" s="3" t="s">
        <v>1318</v>
      </c>
      <c r="P1113" s="20">
        <f t="shared" si="166"/>
        <v>11</v>
      </c>
      <c r="Q1113" s="3" t="s">
        <v>1318</v>
      </c>
      <c r="R1113" s="23" t="str">
        <f t="shared" si="167"/>
        <v>Sunday</v>
      </c>
      <c r="S1113" s="3" t="s">
        <v>1318</v>
      </c>
      <c r="T1113" s="23" t="s">
        <v>96</v>
      </c>
      <c r="U1113" s="3" t="s">
        <v>1318</v>
      </c>
      <c r="AO1113" s="15"/>
      <c r="AP1113" s="15"/>
      <c r="AQ1113" s="15"/>
      <c r="AR1113" s="23"/>
      <c r="AS1113" s="15"/>
      <c r="AT1113" s="15"/>
      <c r="AU1113" s="23"/>
      <c r="AV1113" s="23"/>
    </row>
    <row r="1114" spans="1:48" x14ac:dyDescent="0.25">
      <c r="A1114" t="s">
        <v>150</v>
      </c>
      <c r="B1114" t="s">
        <v>151</v>
      </c>
      <c r="C1114" s="10">
        <v>-6</v>
      </c>
      <c r="D1114" t="s">
        <v>1117</v>
      </c>
      <c r="E1114" s="2">
        <f t="shared" si="169"/>
        <v>46222</v>
      </c>
      <c r="F1114" s="3">
        <f t="shared" si="168"/>
        <v>0.46597222222222223</v>
      </c>
      <c r="G1114" t="s">
        <v>153</v>
      </c>
      <c r="H1114" t="s">
        <v>154</v>
      </c>
      <c r="I1114" t="s">
        <v>155</v>
      </c>
      <c r="J1114" s="2">
        <v>46222</v>
      </c>
      <c r="K1114" s="1">
        <v>0.47569444444444442</v>
      </c>
      <c r="L1114" s="10">
        <f t="shared" si="164"/>
        <v>13.99999999999995</v>
      </c>
      <c r="M1114" s="1" t="str">
        <f t="shared" si="170"/>
        <v>On Time</v>
      </c>
      <c r="N1114" s="27" t="e">
        <f t="shared" si="165"/>
        <v>#N/A</v>
      </c>
      <c r="O1114" s="3" t="s">
        <v>1385</v>
      </c>
      <c r="P1114" s="20">
        <f t="shared" si="166"/>
        <v>11</v>
      </c>
      <c r="Q1114" s="3" t="s">
        <v>1385</v>
      </c>
      <c r="R1114" s="23" t="str">
        <f t="shared" si="167"/>
        <v>Sunday</v>
      </c>
      <c r="S1114" s="3" t="s">
        <v>1385</v>
      </c>
      <c r="T1114" s="23" t="s">
        <v>151</v>
      </c>
      <c r="U1114" s="3" t="s">
        <v>1385</v>
      </c>
      <c r="AO1114" s="15"/>
      <c r="AP1114" s="15"/>
      <c r="AQ1114" s="15"/>
      <c r="AR1114" s="23"/>
      <c r="AS1114" s="15"/>
      <c r="AT1114" s="15"/>
      <c r="AU1114" s="23"/>
      <c r="AV1114" s="23"/>
    </row>
    <row r="1115" spans="1:48" x14ac:dyDescent="0.25">
      <c r="A1115" t="s">
        <v>28</v>
      </c>
      <c r="B1115" t="s">
        <v>7</v>
      </c>
      <c r="C1115" s="10">
        <v>-5</v>
      </c>
      <c r="D1115" t="s">
        <v>996</v>
      </c>
      <c r="E1115" s="2">
        <f t="shared" si="169"/>
        <v>46222</v>
      </c>
      <c r="F1115" s="3">
        <f t="shared" si="168"/>
        <v>0.46388888888888885</v>
      </c>
      <c r="G1115" t="s">
        <v>30</v>
      </c>
      <c r="H1115" t="s">
        <v>31</v>
      </c>
      <c r="I1115" t="s">
        <v>11</v>
      </c>
      <c r="J1115" s="2">
        <v>46222</v>
      </c>
      <c r="K1115" s="1">
        <v>0.4826388888888889</v>
      </c>
      <c r="L1115" s="10">
        <f t="shared" si="164"/>
        <v>27.000000000000064</v>
      </c>
      <c r="M1115" s="1" t="str">
        <f t="shared" si="170"/>
        <v>On Time</v>
      </c>
      <c r="N1115" s="27" t="str">
        <f t="shared" si="165"/>
        <v>airBaltic</v>
      </c>
      <c r="O1115" s="3" t="s">
        <v>1385</v>
      </c>
      <c r="P1115" s="20">
        <f t="shared" si="166"/>
        <v>11</v>
      </c>
      <c r="Q1115" s="3" t="s">
        <v>1385</v>
      </c>
      <c r="R1115" s="23" t="str">
        <f t="shared" si="167"/>
        <v>Sunday</v>
      </c>
      <c r="S1115" s="3" t="s">
        <v>1385</v>
      </c>
      <c r="T1115" s="23" t="s">
        <v>7</v>
      </c>
      <c r="U1115" s="3" t="s">
        <v>1385</v>
      </c>
      <c r="AO1115" s="15"/>
      <c r="AP1115" s="15"/>
      <c r="AQ1115" s="15"/>
      <c r="AR1115" s="23"/>
      <c r="AS1115" s="15"/>
      <c r="AT1115" s="15"/>
      <c r="AU1115" s="23"/>
      <c r="AV1115" s="23"/>
    </row>
    <row r="1116" spans="1:48" x14ac:dyDescent="0.25">
      <c r="A1116" t="s">
        <v>351</v>
      </c>
      <c r="B1116" t="s">
        <v>85</v>
      </c>
      <c r="C1116" s="10">
        <v>0</v>
      </c>
      <c r="D1116" t="s">
        <v>1090</v>
      </c>
      <c r="E1116" s="2">
        <f t="shared" si="169"/>
        <v>46222</v>
      </c>
      <c r="F1116" s="3">
        <f t="shared" si="168"/>
        <v>0.47083333333333338</v>
      </c>
      <c r="G1116" t="s">
        <v>252</v>
      </c>
      <c r="H1116" t="s">
        <v>352</v>
      </c>
      <c r="I1116" t="s">
        <v>89</v>
      </c>
      <c r="J1116" s="2">
        <v>46222</v>
      </c>
      <c r="K1116" s="1">
        <v>0.48958333333333331</v>
      </c>
      <c r="L1116" s="10">
        <f t="shared" si="164"/>
        <v>26.999999999999904</v>
      </c>
      <c r="M1116" s="1" t="str">
        <f t="shared" si="170"/>
        <v>On Time</v>
      </c>
      <c r="N1116" s="27" t="str">
        <f t="shared" si="165"/>
        <v>Ryanair</v>
      </c>
      <c r="O1116" s="3" t="s">
        <v>1385</v>
      </c>
      <c r="P1116" s="20">
        <f t="shared" si="166"/>
        <v>11</v>
      </c>
      <c r="Q1116" s="3" t="s">
        <v>1385</v>
      </c>
      <c r="R1116" s="23" t="str">
        <f t="shared" si="167"/>
        <v>Sunday</v>
      </c>
      <c r="S1116" s="3" t="s">
        <v>1385</v>
      </c>
      <c r="T1116" s="23" t="s">
        <v>85</v>
      </c>
      <c r="U1116" s="3" t="s">
        <v>1385</v>
      </c>
      <c r="AO1116" s="15"/>
      <c r="AP1116" s="15"/>
      <c r="AQ1116" s="15"/>
      <c r="AR1116" s="23"/>
      <c r="AS1116" s="15"/>
      <c r="AT1116" s="15"/>
      <c r="AU1116" s="23"/>
      <c r="AV1116" s="23"/>
    </row>
    <row r="1117" spans="1:48" x14ac:dyDescent="0.25">
      <c r="A1117" t="s">
        <v>32</v>
      </c>
      <c r="B1117" t="s">
        <v>13</v>
      </c>
      <c r="C1117" s="10">
        <v>-7</v>
      </c>
      <c r="D1117" t="s">
        <v>1118</v>
      </c>
      <c r="E1117" s="2">
        <f t="shared" si="169"/>
        <v>46222</v>
      </c>
      <c r="F1117" s="3">
        <f t="shared" si="168"/>
        <v>0.47430555555555554</v>
      </c>
      <c r="G1117" t="s">
        <v>34</v>
      </c>
      <c r="H1117" t="s">
        <v>35</v>
      </c>
      <c r="I1117" t="s">
        <v>17</v>
      </c>
      <c r="J1117" s="2">
        <v>46222</v>
      </c>
      <c r="K1117" s="1">
        <v>0.48958333333333331</v>
      </c>
      <c r="L1117" s="10">
        <f t="shared" si="164"/>
        <v>22</v>
      </c>
      <c r="M1117" s="1" t="str">
        <f t="shared" si="170"/>
        <v>On Time</v>
      </c>
      <c r="N1117" s="27" t="str">
        <f t="shared" si="165"/>
        <v>Wizz Air</v>
      </c>
      <c r="O1117" s="3" t="s">
        <v>1385</v>
      </c>
      <c r="P1117" s="20">
        <f t="shared" si="166"/>
        <v>11</v>
      </c>
      <c r="Q1117" s="3" t="s">
        <v>1385</v>
      </c>
      <c r="R1117" s="23" t="str">
        <f t="shared" si="167"/>
        <v>Sunday</v>
      </c>
      <c r="S1117" s="3" t="s">
        <v>1385</v>
      </c>
      <c r="T1117" s="23" t="s">
        <v>13</v>
      </c>
      <c r="U1117" s="3" t="s">
        <v>1385</v>
      </c>
      <c r="AO1117" s="15"/>
      <c r="AP1117" s="15"/>
      <c r="AQ1117" s="15"/>
      <c r="AR1117" s="23"/>
      <c r="AS1117" s="15"/>
      <c r="AT1117" s="15"/>
      <c r="AU1117" s="23"/>
      <c r="AV1117" s="23"/>
    </row>
    <row r="1118" spans="1:48" x14ac:dyDescent="0.25">
      <c r="A1118" t="s">
        <v>184</v>
      </c>
      <c r="B1118" t="s">
        <v>85</v>
      </c>
      <c r="C1118" s="10">
        <v>0</v>
      </c>
      <c r="D1118" t="s">
        <v>500</v>
      </c>
      <c r="E1118" s="2">
        <f t="shared" si="169"/>
        <v>46222</v>
      </c>
      <c r="F1118" s="3">
        <f t="shared" si="168"/>
        <v>0.48958333333333331</v>
      </c>
      <c r="G1118" t="s">
        <v>153</v>
      </c>
      <c r="H1118" t="s">
        <v>154</v>
      </c>
      <c r="I1118" t="s">
        <v>89</v>
      </c>
      <c r="J1118" s="2">
        <v>46222</v>
      </c>
      <c r="K1118" s="1">
        <v>0.50694444444444442</v>
      </c>
      <c r="L1118" s="10">
        <f t="shared" si="164"/>
        <v>24.999999999999993</v>
      </c>
      <c r="M1118" s="1" t="str">
        <f t="shared" si="170"/>
        <v>On Time</v>
      </c>
      <c r="N1118" s="27" t="str">
        <f t="shared" si="165"/>
        <v>Ryanair</v>
      </c>
      <c r="O1118" s="3" t="s">
        <v>1385</v>
      </c>
      <c r="P1118" s="20">
        <f t="shared" si="166"/>
        <v>11</v>
      </c>
      <c r="Q1118" s="3" t="s">
        <v>1385</v>
      </c>
      <c r="R1118" s="23" t="str">
        <f t="shared" si="167"/>
        <v>Sunday</v>
      </c>
      <c r="S1118" s="3" t="s">
        <v>1385</v>
      </c>
      <c r="T1118" s="23" t="s">
        <v>85</v>
      </c>
      <c r="U1118" s="3" t="s">
        <v>1385</v>
      </c>
      <c r="AO1118" s="15"/>
      <c r="AP1118" s="15"/>
      <c r="AQ1118" s="15"/>
      <c r="AR1118" s="23"/>
      <c r="AS1118" s="15"/>
      <c r="AT1118" s="15"/>
      <c r="AU1118" s="23"/>
      <c r="AV1118" s="23"/>
    </row>
    <row r="1119" spans="1:48" x14ac:dyDescent="0.25">
      <c r="A1119" t="s">
        <v>306</v>
      </c>
      <c r="B1119" t="s">
        <v>239</v>
      </c>
      <c r="D1119" t="s">
        <v>1119</v>
      </c>
      <c r="E1119" s="2">
        <f t="shared" si="169"/>
        <v>46222</v>
      </c>
      <c r="F1119" s="3">
        <f t="shared" si="168"/>
        <v>0.50902777777777775</v>
      </c>
      <c r="G1119" t="s">
        <v>308</v>
      </c>
      <c r="H1119" t="s">
        <v>309</v>
      </c>
      <c r="I1119" t="s">
        <v>83</v>
      </c>
      <c r="J1119" s="2">
        <v>46222</v>
      </c>
      <c r="K1119" s="1">
        <v>0.50694444444444442</v>
      </c>
      <c r="L1119" s="10">
        <f t="shared" si="164"/>
        <v>-2.9999999999999893</v>
      </c>
      <c r="M1119" s="1" t="str">
        <f t="shared" si="170"/>
        <v>On Time</v>
      </c>
      <c r="N1119" s="27" t="str">
        <f t="shared" si="165"/>
        <v>Eurowings</v>
      </c>
      <c r="O1119" s="3" t="s">
        <v>1385</v>
      </c>
      <c r="P1119" s="20">
        <f t="shared" si="166"/>
        <v>12</v>
      </c>
      <c r="Q1119" s="3" t="s">
        <v>1385</v>
      </c>
      <c r="R1119" s="23" t="str">
        <f t="shared" si="167"/>
        <v>Sunday</v>
      </c>
      <c r="S1119" s="3" t="s">
        <v>1385</v>
      </c>
      <c r="T1119" s="23" t="s">
        <v>239</v>
      </c>
      <c r="U1119" s="3" t="s">
        <v>1385</v>
      </c>
      <c r="AO1119" s="15"/>
      <c r="AP1119" s="15"/>
      <c r="AQ1119" s="15"/>
      <c r="AR1119" s="23"/>
      <c r="AS1119" s="15"/>
      <c r="AT1119" s="15"/>
      <c r="AU1119" s="23"/>
      <c r="AV1119" s="23"/>
    </row>
    <row r="1120" spans="1:48" x14ac:dyDescent="0.25">
      <c r="A1120" t="s">
        <v>123</v>
      </c>
      <c r="B1120" t="s">
        <v>123</v>
      </c>
      <c r="D1120" t="s">
        <v>503</v>
      </c>
      <c r="E1120" s="2">
        <f t="shared" si="169"/>
        <v>46222</v>
      </c>
      <c r="F1120" s="3">
        <f t="shared" si="168"/>
        <v>0.53333333333333333</v>
      </c>
      <c r="G1120" t="s">
        <v>299</v>
      </c>
      <c r="H1120" t="s">
        <v>300</v>
      </c>
      <c r="I1120" t="s">
        <v>614</v>
      </c>
      <c r="J1120" s="2">
        <v>46222</v>
      </c>
      <c r="K1120" s="1">
        <v>0.51041666666666663</v>
      </c>
      <c r="L1120" s="10">
        <f t="shared" si="164"/>
        <v>-33.000000000000043</v>
      </c>
      <c r="M1120" s="1" t="str">
        <f t="shared" si="170"/>
        <v>Delayed</v>
      </c>
      <c r="N1120" s="27" t="e">
        <f t="shared" si="165"/>
        <v>#N/A</v>
      </c>
      <c r="O1120" s="3" t="s">
        <v>1318</v>
      </c>
      <c r="P1120" s="20">
        <f t="shared" si="166"/>
        <v>12</v>
      </c>
      <c r="Q1120" s="3" t="s">
        <v>1318</v>
      </c>
      <c r="R1120" s="23" t="str">
        <f t="shared" si="167"/>
        <v>Sunday</v>
      </c>
      <c r="S1120" s="3" t="s">
        <v>1318</v>
      </c>
      <c r="T1120" s="23" t="s">
        <v>123</v>
      </c>
      <c r="U1120" s="3" t="s">
        <v>1318</v>
      </c>
      <c r="AO1120" s="15"/>
      <c r="AP1120" s="15"/>
      <c r="AQ1120" s="15"/>
      <c r="AR1120" s="23"/>
      <c r="AS1120" s="15"/>
      <c r="AT1120" s="15"/>
      <c r="AU1120" s="23"/>
      <c r="AV1120" s="23"/>
    </row>
    <row r="1121" spans="1:48" x14ac:dyDescent="0.25">
      <c r="A1121" t="s">
        <v>204</v>
      </c>
      <c r="B1121" t="s">
        <v>7</v>
      </c>
      <c r="C1121" s="10">
        <v>-22</v>
      </c>
      <c r="D1121" t="s">
        <v>898</v>
      </c>
      <c r="E1121" s="2">
        <f t="shared" si="169"/>
        <v>46222</v>
      </c>
      <c r="F1121" s="3">
        <f t="shared" si="168"/>
        <v>0.52361111111111114</v>
      </c>
      <c r="G1121" t="s">
        <v>206</v>
      </c>
      <c r="H1121" t="s">
        <v>207</v>
      </c>
      <c r="I1121" t="s">
        <v>11</v>
      </c>
      <c r="J1121" s="2">
        <v>46222</v>
      </c>
      <c r="K1121" s="1">
        <v>0.52777777777777779</v>
      </c>
      <c r="L1121" s="10">
        <f t="shared" si="164"/>
        <v>5.9999999999999787</v>
      </c>
      <c r="M1121" s="1" t="str">
        <f t="shared" si="170"/>
        <v>On Time</v>
      </c>
      <c r="N1121" s="27" t="str">
        <f t="shared" si="165"/>
        <v>airBaltic</v>
      </c>
      <c r="O1121" s="3" t="s">
        <v>1385</v>
      </c>
      <c r="P1121" s="20">
        <f t="shared" si="166"/>
        <v>12</v>
      </c>
      <c r="Q1121" s="3" t="s">
        <v>1385</v>
      </c>
      <c r="R1121" s="23" t="str">
        <f t="shared" si="167"/>
        <v>Sunday</v>
      </c>
      <c r="S1121" s="3" t="s">
        <v>1385</v>
      </c>
      <c r="T1121" s="23" t="s">
        <v>7</v>
      </c>
      <c r="U1121" s="3" t="s">
        <v>1385</v>
      </c>
      <c r="AO1121" s="15"/>
      <c r="AP1121" s="15"/>
      <c r="AQ1121" s="15"/>
      <c r="AR1121" s="23"/>
      <c r="AS1121" s="15"/>
      <c r="AT1121" s="15"/>
      <c r="AU1121" s="23"/>
      <c r="AV1121" s="23"/>
    </row>
    <row r="1122" spans="1:48" x14ac:dyDescent="0.25">
      <c r="A1122" t="s">
        <v>108</v>
      </c>
      <c r="B1122" t="s">
        <v>190</v>
      </c>
      <c r="C1122" s="10">
        <v>-30</v>
      </c>
      <c r="D1122" t="s">
        <v>1120</v>
      </c>
      <c r="E1122" s="2">
        <f t="shared" si="169"/>
        <v>46222</v>
      </c>
      <c r="F1122" s="3">
        <f t="shared" si="168"/>
        <v>0.52916666666666667</v>
      </c>
      <c r="G1122" t="s">
        <v>110</v>
      </c>
      <c r="H1122" t="s">
        <v>111</v>
      </c>
      <c r="I1122" t="s">
        <v>260</v>
      </c>
      <c r="J1122" s="2">
        <v>46222</v>
      </c>
      <c r="K1122" s="1">
        <v>0.52777777777777779</v>
      </c>
      <c r="L1122" s="10">
        <f t="shared" si="164"/>
        <v>-1.9999999999999929</v>
      </c>
      <c r="M1122" s="1" t="str">
        <f t="shared" si="170"/>
        <v>On Time</v>
      </c>
      <c r="N1122" s="27" t="str">
        <f t="shared" si="165"/>
        <v>Lufthansa</v>
      </c>
      <c r="O1122" s="3" t="s">
        <v>1385</v>
      </c>
      <c r="P1122" s="20">
        <f t="shared" si="166"/>
        <v>12</v>
      </c>
      <c r="Q1122" s="3" t="s">
        <v>1385</v>
      </c>
      <c r="R1122" s="23" t="str">
        <f t="shared" si="167"/>
        <v>Sunday</v>
      </c>
      <c r="S1122" s="3" t="s">
        <v>1385</v>
      </c>
      <c r="T1122" s="23" t="s">
        <v>190</v>
      </c>
      <c r="U1122" s="3" t="s">
        <v>1385</v>
      </c>
      <c r="AO1122" s="15"/>
      <c r="AP1122" s="15"/>
      <c r="AQ1122" s="15"/>
      <c r="AR1122" s="23"/>
      <c r="AS1122" s="15"/>
      <c r="AT1122" s="15"/>
      <c r="AU1122" s="23"/>
      <c r="AV1122" s="23"/>
    </row>
    <row r="1123" spans="1:48" x14ac:dyDescent="0.25">
      <c r="A1123" t="s">
        <v>113</v>
      </c>
      <c r="B1123" t="s">
        <v>13</v>
      </c>
      <c r="C1123" s="10">
        <v>-76</v>
      </c>
      <c r="D1123" t="s">
        <v>1121</v>
      </c>
      <c r="E1123" s="2">
        <f t="shared" si="169"/>
        <v>46222</v>
      </c>
      <c r="F1123" s="3">
        <f t="shared" si="168"/>
        <v>0.56319444444444444</v>
      </c>
      <c r="G1123" t="s">
        <v>102</v>
      </c>
      <c r="H1123" t="s">
        <v>115</v>
      </c>
      <c r="I1123" t="s">
        <v>17</v>
      </c>
      <c r="J1123" s="2">
        <v>46222</v>
      </c>
      <c r="K1123" s="1">
        <v>0.53472222222222221</v>
      </c>
      <c r="L1123" s="10">
        <f t="shared" si="164"/>
        <v>-41.000000000000014</v>
      </c>
      <c r="M1123" s="1" t="str">
        <f t="shared" si="170"/>
        <v>Delayed</v>
      </c>
      <c r="N1123" s="27" t="str">
        <f t="shared" si="165"/>
        <v>Wizz Air</v>
      </c>
      <c r="O1123" s="3" t="s">
        <v>1318</v>
      </c>
      <c r="P1123" s="20">
        <f t="shared" si="166"/>
        <v>13</v>
      </c>
      <c r="Q1123" s="3" t="s">
        <v>1318</v>
      </c>
      <c r="R1123" s="23" t="str">
        <f t="shared" si="167"/>
        <v>Sunday</v>
      </c>
      <c r="S1123" s="3" t="s">
        <v>1318</v>
      </c>
      <c r="T1123" s="23" t="s">
        <v>13</v>
      </c>
      <c r="U1123" s="3" t="s">
        <v>1318</v>
      </c>
      <c r="AO1123" s="15"/>
      <c r="AP1123" s="15"/>
      <c r="AQ1123" s="15"/>
      <c r="AR1123" s="23"/>
      <c r="AS1123" s="15"/>
      <c r="AT1123" s="15"/>
      <c r="AU1123" s="23"/>
      <c r="AV1123" s="23"/>
    </row>
    <row r="1124" spans="1:48" x14ac:dyDescent="0.25">
      <c r="A1124" t="s">
        <v>121</v>
      </c>
      <c r="B1124" t="s">
        <v>69</v>
      </c>
      <c r="C1124" s="10">
        <v>-6</v>
      </c>
      <c r="D1124" t="s">
        <v>504</v>
      </c>
      <c r="E1124" s="2">
        <f t="shared" si="169"/>
        <v>46222</v>
      </c>
      <c r="F1124" s="3">
        <f t="shared" si="168"/>
        <v>0.53819444444444442</v>
      </c>
      <c r="G1124" t="s">
        <v>71</v>
      </c>
      <c r="H1124" t="s">
        <v>72</v>
      </c>
      <c r="I1124" t="s">
        <v>73</v>
      </c>
      <c r="J1124" s="2">
        <v>46222</v>
      </c>
      <c r="K1124" s="1">
        <v>0.54166666666666663</v>
      </c>
      <c r="L1124" s="10">
        <f t="shared" si="164"/>
        <v>4.9999999999999822</v>
      </c>
      <c r="M1124" s="1" t="str">
        <f t="shared" si="170"/>
        <v>On Time</v>
      </c>
      <c r="N1124" s="27" t="str">
        <f t="shared" si="165"/>
        <v>Finnair</v>
      </c>
      <c r="O1124" s="3" t="s">
        <v>1385</v>
      </c>
      <c r="P1124" s="20">
        <f t="shared" si="166"/>
        <v>12</v>
      </c>
      <c r="Q1124" s="3" t="s">
        <v>1385</v>
      </c>
      <c r="R1124" s="23" t="str">
        <f t="shared" si="167"/>
        <v>Sunday</v>
      </c>
      <c r="S1124" s="3" t="s">
        <v>1385</v>
      </c>
      <c r="T1124" s="23" t="s">
        <v>69</v>
      </c>
      <c r="U1124" s="3" t="s">
        <v>1385</v>
      </c>
      <c r="AO1124" s="15"/>
      <c r="AP1124" s="15"/>
      <c r="AQ1124" s="15"/>
      <c r="AR1124" s="23"/>
      <c r="AS1124" s="15"/>
      <c r="AT1124" s="15"/>
      <c r="AU1124" s="23"/>
      <c r="AV1124" s="23"/>
    </row>
    <row r="1125" spans="1:48" x14ac:dyDescent="0.25">
      <c r="A1125" t="s">
        <v>62</v>
      </c>
      <c r="B1125" t="s">
        <v>63</v>
      </c>
      <c r="C1125" s="10">
        <v>-15</v>
      </c>
      <c r="D1125" t="s">
        <v>823</v>
      </c>
      <c r="E1125" s="2">
        <f t="shared" si="169"/>
        <v>46222</v>
      </c>
      <c r="F1125" s="3">
        <f t="shared" si="168"/>
        <v>0.53541666666666665</v>
      </c>
      <c r="G1125" t="s">
        <v>65</v>
      </c>
      <c r="H1125" t="s">
        <v>66</v>
      </c>
      <c r="I1125" t="s">
        <v>67</v>
      </c>
      <c r="J1125" s="2">
        <v>46222</v>
      </c>
      <c r="K1125" s="1">
        <v>0.54166666666666663</v>
      </c>
      <c r="L1125" s="10">
        <f t="shared" si="164"/>
        <v>8.999999999999968</v>
      </c>
      <c r="M1125" s="1" t="str">
        <f t="shared" si="170"/>
        <v>On Time</v>
      </c>
      <c r="N1125" s="27" t="e">
        <f t="shared" si="165"/>
        <v>#N/A</v>
      </c>
      <c r="O1125" s="3" t="s">
        <v>1385</v>
      </c>
      <c r="P1125" s="20">
        <f t="shared" si="166"/>
        <v>12</v>
      </c>
      <c r="Q1125" s="3" t="s">
        <v>1385</v>
      </c>
      <c r="R1125" s="23" t="str">
        <f t="shared" si="167"/>
        <v>Sunday</v>
      </c>
      <c r="S1125" s="3" t="s">
        <v>1385</v>
      </c>
      <c r="T1125" s="23" t="s">
        <v>63</v>
      </c>
      <c r="U1125" s="3" t="s">
        <v>1385</v>
      </c>
      <c r="AO1125" s="15"/>
      <c r="AP1125" s="15"/>
      <c r="AQ1125" s="15"/>
      <c r="AR1125" s="23"/>
      <c r="AS1125" s="15"/>
      <c r="AT1125" s="15"/>
      <c r="AU1125" s="23"/>
      <c r="AV1125" s="23"/>
    </row>
    <row r="1126" spans="1:48" x14ac:dyDescent="0.25">
      <c r="A1126" t="s">
        <v>506</v>
      </c>
      <c r="B1126" t="s">
        <v>117</v>
      </c>
      <c r="C1126" s="10">
        <v>-12</v>
      </c>
      <c r="D1126" t="s">
        <v>132</v>
      </c>
      <c r="E1126" s="2">
        <f t="shared" si="169"/>
        <v>46222</v>
      </c>
      <c r="F1126" s="3">
        <f t="shared" si="168"/>
        <v>0.54305555555555551</v>
      </c>
      <c r="G1126" t="s">
        <v>119</v>
      </c>
      <c r="H1126" t="s">
        <v>120</v>
      </c>
      <c r="I1126" t="s">
        <v>83</v>
      </c>
      <c r="J1126" s="2">
        <v>46222</v>
      </c>
      <c r="K1126" s="1">
        <v>0.54166666666666663</v>
      </c>
      <c r="L1126" s="10">
        <f t="shared" si="164"/>
        <v>-1.9999999999999929</v>
      </c>
      <c r="M1126" s="1" t="str">
        <f t="shared" si="170"/>
        <v>On Time</v>
      </c>
      <c r="N1126" s="27" t="str">
        <f t="shared" si="165"/>
        <v>Heston Airlines</v>
      </c>
      <c r="O1126" s="3" t="s">
        <v>1385</v>
      </c>
      <c r="P1126" s="20">
        <f t="shared" si="166"/>
        <v>13</v>
      </c>
      <c r="Q1126" s="3" t="s">
        <v>1385</v>
      </c>
      <c r="R1126" s="23" t="str">
        <f t="shared" si="167"/>
        <v>Sunday</v>
      </c>
      <c r="S1126" s="3" t="s">
        <v>1385</v>
      </c>
      <c r="T1126" s="23" t="s">
        <v>117</v>
      </c>
      <c r="U1126" s="3" t="s">
        <v>1385</v>
      </c>
      <c r="AO1126" s="15"/>
      <c r="AP1126" s="15"/>
      <c r="AQ1126" s="15"/>
      <c r="AR1126" s="23"/>
      <c r="AS1126" s="15"/>
      <c r="AT1126" s="15"/>
      <c r="AU1126" s="23"/>
      <c r="AV1126" s="23"/>
    </row>
    <row r="1127" spans="1:48" x14ac:dyDescent="0.25">
      <c r="A1127" t="s">
        <v>133</v>
      </c>
      <c r="B1127" t="s">
        <v>7</v>
      </c>
      <c r="C1127" s="10">
        <v>-23</v>
      </c>
      <c r="D1127" t="s">
        <v>434</v>
      </c>
      <c r="E1127" s="2">
        <f t="shared" si="169"/>
        <v>46222</v>
      </c>
      <c r="F1127" s="3">
        <f t="shared" si="168"/>
        <v>0.55972222222222223</v>
      </c>
      <c r="G1127" t="s">
        <v>135</v>
      </c>
      <c r="H1127" t="s">
        <v>136</v>
      </c>
      <c r="I1127" t="s">
        <v>11</v>
      </c>
      <c r="J1127" s="2">
        <v>46222</v>
      </c>
      <c r="K1127" s="1">
        <v>0.55902777777777779</v>
      </c>
      <c r="L1127" s="10">
        <f t="shared" si="164"/>
        <v>-0.99999999999999645</v>
      </c>
      <c r="M1127" s="1" t="str">
        <f t="shared" si="170"/>
        <v>On Time</v>
      </c>
      <c r="N1127" s="27" t="str">
        <f t="shared" si="165"/>
        <v>airBaltic</v>
      </c>
      <c r="O1127" s="3" t="s">
        <v>1385</v>
      </c>
      <c r="P1127" s="20">
        <f t="shared" si="166"/>
        <v>13</v>
      </c>
      <c r="Q1127" s="3" t="s">
        <v>1385</v>
      </c>
      <c r="R1127" s="23" t="str">
        <f t="shared" si="167"/>
        <v>Sunday</v>
      </c>
      <c r="S1127" s="3" t="s">
        <v>1385</v>
      </c>
      <c r="T1127" s="23" t="s">
        <v>7</v>
      </c>
      <c r="U1127" s="3" t="s">
        <v>1385</v>
      </c>
      <c r="AO1127" s="15"/>
      <c r="AP1127" s="15"/>
      <c r="AQ1127" s="15"/>
      <c r="AR1127" s="23"/>
      <c r="AS1127" s="15"/>
      <c r="AT1127" s="15"/>
      <c r="AU1127" s="23"/>
      <c r="AV1127" s="23"/>
    </row>
    <row r="1128" spans="1:48" x14ac:dyDescent="0.25">
      <c r="A1128" t="s">
        <v>123</v>
      </c>
      <c r="B1128" t="s">
        <v>124</v>
      </c>
      <c r="D1128" t="s">
        <v>1004</v>
      </c>
      <c r="E1128" s="2">
        <f t="shared" si="169"/>
        <v>46222</v>
      </c>
      <c r="F1128" s="3">
        <f t="shared" si="168"/>
        <v>0.54513888888888895</v>
      </c>
      <c r="G1128" t="s">
        <v>119</v>
      </c>
      <c r="H1128" t="s">
        <v>120</v>
      </c>
      <c r="I1128" t="s">
        <v>126</v>
      </c>
      <c r="J1128" s="2">
        <v>46222</v>
      </c>
      <c r="K1128" s="1">
        <v>0.56041666666666667</v>
      </c>
      <c r="L1128" s="10">
        <f t="shared" si="164"/>
        <v>21.999999999999922</v>
      </c>
      <c r="M1128" s="1" t="str">
        <f t="shared" si="170"/>
        <v>On Time</v>
      </c>
      <c r="N1128" s="27" t="str">
        <f t="shared" si="165"/>
        <v>GetJet Airlines</v>
      </c>
      <c r="O1128" s="3" t="s">
        <v>1385</v>
      </c>
      <c r="P1128" s="20">
        <f t="shared" si="166"/>
        <v>13</v>
      </c>
      <c r="Q1128" s="3" t="s">
        <v>1385</v>
      </c>
      <c r="R1128" s="23" t="str">
        <f t="shared" si="167"/>
        <v>Sunday</v>
      </c>
      <c r="S1128" s="3" t="s">
        <v>1385</v>
      </c>
      <c r="T1128" s="23" t="s">
        <v>124</v>
      </c>
      <c r="U1128" s="3" t="s">
        <v>1385</v>
      </c>
      <c r="AO1128" s="15"/>
      <c r="AP1128" s="15"/>
      <c r="AQ1128" s="15"/>
      <c r="AR1128" s="23"/>
      <c r="AS1128" s="15"/>
      <c r="AT1128" s="15"/>
      <c r="AU1128" s="23"/>
      <c r="AV1128" s="23"/>
    </row>
    <row r="1129" spans="1:48" x14ac:dyDescent="0.25">
      <c r="A1129" t="s">
        <v>1122</v>
      </c>
      <c r="B1129" t="s">
        <v>1123</v>
      </c>
      <c r="D1129" t="s">
        <v>326</v>
      </c>
      <c r="E1129" s="2">
        <f t="shared" si="169"/>
        <v>46222</v>
      </c>
      <c r="F1129" s="3">
        <f t="shared" si="168"/>
        <v>0.57986111111111105</v>
      </c>
      <c r="G1129" t="s">
        <v>256</v>
      </c>
      <c r="H1129" t="s">
        <v>257</v>
      </c>
      <c r="I1129" t="s">
        <v>1124</v>
      </c>
      <c r="J1129" s="2">
        <v>46222</v>
      </c>
      <c r="K1129" s="1">
        <v>0.56666666666666665</v>
      </c>
      <c r="L1129" s="10">
        <f t="shared" si="164"/>
        <v>-18.999999999999932</v>
      </c>
      <c r="M1129" s="1" t="str">
        <f t="shared" si="170"/>
        <v>Delayed</v>
      </c>
      <c r="N1129" s="27" t="e">
        <f t="shared" si="165"/>
        <v>#N/A</v>
      </c>
      <c r="O1129" s="3" t="s">
        <v>1318</v>
      </c>
      <c r="P1129" s="20">
        <f t="shared" si="166"/>
        <v>13</v>
      </c>
      <c r="Q1129" s="3" t="s">
        <v>1318</v>
      </c>
      <c r="R1129" s="23" t="str">
        <f t="shared" si="167"/>
        <v>Sunday</v>
      </c>
      <c r="S1129" s="3" t="s">
        <v>1318</v>
      </c>
      <c r="T1129" s="23" t="s">
        <v>1123</v>
      </c>
      <c r="U1129" s="3" t="s">
        <v>1318</v>
      </c>
      <c r="AO1129" s="15"/>
      <c r="AP1129" s="15"/>
      <c r="AQ1129" s="15"/>
      <c r="AR1129" s="23"/>
      <c r="AS1129" s="15"/>
      <c r="AT1129" s="15"/>
      <c r="AU1129" s="23"/>
      <c r="AV1129" s="23"/>
    </row>
    <row r="1130" spans="1:48" x14ac:dyDescent="0.25">
      <c r="A1130" t="s">
        <v>141</v>
      </c>
      <c r="B1130" t="s">
        <v>19</v>
      </c>
      <c r="D1130" t="s">
        <v>1005</v>
      </c>
      <c r="E1130" s="2">
        <f t="shared" si="169"/>
        <v>46222</v>
      </c>
      <c r="F1130" s="3">
        <f t="shared" si="168"/>
        <v>0.57777777777777783</v>
      </c>
      <c r="G1130" t="s">
        <v>21</v>
      </c>
      <c r="H1130" t="s">
        <v>22</v>
      </c>
      <c r="I1130" t="s">
        <v>237</v>
      </c>
      <c r="J1130" s="2">
        <v>46222</v>
      </c>
      <c r="K1130" s="1">
        <v>0.57638888888888895</v>
      </c>
      <c r="L1130" s="10">
        <f t="shared" si="164"/>
        <v>-1.9999999999999929</v>
      </c>
      <c r="M1130" s="1" t="str">
        <f t="shared" si="170"/>
        <v>On Time</v>
      </c>
      <c r="N1130" s="27" t="str">
        <f t="shared" si="165"/>
        <v>LOT</v>
      </c>
      <c r="O1130" s="3" t="s">
        <v>1385</v>
      </c>
      <c r="P1130" s="20">
        <f t="shared" si="166"/>
        <v>13</v>
      </c>
      <c r="Q1130" s="3" t="s">
        <v>1385</v>
      </c>
      <c r="R1130" s="23" t="str">
        <f t="shared" si="167"/>
        <v>Sunday</v>
      </c>
      <c r="S1130" s="3" t="s">
        <v>1385</v>
      </c>
      <c r="T1130" s="23" t="s">
        <v>19</v>
      </c>
      <c r="U1130" s="3" t="s">
        <v>1385</v>
      </c>
      <c r="AO1130" s="15"/>
      <c r="AP1130" s="15"/>
      <c r="AQ1130" s="15"/>
      <c r="AR1130" s="23"/>
      <c r="AS1130" s="15"/>
      <c r="AT1130" s="15"/>
      <c r="AU1130" s="23"/>
      <c r="AV1130" s="23"/>
    </row>
    <row r="1131" spans="1:48" x14ac:dyDescent="0.25">
      <c r="A1131" t="s">
        <v>327</v>
      </c>
      <c r="B1131" t="s">
        <v>13</v>
      </c>
      <c r="C1131" s="10">
        <v>-20</v>
      </c>
      <c r="D1131" t="s">
        <v>713</v>
      </c>
      <c r="E1131" s="2">
        <f t="shared" si="169"/>
        <v>46222</v>
      </c>
      <c r="F1131" s="3">
        <f t="shared" si="168"/>
        <v>0.58680555555555558</v>
      </c>
      <c r="G1131" t="s">
        <v>329</v>
      </c>
      <c r="H1131" t="s">
        <v>330</v>
      </c>
      <c r="I1131" t="s">
        <v>17</v>
      </c>
      <c r="J1131" s="2">
        <v>46222</v>
      </c>
      <c r="K1131" s="1">
        <v>0.59027777777777779</v>
      </c>
      <c r="L1131" s="10">
        <f t="shared" si="164"/>
        <v>4.9999999999999822</v>
      </c>
      <c r="M1131" s="1" t="str">
        <f t="shared" si="170"/>
        <v>On Time</v>
      </c>
      <c r="N1131" s="27" t="str">
        <f t="shared" si="165"/>
        <v>Wizz Air</v>
      </c>
      <c r="O1131" s="3" t="s">
        <v>1385</v>
      </c>
      <c r="P1131" s="20">
        <f t="shared" si="166"/>
        <v>14</v>
      </c>
      <c r="Q1131" s="3" t="s">
        <v>1385</v>
      </c>
      <c r="R1131" s="23" t="str">
        <f t="shared" si="167"/>
        <v>Sunday</v>
      </c>
      <c r="S1131" s="3" t="s">
        <v>1385</v>
      </c>
      <c r="T1131" s="23" t="s">
        <v>13</v>
      </c>
      <c r="U1131" s="3" t="s">
        <v>1385</v>
      </c>
      <c r="AO1131" s="15"/>
      <c r="AP1131" s="15"/>
      <c r="AQ1131" s="15"/>
      <c r="AR1131" s="23"/>
      <c r="AS1131" s="15"/>
      <c r="AT1131" s="15"/>
      <c r="AU1131" s="23"/>
      <c r="AV1131" s="23"/>
    </row>
    <row r="1132" spans="1:48" x14ac:dyDescent="0.25">
      <c r="A1132" t="s">
        <v>512</v>
      </c>
      <c r="B1132" t="s">
        <v>513</v>
      </c>
      <c r="C1132" s="10">
        <v>-31</v>
      </c>
      <c r="D1132" t="s">
        <v>340</v>
      </c>
      <c r="E1132" s="2">
        <f t="shared" si="169"/>
        <v>46222</v>
      </c>
      <c r="F1132" s="3">
        <f t="shared" si="168"/>
        <v>0.63541666666666663</v>
      </c>
      <c r="G1132" t="s">
        <v>65</v>
      </c>
      <c r="H1132" t="s">
        <v>66</v>
      </c>
      <c r="I1132" t="s">
        <v>67</v>
      </c>
      <c r="J1132" s="2">
        <v>46222</v>
      </c>
      <c r="K1132" s="1">
        <v>0.63194444444444442</v>
      </c>
      <c r="L1132" s="10">
        <f t="shared" si="164"/>
        <v>-4.9999999999999822</v>
      </c>
      <c r="M1132" s="1" t="str">
        <f t="shared" si="170"/>
        <v>On Time</v>
      </c>
      <c r="N1132" s="27" t="e">
        <f t="shared" si="165"/>
        <v>#N/A</v>
      </c>
      <c r="O1132" s="3" t="s">
        <v>1385</v>
      </c>
      <c r="P1132" s="20">
        <f t="shared" si="166"/>
        <v>15</v>
      </c>
      <c r="Q1132" s="3" t="s">
        <v>1385</v>
      </c>
      <c r="R1132" s="23" t="str">
        <f t="shared" si="167"/>
        <v>Sunday</v>
      </c>
      <c r="S1132" s="3" t="s">
        <v>1385</v>
      </c>
      <c r="T1132" s="23" t="s">
        <v>513</v>
      </c>
      <c r="U1132" s="3" t="s">
        <v>1385</v>
      </c>
      <c r="AO1132" s="15"/>
      <c r="AP1132" s="15"/>
      <c r="AQ1132" s="15"/>
      <c r="AR1132" s="23"/>
      <c r="AS1132" s="15"/>
      <c r="AT1132" s="15"/>
      <c r="AU1132" s="23"/>
      <c r="AV1132" s="23"/>
    </row>
    <row r="1133" spans="1:48" x14ac:dyDescent="0.25">
      <c r="A1133" t="s">
        <v>148</v>
      </c>
      <c r="B1133" t="s">
        <v>7</v>
      </c>
      <c r="C1133" s="10">
        <v>-9</v>
      </c>
      <c r="D1133" t="s">
        <v>1125</v>
      </c>
      <c r="E1133" s="2">
        <f t="shared" si="169"/>
        <v>46222</v>
      </c>
      <c r="F1133" s="3">
        <f t="shared" si="168"/>
        <v>0.62708333333333333</v>
      </c>
      <c r="G1133" t="s">
        <v>9</v>
      </c>
      <c r="H1133" t="s">
        <v>10</v>
      </c>
      <c r="I1133" t="s">
        <v>11</v>
      </c>
      <c r="J1133" s="2">
        <v>46222</v>
      </c>
      <c r="K1133" s="1">
        <v>0.63541666666666663</v>
      </c>
      <c r="L1133" s="10">
        <f t="shared" si="164"/>
        <v>11.999999999999957</v>
      </c>
      <c r="M1133" s="1" t="str">
        <f t="shared" si="170"/>
        <v>On Time</v>
      </c>
      <c r="N1133" s="27" t="str">
        <f t="shared" si="165"/>
        <v>airBaltic</v>
      </c>
      <c r="O1133" s="3" t="s">
        <v>1385</v>
      </c>
      <c r="P1133" s="20">
        <f t="shared" si="166"/>
        <v>15</v>
      </c>
      <c r="Q1133" s="3" t="s">
        <v>1385</v>
      </c>
      <c r="R1133" s="23" t="str">
        <f t="shared" si="167"/>
        <v>Sunday</v>
      </c>
      <c r="S1133" s="3" t="s">
        <v>1385</v>
      </c>
      <c r="T1133" s="23" t="s">
        <v>7</v>
      </c>
      <c r="U1133" s="3" t="s">
        <v>1385</v>
      </c>
      <c r="AO1133" s="15"/>
      <c r="AP1133" s="15"/>
      <c r="AQ1133" s="15"/>
      <c r="AR1133" s="23"/>
      <c r="AS1133" s="15"/>
      <c r="AT1133" s="15"/>
      <c r="AU1133" s="23"/>
      <c r="AV1133" s="23"/>
    </row>
    <row r="1134" spans="1:48" x14ac:dyDescent="0.25">
      <c r="A1134" t="s">
        <v>156</v>
      </c>
      <c r="B1134" t="s">
        <v>555</v>
      </c>
      <c r="C1134" s="10">
        <v>-6</v>
      </c>
      <c r="D1134" t="s">
        <v>598</v>
      </c>
      <c r="E1134" s="2">
        <f t="shared" si="169"/>
        <v>46222</v>
      </c>
      <c r="F1134" s="3">
        <f t="shared" si="168"/>
        <v>0.62916666666666665</v>
      </c>
      <c r="G1134" t="s">
        <v>43</v>
      </c>
      <c r="H1134" t="s">
        <v>44</v>
      </c>
      <c r="I1134" t="s">
        <v>158</v>
      </c>
      <c r="J1134" s="2">
        <v>46222</v>
      </c>
      <c r="K1134" s="1">
        <v>0.63541666666666663</v>
      </c>
      <c r="L1134" s="10">
        <f t="shared" si="164"/>
        <v>8.999999999999968</v>
      </c>
      <c r="M1134" s="1" t="str">
        <f t="shared" si="170"/>
        <v>On Time</v>
      </c>
      <c r="N1134" s="27" t="e">
        <f t="shared" si="165"/>
        <v>#N/A</v>
      </c>
      <c r="O1134" s="3" t="s">
        <v>1385</v>
      </c>
      <c r="P1134" s="20">
        <f t="shared" si="166"/>
        <v>15</v>
      </c>
      <c r="Q1134" s="3" t="s">
        <v>1385</v>
      </c>
      <c r="R1134" s="23" t="str">
        <f t="shared" si="167"/>
        <v>Sunday</v>
      </c>
      <c r="S1134" s="3" t="s">
        <v>1385</v>
      </c>
      <c r="T1134" s="23" t="s">
        <v>555</v>
      </c>
      <c r="U1134" s="3" t="s">
        <v>1385</v>
      </c>
      <c r="AO1134" s="15"/>
      <c r="AP1134" s="15"/>
      <c r="AQ1134" s="15"/>
      <c r="AR1134" s="23"/>
      <c r="AS1134" s="15"/>
      <c r="AT1134" s="15"/>
      <c r="AU1134" s="23"/>
      <c r="AV1134" s="23"/>
    </row>
    <row r="1135" spans="1:48" x14ac:dyDescent="0.25">
      <c r="A1135" t="s">
        <v>123</v>
      </c>
      <c r="B1135" t="s">
        <v>123</v>
      </c>
      <c r="D1135" t="s">
        <v>1041</v>
      </c>
      <c r="E1135" s="2">
        <f t="shared" si="169"/>
        <v>46222</v>
      </c>
      <c r="F1135" s="3">
        <f t="shared" si="168"/>
        <v>0.65833333333333333</v>
      </c>
      <c r="G1135" t="s">
        <v>299</v>
      </c>
      <c r="H1135" t="s">
        <v>300</v>
      </c>
      <c r="I1135" t="s">
        <v>614</v>
      </c>
      <c r="J1135" s="2">
        <v>46222</v>
      </c>
      <c r="K1135" s="1">
        <v>0.65625</v>
      </c>
      <c r="L1135" s="10">
        <f t="shared" si="164"/>
        <v>-2.9999999999999893</v>
      </c>
      <c r="M1135" s="1" t="str">
        <f t="shared" si="170"/>
        <v>On Time</v>
      </c>
      <c r="N1135" s="27" t="e">
        <f t="shared" si="165"/>
        <v>#N/A</v>
      </c>
      <c r="O1135" s="3" t="s">
        <v>1385</v>
      </c>
      <c r="P1135" s="20">
        <f t="shared" si="166"/>
        <v>15</v>
      </c>
      <c r="Q1135" s="3" t="s">
        <v>1385</v>
      </c>
      <c r="R1135" s="23" t="str">
        <f t="shared" si="167"/>
        <v>Sunday</v>
      </c>
      <c r="S1135" s="3" t="s">
        <v>1385</v>
      </c>
      <c r="T1135" s="23" t="s">
        <v>123</v>
      </c>
      <c r="U1135" s="3" t="s">
        <v>1385</v>
      </c>
      <c r="AO1135" s="15"/>
      <c r="AP1135" s="15"/>
      <c r="AQ1135" s="15"/>
      <c r="AR1135" s="23"/>
      <c r="AS1135" s="15"/>
      <c r="AT1135" s="15"/>
      <c r="AU1135" s="23"/>
      <c r="AV1135" s="23"/>
    </row>
    <row r="1136" spans="1:48" x14ac:dyDescent="0.25">
      <c r="A1136" t="s">
        <v>159</v>
      </c>
      <c r="B1136" t="s">
        <v>85</v>
      </c>
      <c r="C1136" s="10">
        <v>-111</v>
      </c>
      <c r="D1136" t="s">
        <v>1126</v>
      </c>
      <c r="E1136" s="2">
        <f t="shared" si="169"/>
        <v>46222</v>
      </c>
      <c r="F1136" s="3">
        <f t="shared" si="168"/>
        <v>0.73402777777777783</v>
      </c>
      <c r="G1136" t="s">
        <v>34</v>
      </c>
      <c r="H1136" t="s">
        <v>161</v>
      </c>
      <c r="I1136" t="s">
        <v>89</v>
      </c>
      <c r="J1136" s="2">
        <v>46222</v>
      </c>
      <c r="K1136" s="1">
        <v>0.66666666666666663</v>
      </c>
      <c r="L1136" s="10">
        <f t="shared" si="164"/>
        <v>-97.000000000000142</v>
      </c>
      <c r="M1136" s="1" t="str">
        <f t="shared" si="170"/>
        <v>Delayed</v>
      </c>
      <c r="N1136" s="27" t="str">
        <f t="shared" si="165"/>
        <v>Ryanair</v>
      </c>
      <c r="O1136" s="3" t="s">
        <v>1318</v>
      </c>
      <c r="P1136" s="20">
        <f t="shared" si="166"/>
        <v>17</v>
      </c>
      <c r="Q1136" s="3" t="s">
        <v>1318</v>
      </c>
      <c r="R1136" s="23" t="str">
        <f t="shared" si="167"/>
        <v>Sunday</v>
      </c>
      <c r="S1136" s="3" t="s">
        <v>1318</v>
      </c>
      <c r="T1136" s="23" t="s">
        <v>85</v>
      </c>
      <c r="U1136" s="3" t="s">
        <v>1318</v>
      </c>
      <c r="AO1136" s="15"/>
      <c r="AP1136" s="15"/>
      <c r="AQ1136" s="15"/>
      <c r="AR1136" s="23"/>
      <c r="AS1136" s="15"/>
      <c r="AT1136" s="15"/>
      <c r="AU1136" s="23"/>
      <c r="AV1136" s="23"/>
    </row>
    <row r="1137" spans="1:48" x14ac:dyDescent="0.25">
      <c r="A1137" t="s">
        <v>175</v>
      </c>
      <c r="B1137" t="s">
        <v>19</v>
      </c>
      <c r="C1137" s="10">
        <v>-29</v>
      </c>
      <c r="D1137" t="s">
        <v>905</v>
      </c>
      <c r="E1137" s="2">
        <f t="shared" si="169"/>
        <v>46222</v>
      </c>
      <c r="F1137" s="3">
        <f t="shared" si="168"/>
        <v>0.68611111111111101</v>
      </c>
      <c r="G1137" t="s">
        <v>21</v>
      </c>
      <c r="H1137" t="s">
        <v>22</v>
      </c>
      <c r="I1137" t="s">
        <v>92</v>
      </c>
      <c r="J1137" s="2">
        <v>46222</v>
      </c>
      <c r="K1137" s="1">
        <v>0.68055555555555547</v>
      </c>
      <c r="L1137" s="10">
        <f t="shared" si="164"/>
        <v>-7.9999999999999716</v>
      </c>
      <c r="M1137" s="1" t="str">
        <f t="shared" si="170"/>
        <v>On Time</v>
      </c>
      <c r="N1137" s="27" t="str">
        <f t="shared" si="165"/>
        <v>LOT</v>
      </c>
      <c r="O1137" s="3" t="s">
        <v>1385</v>
      </c>
      <c r="P1137" s="20">
        <f t="shared" si="166"/>
        <v>16</v>
      </c>
      <c r="Q1137" s="3" t="s">
        <v>1385</v>
      </c>
      <c r="R1137" s="23" t="str">
        <f t="shared" si="167"/>
        <v>Sunday</v>
      </c>
      <c r="S1137" s="3" t="s">
        <v>1385</v>
      </c>
      <c r="T1137" s="23" t="s">
        <v>19</v>
      </c>
      <c r="U1137" s="3" t="s">
        <v>1385</v>
      </c>
      <c r="AO1137" s="15"/>
      <c r="AP1137" s="15"/>
      <c r="AQ1137" s="15"/>
      <c r="AR1137" s="23"/>
      <c r="AS1137" s="15"/>
      <c r="AT1137" s="15"/>
      <c r="AU1137" s="23"/>
      <c r="AV1137" s="23"/>
    </row>
    <row r="1138" spans="1:48" x14ac:dyDescent="0.25">
      <c r="A1138" t="s">
        <v>178</v>
      </c>
      <c r="B1138" t="s">
        <v>85</v>
      </c>
      <c r="C1138" s="10">
        <v>-6</v>
      </c>
      <c r="D1138" t="s">
        <v>1127</v>
      </c>
      <c r="E1138" s="2">
        <f t="shared" si="169"/>
        <v>46222</v>
      </c>
      <c r="F1138" s="3">
        <f t="shared" si="168"/>
        <v>0.68333333333333324</v>
      </c>
      <c r="G1138" t="s">
        <v>180</v>
      </c>
      <c r="H1138" t="s">
        <v>181</v>
      </c>
      <c r="I1138" t="s">
        <v>89</v>
      </c>
      <c r="J1138" s="2">
        <v>46222</v>
      </c>
      <c r="K1138" s="1">
        <v>0.69444444444444453</v>
      </c>
      <c r="L1138" s="10">
        <f t="shared" si="164"/>
        <v>16.000000000000263</v>
      </c>
      <c r="M1138" s="1" t="str">
        <f t="shared" si="170"/>
        <v>On Time</v>
      </c>
      <c r="N1138" s="27" t="str">
        <f t="shared" si="165"/>
        <v>Ryanair</v>
      </c>
      <c r="O1138" s="3" t="s">
        <v>1385</v>
      </c>
      <c r="P1138" s="20">
        <f t="shared" si="166"/>
        <v>16</v>
      </c>
      <c r="Q1138" s="3" t="s">
        <v>1385</v>
      </c>
      <c r="R1138" s="23" t="str">
        <f t="shared" si="167"/>
        <v>Sunday</v>
      </c>
      <c r="S1138" s="3" t="s">
        <v>1385</v>
      </c>
      <c r="T1138" s="23" t="s">
        <v>85</v>
      </c>
      <c r="U1138" s="3" t="s">
        <v>1385</v>
      </c>
      <c r="AO1138" s="15"/>
      <c r="AP1138" s="15"/>
      <c r="AQ1138" s="15"/>
      <c r="AR1138" s="23"/>
      <c r="AS1138" s="15"/>
      <c r="AT1138" s="15"/>
      <c r="AU1138" s="23"/>
      <c r="AV1138" s="23"/>
    </row>
    <row r="1139" spans="1:48" x14ac:dyDescent="0.25">
      <c r="A1139" t="s">
        <v>519</v>
      </c>
      <c r="B1139" t="s">
        <v>85</v>
      </c>
      <c r="C1139" s="10">
        <v>2</v>
      </c>
      <c r="D1139" t="s">
        <v>665</v>
      </c>
      <c r="E1139" s="2">
        <f t="shared" si="169"/>
        <v>46222</v>
      </c>
      <c r="F1139" s="3">
        <f t="shared" si="168"/>
        <v>0.67986111111111114</v>
      </c>
      <c r="G1139" t="s">
        <v>110</v>
      </c>
      <c r="H1139" t="s">
        <v>521</v>
      </c>
      <c r="I1139" t="s">
        <v>89</v>
      </c>
      <c r="J1139" s="2">
        <v>46222</v>
      </c>
      <c r="K1139" s="1">
        <v>0.70138888888888884</v>
      </c>
      <c r="L1139" s="10">
        <f t="shared" si="164"/>
        <v>30.99999999999989</v>
      </c>
      <c r="M1139" s="1" t="str">
        <f t="shared" si="170"/>
        <v>On Time</v>
      </c>
      <c r="N1139" s="27" t="str">
        <f t="shared" si="165"/>
        <v>Ryanair</v>
      </c>
      <c r="O1139" s="3" t="s">
        <v>1385</v>
      </c>
      <c r="P1139" s="20">
        <f t="shared" si="166"/>
        <v>16</v>
      </c>
      <c r="Q1139" s="3" t="s">
        <v>1385</v>
      </c>
      <c r="R1139" s="23" t="str">
        <f t="shared" si="167"/>
        <v>Sunday</v>
      </c>
      <c r="S1139" s="3" t="s">
        <v>1385</v>
      </c>
      <c r="T1139" s="23" t="s">
        <v>85</v>
      </c>
      <c r="U1139" s="3" t="s">
        <v>1385</v>
      </c>
      <c r="AO1139" s="15"/>
      <c r="AP1139" s="15"/>
      <c r="AQ1139" s="15"/>
      <c r="AR1139" s="23"/>
      <c r="AS1139" s="15"/>
      <c r="AT1139" s="15"/>
      <c r="AU1139" s="23"/>
      <c r="AV1139" s="23"/>
    </row>
    <row r="1140" spans="1:48" x14ac:dyDescent="0.25">
      <c r="A1140" t="s">
        <v>167</v>
      </c>
      <c r="B1140" t="s">
        <v>7</v>
      </c>
      <c r="C1140" s="10">
        <v>-7</v>
      </c>
      <c r="D1140" t="s">
        <v>1096</v>
      </c>
      <c r="E1140" s="2">
        <f t="shared" si="169"/>
        <v>46222</v>
      </c>
      <c r="F1140" s="3">
        <f t="shared" si="168"/>
        <v>0.69374999999999998</v>
      </c>
      <c r="G1140" t="s">
        <v>169</v>
      </c>
      <c r="H1140" t="s">
        <v>170</v>
      </c>
      <c r="I1140" t="s">
        <v>11</v>
      </c>
      <c r="J1140" s="2">
        <v>46222</v>
      </c>
      <c r="K1140" s="1">
        <v>0.70486111111111116</v>
      </c>
      <c r="L1140" s="10">
        <f t="shared" si="164"/>
        <v>16.000000000000103</v>
      </c>
      <c r="M1140" s="1" t="str">
        <f t="shared" si="170"/>
        <v>On Time</v>
      </c>
      <c r="N1140" s="27" t="str">
        <f t="shared" si="165"/>
        <v>airBaltic</v>
      </c>
      <c r="O1140" s="3" t="s">
        <v>1385</v>
      </c>
      <c r="P1140" s="20">
        <f t="shared" si="166"/>
        <v>16</v>
      </c>
      <c r="Q1140" s="3" t="s">
        <v>1385</v>
      </c>
      <c r="R1140" s="23" t="str">
        <f t="shared" si="167"/>
        <v>Sunday</v>
      </c>
      <c r="S1140" s="3" t="s">
        <v>1385</v>
      </c>
      <c r="T1140" s="23" t="s">
        <v>7</v>
      </c>
      <c r="U1140" s="3" t="s">
        <v>1385</v>
      </c>
      <c r="AO1140" s="15"/>
      <c r="AP1140" s="15"/>
      <c r="AQ1140" s="15"/>
      <c r="AR1140" s="23"/>
      <c r="AS1140" s="15"/>
      <c r="AT1140" s="15"/>
      <c r="AU1140" s="23"/>
      <c r="AV1140" s="23"/>
    </row>
    <row r="1141" spans="1:48" x14ac:dyDescent="0.25">
      <c r="A1141" t="s">
        <v>224</v>
      </c>
      <c r="B1141" t="s">
        <v>151</v>
      </c>
      <c r="C1141" s="10">
        <v>-10</v>
      </c>
      <c r="D1141" t="s">
        <v>832</v>
      </c>
      <c r="E1141" s="2">
        <f t="shared" si="169"/>
        <v>46222</v>
      </c>
      <c r="F1141" s="3">
        <f t="shared" si="168"/>
        <v>0.71250000000000002</v>
      </c>
      <c r="G1141" t="s">
        <v>226</v>
      </c>
      <c r="H1141" t="s">
        <v>227</v>
      </c>
      <c r="I1141" t="s">
        <v>958</v>
      </c>
      <c r="J1141" s="2">
        <v>46222</v>
      </c>
      <c r="K1141" s="1">
        <v>0.71180555555555547</v>
      </c>
      <c r="L1141" s="10">
        <f t="shared" si="164"/>
        <v>-1.0000000000001563</v>
      </c>
      <c r="M1141" s="1" t="str">
        <f t="shared" si="170"/>
        <v>On Time</v>
      </c>
      <c r="N1141" s="27" t="e">
        <f t="shared" si="165"/>
        <v>#N/A</v>
      </c>
      <c r="O1141" s="3" t="s">
        <v>1385</v>
      </c>
      <c r="P1141" s="20">
        <f t="shared" si="166"/>
        <v>17</v>
      </c>
      <c r="Q1141" s="3" t="s">
        <v>1385</v>
      </c>
      <c r="R1141" s="23" t="str">
        <f t="shared" si="167"/>
        <v>Sunday</v>
      </c>
      <c r="S1141" s="3" t="s">
        <v>1385</v>
      </c>
      <c r="T1141" s="23" t="s">
        <v>151</v>
      </c>
      <c r="U1141" s="3" t="s">
        <v>1385</v>
      </c>
      <c r="AO1141" s="15"/>
      <c r="AP1141" s="15"/>
      <c r="AQ1141" s="15"/>
      <c r="AR1141" s="23"/>
      <c r="AS1141" s="15"/>
      <c r="AT1141" s="15"/>
      <c r="AU1141" s="23"/>
      <c r="AV1141" s="23"/>
    </row>
    <row r="1142" spans="1:48" x14ac:dyDescent="0.25">
      <c r="A1142" t="s">
        <v>261</v>
      </c>
      <c r="B1142" t="s">
        <v>85</v>
      </c>
      <c r="C1142" s="10">
        <v>-115</v>
      </c>
      <c r="D1142" t="s">
        <v>726</v>
      </c>
      <c r="E1142" s="2">
        <f t="shared" si="169"/>
        <v>46222</v>
      </c>
      <c r="F1142" s="3">
        <f t="shared" si="168"/>
        <v>0.7909722222222223</v>
      </c>
      <c r="G1142" t="s">
        <v>263</v>
      </c>
      <c r="H1142" t="s">
        <v>264</v>
      </c>
      <c r="I1142" t="s">
        <v>89</v>
      </c>
      <c r="J1142" s="2">
        <v>46222</v>
      </c>
      <c r="K1142" s="1">
        <v>0.73263888888888884</v>
      </c>
      <c r="L1142" s="10">
        <f t="shared" si="164"/>
        <v>-84.000000000000185</v>
      </c>
      <c r="M1142" s="1" t="str">
        <f t="shared" si="170"/>
        <v>Delayed</v>
      </c>
      <c r="N1142" s="27" t="str">
        <f t="shared" si="165"/>
        <v>Ryanair</v>
      </c>
      <c r="O1142" s="3" t="s">
        <v>1318</v>
      </c>
      <c r="P1142" s="20">
        <f t="shared" si="166"/>
        <v>18</v>
      </c>
      <c r="Q1142" s="3" t="s">
        <v>1318</v>
      </c>
      <c r="R1142" s="23" t="str">
        <f t="shared" si="167"/>
        <v>Sunday</v>
      </c>
      <c r="S1142" s="3" t="s">
        <v>1318</v>
      </c>
      <c r="T1142" s="23" t="s">
        <v>85</v>
      </c>
      <c r="U1142" s="3" t="s">
        <v>1318</v>
      </c>
      <c r="AO1142" s="15"/>
      <c r="AP1142" s="15"/>
      <c r="AQ1142" s="15"/>
      <c r="AR1142" s="23"/>
      <c r="AS1142" s="15"/>
      <c r="AT1142" s="15"/>
      <c r="AU1142" s="23"/>
      <c r="AV1142" s="23"/>
    </row>
    <row r="1143" spans="1:48" x14ac:dyDescent="0.25">
      <c r="A1143" t="s">
        <v>182</v>
      </c>
      <c r="B1143" t="s">
        <v>69</v>
      </c>
      <c r="C1143" s="10">
        <v>-8</v>
      </c>
      <c r="D1143" t="s">
        <v>1128</v>
      </c>
      <c r="E1143" s="2">
        <f t="shared" si="169"/>
        <v>46222</v>
      </c>
      <c r="F1143" s="3">
        <f t="shared" si="168"/>
        <v>0.74305555555555547</v>
      </c>
      <c r="G1143" t="s">
        <v>71</v>
      </c>
      <c r="H1143" t="s">
        <v>72</v>
      </c>
      <c r="I1143" t="s">
        <v>73</v>
      </c>
      <c r="J1143" s="2">
        <v>46222</v>
      </c>
      <c r="K1143" s="1">
        <v>0.74305555555555547</v>
      </c>
      <c r="L1143" s="10">
        <f t="shared" si="164"/>
        <v>0</v>
      </c>
      <c r="M1143" s="1" t="str">
        <f t="shared" si="170"/>
        <v>On Time</v>
      </c>
      <c r="N1143" s="27" t="str">
        <f t="shared" si="165"/>
        <v>Finnair</v>
      </c>
      <c r="O1143" s="3" t="s">
        <v>1385</v>
      </c>
      <c r="P1143" s="20">
        <f t="shared" si="166"/>
        <v>17</v>
      </c>
      <c r="Q1143" s="3" t="s">
        <v>1385</v>
      </c>
      <c r="R1143" s="23" t="str">
        <f t="shared" si="167"/>
        <v>Sunday</v>
      </c>
      <c r="S1143" s="3" t="s">
        <v>1385</v>
      </c>
      <c r="T1143" s="23" t="s">
        <v>69</v>
      </c>
      <c r="U1143" s="3" t="s">
        <v>1385</v>
      </c>
      <c r="AO1143" s="15"/>
      <c r="AP1143" s="15"/>
      <c r="AQ1143" s="15"/>
      <c r="AR1143" s="23"/>
      <c r="AS1143" s="15"/>
      <c r="AT1143" s="15"/>
      <c r="AU1143" s="23"/>
      <c r="AV1143" s="23"/>
    </row>
    <row r="1144" spans="1:48" x14ac:dyDescent="0.25">
      <c r="A1144" t="s">
        <v>335</v>
      </c>
      <c r="B1144" t="s">
        <v>7</v>
      </c>
      <c r="C1144" s="10">
        <v>-12</v>
      </c>
      <c r="D1144" t="s">
        <v>1129</v>
      </c>
      <c r="E1144" s="2">
        <f t="shared" si="169"/>
        <v>46222</v>
      </c>
      <c r="F1144" s="3">
        <f t="shared" si="168"/>
        <v>0.73888888888888893</v>
      </c>
      <c r="G1144" t="s">
        <v>337</v>
      </c>
      <c r="H1144" t="s">
        <v>338</v>
      </c>
      <c r="I1144" t="s">
        <v>11</v>
      </c>
      <c r="J1144" s="2">
        <v>46222</v>
      </c>
      <c r="K1144" s="1">
        <v>0.75</v>
      </c>
      <c r="L1144" s="10">
        <f t="shared" si="164"/>
        <v>15.999999999999943</v>
      </c>
      <c r="M1144" s="1" t="str">
        <f t="shared" si="170"/>
        <v>On Time</v>
      </c>
      <c r="N1144" s="27" t="str">
        <f t="shared" si="165"/>
        <v>airBaltic</v>
      </c>
      <c r="O1144" s="3" t="s">
        <v>1385</v>
      </c>
      <c r="P1144" s="20">
        <f t="shared" si="166"/>
        <v>17</v>
      </c>
      <c r="Q1144" s="3" t="s">
        <v>1385</v>
      </c>
      <c r="R1144" s="23" t="str">
        <f t="shared" si="167"/>
        <v>Sunday</v>
      </c>
      <c r="S1144" s="3" t="s">
        <v>1385</v>
      </c>
      <c r="T1144" s="23" t="s">
        <v>7</v>
      </c>
      <c r="U1144" s="3" t="s">
        <v>1385</v>
      </c>
      <c r="AO1144" s="15"/>
      <c r="AP1144" s="15"/>
      <c r="AQ1144" s="15"/>
      <c r="AR1144" s="23"/>
      <c r="AS1144" s="15"/>
      <c r="AT1144" s="15"/>
      <c r="AU1144" s="23"/>
      <c r="AV1144" s="23"/>
    </row>
    <row r="1145" spans="1:48" x14ac:dyDescent="0.25">
      <c r="A1145" t="s">
        <v>186</v>
      </c>
      <c r="B1145" t="s">
        <v>19</v>
      </c>
      <c r="C1145" s="10">
        <v>-27</v>
      </c>
      <c r="D1145" t="s">
        <v>365</v>
      </c>
      <c r="E1145" s="2">
        <f t="shared" si="169"/>
        <v>46222</v>
      </c>
      <c r="F1145" s="3">
        <f t="shared" si="168"/>
        <v>0.77777777777777779</v>
      </c>
      <c r="G1145" t="s">
        <v>21</v>
      </c>
      <c r="H1145" t="s">
        <v>22</v>
      </c>
      <c r="I1145" t="s">
        <v>237</v>
      </c>
      <c r="J1145" s="2">
        <v>46222</v>
      </c>
      <c r="K1145" s="1">
        <v>0.77430555555555547</v>
      </c>
      <c r="L1145" s="10">
        <f t="shared" si="164"/>
        <v>-5.0000000000001421</v>
      </c>
      <c r="M1145" s="1" t="str">
        <f t="shared" si="170"/>
        <v>On Time</v>
      </c>
      <c r="N1145" s="27" t="str">
        <f t="shared" si="165"/>
        <v>LOT</v>
      </c>
      <c r="O1145" s="3" t="s">
        <v>1385</v>
      </c>
      <c r="P1145" s="20">
        <f t="shared" si="166"/>
        <v>18</v>
      </c>
      <c r="Q1145" s="3" t="s">
        <v>1385</v>
      </c>
      <c r="R1145" s="23" t="str">
        <f t="shared" si="167"/>
        <v>Sunday</v>
      </c>
      <c r="S1145" s="3" t="s">
        <v>1385</v>
      </c>
      <c r="T1145" s="23" t="s">
        <v>19</v>
      </c>
      <c r="U1145" s="3" t="s">
        <v>1385</v>
      </c>
      <c r="AO1145" s="15"/>
      <c r="AP1145" s="15"/>
      <c r="AQ1145" s="15"/>
      <c r="AR1145" s="23"/>
      <c r="AS1145" s="15"/>
      <c r="AT1145" s="15"/>
      <c r="AU1145" s="23"/>
      <c r="AV1145" s="23"/>
    </row>
    <row r="1146" spans="1:48" x14ac:dyDescent="0.25">
      <c r="A1146" t="s">
        <v>215</v>
      </c>
      <c r="B1146" t="s">
        <v>13</v>
      </c>
      <c r="C1146" s="10">
        <v>-58</v>
      </c>
      <c r="D1146" t="s">
        <v>1048</v>
      </c>
      <c r="E1146" s="2">
        <f t="shared" si="169"/>
        <v>46222</v>
      </c>
      <c r="F1146" s="3">
        <f t="shared" si="168"/>
        <v>0.79722222222222217</v>
      </c>
      <c r="G1146" t="s">
        <v>217</v>
      </c>
      <c r="H1146" t="s">
        <v>218</v>
      </c>
      <c r="I1146" t="s">
        <v>17</v>
      </c>
      <c r="J1146" s="2">
        <v>46222</v>
      </c>
      <c r="K1146" s="1">
        <v>0.77430555555555547</v>
      </c>
      <c r="L1146" s="10">
        <f t="shared" si="164"/>
        <v>-33.000000000000043</v>
      </c>
      <c r="M1146" s="1" t="str">
        <f t="shared" si="170"/>
        <v>Delayed</v>
      </c>
      <c r="N1146" s="27" t="str">
        <f t="shared" si="165"/>
        <v>Wizz Air</v>
      </c>
      <c r="O1146" s="3" t="s">
        <v>1318</v>
      </c>
      <c r="P1146" s="20">
        <f t="shared" si="166"/>
        <v>19</v>
      </c>
      <c r="Q1146" s="3" t="s">
        <v>1318</v>
      </c>
      <c r="R1146" s="23" t="str">
        <f t="shared" si="167"/>
        <v>Sunday</v>
      </c>
      <c r="S1146" s="3" t="s">
        <v>1318</v>
      </c>
      <c r="T1146" s="23" t="s">
        <v>13</v>
      </c>
      <c r="U1146" s="3" t="s">
        <v>1318</v>
      </c>
      <c r="AO1146" s="15"/>
      <c r="AP1146" s="15"/>
      <c r="AQ1146" s="15"/>
      <c r="AR1146" s="23"/>
      <c r="AS1146" s="15"/>
      <c r="AT1146" s="15"/>
      <c r="AU1146" s="23"/>
      <c r="AV1146" s="23"/>
    </row>
    <row r="1147" spans="1:48" x14ac:dyDescent="0.25">
      <c r="A1147" t="s">
        <v>192</v>
      </c>
      <c r="B1147" t="s">
        <v>13</v>
      </c>
      <c r="C1147" s="10">
        <v>268</v>
      </c>
      <c r="D1147" t="s">
        <v>371</v>
      </c>
      <c r="E1147" s="2">
        <f t="shared" si="169"/>
        <v>46222</v>
      </c>
      <c r="F1147" s="3">
        <f t="shared" si="168"/>
        <v>0.77083333333333337</v>
      </c>
      <c r="G1147" t="s">
        <v>194</v>
      </c>
      <c r="H1147" t="s">
        <v>195</v>
      </c>
      <c r="I1147" t="s">
        <v>17</v>
      </c>
      <c r="J1147" s="2">
        <v>46222</v>
      </c>
      <c r="K1147" s="1">
        <v>0.78472222222222221</v>
      </c>
      <c r="L1147" s="10">
        <f t="shared" si="164"/>
        <v>19.999999999999929</v>
      </c>
      <c r="M1147" s="1" t="str">
        <f t="shared" si="170"/>
        <v>On Time</v>
      </c>
      <c r="N1147" s="27" t="str">
        <f t="shared" si="165"/>
        <v>Wizz Air</v>
      </c>
      <c r="O1147" s="3" t="s">
        <v>1385</v>
      </c>
      <c r="P1147" s="20">
        <f t="shared" si="166"/>
        <v>18</v>
      </c>
      <c r="Q1147" s="3" t="s">
        <v>1385</v>
      </c>
      <c r="R1147" s="23" t="str">
        <f t="shared" si="167"/>
        <v>Sunday</v>
      </c>
      <c r="S1147" s="3" t="s">
        <v>1385</v>
      </c>
      <c r="T1147" s="23" t="s">
        <v>13</v>
      </c>
      <c r="U1147" s="3" t="s">
        <v>1385</v>
      </c>
      <c r="AO1147" s="15"/>
      <c r="AP1147" s="15"/>
      <c r="AQ1147" s="15"/>
      <c r="AR1147" s="23"/>
      <c r="AS1147" s="15"/>
      <c r="AT1147" s="15"/>
      <c r="AU1147" s="23"/>
      <c r="AV1147" s="23"/>
    </row>
    <row r="1148" spans="1:48" x14ac:dyDescent="0.25">
      <c r="A1148" t="s">
        <v>131</v>
      </c>
      <c r="B1148" t="s">
        <v>7</v>
      </c>
      <c r="C1148" s="10">
        <v>-22</v>
      </c>
      <c r="D1148" t="s">
        <v>370</v>
      </c>
      <c r="E1148" s="2">
        <f t="shared" si="169"/>
        <v>46222</v>
      </c>
      <c r="F1148" s="3">
        <f t="shared" si="168"/>
        <v>0.78055555555555556</v>
      </c>
      <c r="G1148" t="s">
        <v>38</v>
      </c>
      <c r="H1148" t="s">
        <v>39</v>
      </c>
      <c r="I1148" t="s">
        <v>11</v>
      </c>
      <c r="J1148" s="2">
        <v>46222</v>
      </c>
      <c r="K1148" s="1">
        <v>0.79513888888888884</v>
      </c>
      <c r="L1148" s="10">
        <f t="shared" si="164"/>
        <v>20.999999999999925</v>
      </c>
      <c r="M1148" s="1" t="str">
        <f t="shared" si="170"/>
        <v>On Time</v>
      </c>
      <c r="N1148" s="27" t="str">
        <f t="shared" si="165"/>
        <v>airBaltic</v>
      </c>
      <c r="O1148" s="3" t="s">
        <v>1385</v>
      </c>
      <c r="P1148" s="20">
        <f t="shared" si="166"/>
        <v>18</v>
      </c>
      <c r="Q1148" s="3" t="s">
        <v>1385</v>
      </c>
      <c r="R1148" s="23" t="str">
        <f t="shared" si="167"/>
        <v>Sunday</v>
      </c>
      <c r="S1148" s="3" t="s">
        <v>1385</v>
      </c>
      <c r="T1148" s="23" t="s">
        <v>7</v>
      </c>
      <c r="U1148" s="3" t="s">
        <v>1385</v>
      </c>
      <c r="AO1148" s="15"/>
      <c r="AP1148" s="15"/>
      <c r="AQ1148" s="15"/>
      <c r="AR1148" s="23"/>
      <c r="AS1148" s="15"/>
      <c r="AT1148" s="15"/>
      <c r="AU1148" s="23"/>
      <c r="AV1148" s="23"/>
    </row>
    <row r="1149" spans="1:48" x14ac:dyDescent="0.25">
      <c r="A1149" t="s">
        <v>196</v>
      </c>
      <c r="B1149" t="s">
        <v>13</v>
      </c>
      <c r="C1149" s="10">
        <v>-7</v>
      </c>
      <c r="D1149" t="s">
        <v>197</v>
      </c>
      <c r="E1149" s="2">
        <f t="shared" si="169"/>
        <v>46222</v>
      </c>
      <c r="F1149" s="3">
        <f t="shared" si="168"/>
        <v>0.7895833333333333</v>
      </c>
      <c r="G1149" t="s">
        <v>198</v>
      </c>
      <c r="H1149" t="s">
        <v>199</v>
      </c>
      <c r="I1149" t="s">
        <v>210</v>
      </c>
      <c r="J1149" s="2">
        <v>46222</v>
      </c>
      <c r="K1149" s="1">
        <v>0.79861111111111116</v>
      </c>
      <c r="L1149" s="10">
        <f t="shared" si="164"/>
        <v>13.000000000000114</v>
      </c>
      <c r="M1149" s="1" t="str">
        <f t="shared" si="170"/>
        <v>On Time</v>
      </c>
      <c r="N1149" s="27" t="str">
        <f t="shared" si="165"/>
        <v>Wizz Air</v>
      </c>
      <c r="O1149" s="3" t="s">
        <v>1385</v>
      </c>
      <c r="P1149" s="20">
        <f t="shared" si="166"/>
        <v>18</v>
      </c>
      <c r="Q1149" s="3" t="s">
        <v>1385</v>
      </c>
      <c r="R1149" s="23" t="str">
        <f t="shared" si="167"/>
        <v>Sunday</v>
      </c>
      <c r="S1149" s="3" t="s">
        <v>1385</v>
      </c>
      <c r="T1149" s="23" t="s">
        <v>13</v>
      </c>
      <c r="U1149" s="3" t="s">
        <v>1385</v>
      </c>
      <c r="AO1149" s="15"/>
      <c r="AP1149" s="15"/>
      <c r="AQ1149" s="15"/>
      <c r="AR1149" s="23"/>
      <c r="AS1149" s="15"/>
      <c r="AT1149" s="15"/>
      <c r="AU1149" s="23"/>
      <c r="AV1149" s="23"/>
    </row>
    <row r="1150" spans="1:48" x14ac:dyDescent="0.25">
      <c r="A1150" t="s">
        <v>208</v>
      </c>
      <c r="B1150" t="s">
        <v>96</v>
      </c>
      <c r="C1150" s="10">
        <v>-23</v>
      </c>
      <c r="D1150" t="s">
        <v>950</v>
      </c>
      <c r="E1150" s="2">
        <f t="shared" si="169"/>
        <v>46222</v>
      </c>
      <c r="F1150" s="3">
        <f t="shared" si="168"/>
        <v>0.80208333333333337</v>
      </c>
      <c r="G1150" t="s">
        <v>98</v>
      </c>
      <c r="H1150" t="s">
        <v>99</v>
      </c>
      <c r="I1150" t="s">
        <v>17</v>
      </c>
      <c r="J1150" s="2">
        <v>46222</v>
      </c>
      <c r="K1150" s="1">
        <v>0.8125</v>
      </c>
      <c r="L1150" s="10">
        <f t="shared" si="164"/>
        <v>14.999999999999947</v>
      </c>
      <c r="M1150" s="1" t="str">
        <f t="shared" si="170"/>
        <v>On Time</v>
      </c>
      <c r="N1150" s="27" t="str">
        <f t="shared" si="165"/>
        <v>Turkish Airlines</v>
      </c>
      <c r="O1150" s="3" t="s">
        <v>1385</v>
      </c>
      <c r="P1150" s="20">
        <f t="shared" si="166"/>
        <v>19</v>
      </c>
      <c r="Q1150" s="3" t="s">
        <v>1385</v>
      </c>
      <c r="R1150" s="23" t="str">
        <f t="shared" si="167"/>
        <v>Sunday</v>
      </c>
      <c r="S1150" s="3" t="s">
        <v>1385</v>
      </c>
      <c r="T1150" s="23" t="s">
        <v>96</v>
      </c>
      <c r="U1150" s="3" t="s">
        <v>1385</v>
      </c>
      <c r="AO1150" s="15"/>
      <c r="AP1150" s="15"/>
      <c r="AQ1150" s="15"/>
      <c r="AR1150" s="23"/>
      <c r="AS1150" s="15"/>
      <c r="AT1150" s="15"/>
      <c r="AU1150" s="23"/>
      <c r="AV1150" s="23"/>
    </row>
    <row r="1151" spans="1:48" x14ac:dyDescent="0.25">
      <c r="A1151" t="s">
        <v>211</v>
      </c>
      <c r="B1151" t="s">
        <v>7</v>
      </c>
      <c r="C1151" s="10">
        <v>-12</v>
      </c>
      <c r="D1151" t="s">
        <v>1013</v>
      </c>
      <c r="E1151" s="2">
        <f t="shared" si="169"/>
        <v>46222</v>
      </c>
      <c r="F1151" s="3">
        <f t="shared" si="168"/>
        <v>0.81666666666666676</v>
      </c>
      <c r="G1151" t="s">
        <v>135</v>
      </c>
      <c r="H1151" t="s">
        <v>136</v>
      </c>
      <c r="I1151" t="s">
        <v>11</v>
      </c>
      <c r="J1151" s="2">
        <v>46222</v>
      </c>
      <c r="K1151" s="1">
        <v>0.82638888888888884</v>
      </c>
      <c r="L1151" s="10">
        <f t="shared" si="164"/>
        <v>13.99999999999979</v>
      </c>
      <c r="M1151" s="1" t="str">
        <f t="shared" si="170"/>
        <v>On Time</v>
      </c>
      <c r="N1151" s="27" t="str">
        <f t="shared" si="165"/>
        <v>airBaltic</v>
      </c>
      <c r="O1151" s="3" t="s">
        <v>1385</v>
      </c>
      <c r="P1151" s="20">
        <f t="shared" si="166"/>
        <v>19</v>
      </c>
      <c r="Q1151" s="3" t="s">
        <v>1385</v>
      </c>
      <c r="R1151" s="23" t="str">
        <f t="shared" si="167"/>
        <v>Sunday</v>
      </c>
      <c r="S1151" s="3" t="s">
        <v>1385</v>
      </c>
      <c r="T1151" s="23" t="s">
        <v>7</v>
      </c>
      <c r="U1151" s="3" t="s">
        <v>1385</v>
      </c>
      <c r="AO1151" s="15"/>
      <c r="AP1151" s="15"/>
      <c r="AQ1151" s="15"/>
      <c r="AR1151" s="23"/>
      <c r="AS1151" s="15"/>
      <c r="AT1151" s="15"/>
      <c r="AU1151" s="23"/>
      <c r="AV1151" s="23"/>
    </row>
    <row r="1152" spans="1:48" x14ac:dyDescent="0.25">
      <c r="A1152" t="s">
        <v>533</v>
      </c>
      <c r="B1152" t="s">
        <v>117</v>
      </c>
      <c r="D1152" t="s">
        <v>1014</v>
      </c>
      <c r="E1152" s="2">
        <f t="shared" si="169"/>
        <v>46222</v>
      </c>
      <c r="F1152" s="3">
        <f t="shared" si="168"/>
        <v>0.83680555555555547</v>
      </c>
      <c r="G1152" t="s">
        <v>308</v>
      </c>
      <c r="H1152" t="s">
        <v>309</v>
      </c>
      <c r="I1152" t="s">
        <v>83</v>
      </c>
      <c r="J1152" s="2">
        <v>46222</v>
      </c>
      <c r="K1152" s="1">
        <v>0.8354166666666667</v>
      </c>
      <c r="L1152" s="10">
        <f t="shared" si="164"/>
        <v>-1.999999999999833</v>
      </c>
      <c r="M1152" s="1" t="str">
        <f t="shared" si="170"/>
        <v>On Time</v>
      </c>
      <c r="N1152" s="27" t="str">
        <f t="shared" si="165"/>
        <v>Heston Airlines</v>
      </c>
      <c r="O1152" s="3" t="s">
        <v>1385</v>
      </c>
      <c r="P1152" s="20">
        <f t="shared" si="166"/>
        <v>20</v>
      </c>
      <c r="Q1152" s="3" t="s">
        <v>1385</v>
      </c>
      <c r="R1152" s="23" t="str">
        <f t="shared" si="167"/>
        <v>Sunday</v>
      </c>
      <c r="S1152" s="3" t="s">
        <v>1385</v>
      </c>
      <c r="T1152" s="23" t="s">
        <v>117</v>
      </c>
      <c r="U1152" s="3" t="s">
        <v>1385</v>
      </c>
      <c r="AO1152" s="15"/>
      <c r="AP1152" s="15"/>
      <c r="AQ1152" s="15"/>
      <c r="AR1152" s="23"/>
      <c r="AS1152" s="15"/>
      <c r="AT1152" s="15"/>
      <c r="AU1152" s="23"/>
      <c r="AV1152" s="23"/>
    </row>
    <row r="1153" spans="1:48" x14ac:dyDescent="0.25">
      <c r="A1153" t="s">
        <v>213</v>
      </c>
      <c r="B1153" t="s">
        <v>85</v>
      </c>
      <c r="C1153" s="10">
        <v>-34</v>
      </c>
      <c r="D1153" t="s">
        <v>535</v>
      </c>
      <c r="E1153" s="2">
        <f t="shared" si="169"/>
        <v>46222</v>
      </c>
      <c r="F1153" s="3">
        <f t="shared" si="168"/>
        <v>0.85069444444444453</v>
      </c>
      <c r="G1153" t="s">
        <v>102</v>
      </c>
      <c r="H1153" t="s">
        <v>115</v>
      </c>
      <c r="I1153" t="s">
        <v>162</v>
      </c>
      <c r="J1153" s="2">
        <v>46222</v>
      </c>
      <c r="K1153" s="1">
        <v>0.84722222222222221</v>
      </c>
      <c r="L1153" s="10">
        <f t="shared" si="164"/>
        <v>-5.0000000000001421</v>
      </c>
      <c r="M1153" s="1" t="str">
        <f t="shared" si="170"/>
        <v>On Time</v>
      </c>
      <c r="N1153" s="27" t="str">
        <f t="shared" si="165"/>
        <v>Ryanair</v>
      </c>
      <c r="O1153" s="3" t="s">
        <v>1385</v>
      </c>
      <c r="P1153" s="20">
        <f t="shared" si="166"/>
        <v>20</v>
      </c>
      <c r="Q1153" s="3" t="s">
        <v>1385</v>
      </c>
      <c r="R1153" s="23" t="str">
        <f t="shared" si="167"/>
        <v>Sunday</v>
      </c>
      <c r="S1153" s="3" t="s">
        <v>1385</v>
      </c>
      <c r="T1153" s="23" t="s">
        <v>85</v>
      </c>
      <c r="U1153" s="3" t="s">
        <v>1385</v>
      </c>
      <c r="AO1153" s="15"/>
      <c r="AP1153" s="15"/>
      <c r="AQ1153" s="15"/>
      <c r="AR1153" s="23"/>
      <c r="AS1153" s="15"/>
      <c r="AT1153" s="15"/>
      <c r="AU1153" s="23"/>
      <c r="AV1153" s="23"/>
    </row>
    <row r="1154" spans="1:48" x14ac:dyDescent="0.25">
      <c r="A1154" t="s">
        <v>536</v>
      </c>
      <c r="B1154" t="s">
        <v>239</v>
      </c>
      <c r="D1154" t="s">
        <v>537</v>
      </c>
      <c r="E1154" s="2">
        <f t="shared" si="169"/>
        <v>46222</v>
      </c>
      <c r="F1154" s="3">
        <f t="shared" si="168"/>
        <v>0.84722222222222221</v>
      </c>
      <c r="G1154" t="s">
        <v>222</v>
      </c>
      <c r="H1154" t="s">
        <v>223</v>
      </c>
      <c r="I1154" t="s">
        <v>83</v>
      </c>
      <c r="J1154" s="2">
        <v>46222</v>
      </c>
      <c r="K1154" s="1">
        <v>0.85763888888888884</v>
      </c>
      <c r="L1154" s="10">
        <f t="shared" ref="L1154:L1217" si="171">IF(J1154&gt;E1154,(K1154+1-F1154)*1440,IF(J1154&lt;E1154,-(F1154+1-K1154)*1440,(K1154-F1154)*1440))</f>
        <v>14.999999999999947</v>
      </c>
      <c r="M1154" s="1" t="str">
        <f t="shared" si="170"/>
        <v>On Time</v>
      </c>
      <c r="N1154" s="27" t="str">
        <f t="shared" ref="N1154:N1217" si="172">IF(COUNTIFS($B$2:$B$1553,B1154,$M$2:$M$1553,"&lt;&gt;#N/A")&gt;=30,B1154,NA())</f>
        <v>Eurowings</v>
      </c>
      <c r="O1154" s="3" t="s">
        <v>1385</v>
      </c>
      <c r="P1154" s="20">
        <f t="shared" ref="P1154:P1217" si="173">HOUR(F1154)</f>
        <v>20</v>
      </c>
      <c r="Q1154" s="3" t="s">
        <v>1385</v>
      </c>
      <c r="R1154" s="23" t="str">
        <f t="shared" ref="R1154:R1217" si="174">TEXT(E1154, "dddd")</f>
        <v>Sunday</v>
      </c>
      <c r="S1154" s="3" t="s">
        <v>1385</v>
      </c>
      <c r="T1154" s="23" t="s">
        <v>239</v>
      </c>
      <c r="U1154" s="3" t="s">
        <v>1385</v>
      </c>
      <c r="AO1154" s="15"/>
      <c r="AP1154" s="15"/>
      <c r="AQ1154" s="15"/>
      <c r="AR1154" s="23"/>
      <c r="AS1154" s="15"/>
      <c r="AT1154" s="15"/>
      <c r="AU1154" s="23"/>
      <c r="AV1154" s="23"/>
    </row>
    <row r="1155" spans="1:48" x14ac:dyDescent="0.25">
      <c r="A1155" t="s">
        <v>123</v>
      </c>
      <c r="B1155" t="s">
        <v>124</v>
      </c>
      <c r="D1155" t="s">
        <v>225</v>
      </c>
      <c r="E1155" s="2">
        <f t="shared" si="169"/>
        <v>46222</v>
      </c>
      <c r="F1155" s="3">
        <f t="shared" ref="F1155:F1218" si="175">IF(ISNUMBER(SEARCH("Landed", D1155)), TIMEVALUE(_xlfn.TEXTAFTER(D1155, " ")), NA())</f>
        <v>0.86388888888888893</v>
      </c>
      <c r="G1155" t="s">
        <v>222</v>
      </c>
      <c r="H1155" t="s">
        <v>223</v>
      </c>
      <c r="I1155" t="s">
        <v>126</v>
      </c>
      <c r="J1155" s="2">
        <v>46222</v>
      </c>
      <c r="K1155" s="1">
        <v>0.87361111111111101</v>
      </c>
      <c r="L1155" s="10">
        <f t="shared" si="171"/>
        <v>13.99999999999979</v>
      </c>
      <c r="M1155" s="1" t="str">
        <f t="shared" si="170"/>
        <v>On Time</v>
      </c>
      <c r="N1155" s="27" t="str">
        <f t="shared" si="172"/>
        <v>GetJet Airlines</v>
      </c>
      <c r="O1155" s="3" t="s">
        <v>1385</v>
      </c>
      <c r="P1155" s="20">
        <f t="shared" si="173"/>
        <v>20</v>
      </c>
      <c r="Q1155" s="3" t="s">
        <v>1385</v>
      </c>
      <c r="R1155" s="23" t="str">
        <f t="shared" si="174"/>
        <v>Sunday</v>
      </c>
      <c r="S1155" s="3" t="s">
        <v>1385</v>
      </c>
      <c r="T1155" s="23" t="s">
        <v>124</v>
      </c>
      <c r="U1155" s="3" t="s">
        <v>1385</v>
      </c>
      <c r="AO1155" s="15"/>
      <c r="AP1155" s="15"/>
      <c r="AQ1155" s="15"/>
      <c r="AR1155" s="23"/>
      <c r="AS1155" s="15"/>
      <c r="AT1155" s="15"/>
      <c r="AU1155" s="23"/>
      <c r="AV1155" s="23"/>
    </row>
    <row r="1156" spans="1:48" x14ac:dyDescent="0.25">
      <c r="A1156" t="s">
        <v>228</v>
      </c>
      <c r="B1156" t="s">
        <v>69</v>
      </c>
      <c r="C1156" s="10">
        <v>74</v>
      </c>
      <c r="D1156" t="s">
        <v>917</v>
      </c>
      <c r="E1156" s="2">
        <f t="shared" si="169"/>
        <v>46222</v>
      </c>
      <c r="F1156" s="3">
        <f t="shared" si="175"/>
        <v>0.89374999999999993</v>
      </c>
      <c r="G1156" t="s">
        <v>71</v>
      </c>
      <c r="H1156" t="s">
        <v>72</v>
      </c>
      <c r="I1156" t="s">
        <v>73</v>
      </c>
      <c r="J1156" s="2">
        <v>46222</v>
      </c>
      <c r="K1156" s="1">
        <v>0.88194444444444453</v>
      </c>
      <c r="L1156" s="10">
        <f t="shared" si="171"/>
        <v>-16.99999999999978</v>
      </c>
      <c r="M1156" s="1" t="str">
        <f t="shared" si="170"/>
        <v>Delayed</v>
      </c>
      <c r="N1156" s="27" t="str">
        <f t="shared" si="172"/>
        <v>Finnair</v>
      </c>
      <c r="O1156" s="3" t="s">
        <v>1318</v>
      </c>
      <c r="P1156" s="20">
        <f t="shared" si="173"/>
        <v>21</v>
      </c>
      <c r="Q1156" s="3" t="s">
        <v>1318</v>
      </c>
      <c r="R1156" s="23" t="str">
        <f t="shared" si="174"/>
        <v>Sunday</v>
      </c>
      <c r="S1156" s="3" t="s">
        <v>1318</v>
      </c>
      <c r="T1156" s="23" t="s">
        <v>69</v>
      </c>
      <c r="U1156" s="3" t="s">
        <v>1318</v>
      </c>
      <c r="AO1156" s="15"/>
      <c r="AP1156" s="15"/>
      <c r="AQ1156" s="15"/>
      <c r="AR1156" s="23"/>
      <c r="AS1156" s="15"/>
      <c r="AT1156" s="15"/>
      <c r="AU1156" s="23"/>
      <c r="AV1156" s="23"/>
    </row>
    <row r="1157" spans="1:48" x14ac:dyDescent="0.25">
      <c r="A1157" t="s">
        <v>230</v>
      </c>
      <c r="B1157" t="s">
        <v>231</v>
      </c>
      <c r="C1157" s="10">
        <v>-37</v>
      </c>
      <c r="D1157" t="s">
        <v>1130</v>
      </c>
      <c r="E1157" s="2">
        <f t="shared" si="169"/>
        <v>46222</v>
      </c>
      <c r="F1157" s="3">
        <f t="shared" si="175"/>
        <v>0.89166666666666661</v>
      </c>
      <c r="G1157" t="s">
        <v>81</v>
      </c>
      <c r="H1157" t="s">
        <v>82</v>
      </c>
      <c r="I1157" t="s">
        <v>83</v>
      </c>
      <c r="J1157" s="2">
        <v>46222</v>
      </c>
      <c r="K1157" s="1">
        <v>0.88541666666666663</v>
      </c>
      <c r="L1157" s="10">
        <f t="shared" si="171"/>
        <v>-8.999999999999968</v>
      </c>
      <c r="M1157" s="1" t="str">
        <f t="shared" si="170"/>
        <v>On Time</v>
      </c>
      <c r="N1157" s="27" t="e">
        <f t="shared" si="172"/>
        <v>#N/A</v>
      </c>
      <c r="O1157" s="3" t="s">
        <v>1385</v>
      </c>
      <c r="P1157" s="20">
        <f t="shared" si="173"/>
        <v>21</v>
      </c>
      <c r="Q1157" s="3" t="s">
        <v>1385</v>
      </c>
      <c r="R1157" s="23" t="str">
        <f t="shared" si="174"/>
        <v>Sunday</v>
      </c>
      <c r="S1157" s="3" t="s">
        <v>1385</v>
      </c>
      <c r="T1157" s="23" t="s">
        <v>231</v>
      </c>
      <c r="U1157" s="3" t="s">
        <v>1385</v>
      </c>
      <c r="AO1157" s="15"/>
      <c r="AP1157" s="15"/>
      <c r="AQ1157" s="15"/>
      <c r="AR1157" s="23"/>
      <c r="AS1157" s="15"/>
      <c r="AT1157" s="15"/>
      <c r="AU1157" s="23"/>
      <c r="AV1157" s="23"/>
    </row>
    <row r="1158" spans="1:48" x14ac:dyDescent="0.25">
      <c r="A1158" t="s">
        <v>123</v>
      </c>
      <c r="B1158" t="s">
        <v>124</v>
      </c>
      <c r="D1158" t="s">
        <v>242</v>
      </c>
      <c r="E1158" s="2">
        <f t="shared" si="169"/>
        <v>46222</v>
      </c>
      <c r="F1158" s="3" t="e">
        <f t="shared" si="175"/>
        <v>#N/A</v>
      </c>
      <c r="G1158" t="s">
        <v>226</v>
      </c>
      <c r="H1158" t="s">
        <v>227</v>
      </c>
      <c r="I1158" t="s">
        <v>1072</v>
      </c>
      <c r="J1158" s="2">
        <v>46222</v>
      </c>
      <c r="K1158" s="1">
        <v>0.89027777777777783</v>
      </c>
      <c r="L1158" s="10" t="e">
        <f t="shared" si="171"/>
        <v>#N/A</v>
      </c>
      <c r="M1158" s="1" t="e">
        <f t="shared" si="170"/>
        <v>#N/A</v>
      </c>
      <c r="N1158" s="27" t="str">
        <f t="shared" si="172"/>
        <v>GetJet Airlines</v>
      </c>
      <c r="O1158" s="3" t="e">
        <v>#N/A</v>
      </c>
      <c r="P1158" s="20" t="e">
        <f t="shared" si="173"/>
        <v>#N/A</v>
      </c>
      <c r="Q1158" s="3" t="e">
        <v>#N/A</v>
      </c>
      <c r="R1158" s="23" t="str">
        <f t="shared" si="174"/>
        <v>Sunday</v>
      </c>
      <c r="S1158" s="3" t="e">
        <v>#N/A</v>
      </c>
      <c r="T1158" s="23" t="s">
        <v>124</v>
      </c>
      <c r="AO1158" s="15"/>
      <c r="AP1158" s="15"/>
      <c r="AQ1158" s="15"/>
      <c r="AR1158" s="23"/>
      <c r="AS1158" s="15"/>
      <c r="AT1158" s="15"/>
      <c r="AU1158" s="23"/>
      <c r="AV1158" s="23"/>
    </row>
    <row r="1159" spans="1:48" x14ac:dyDescent="0.25">
      <c r="A1159" t="s">
        <v>1131</v>
      </c>
      <c r="B1159" t="s">
        <v>96</v>
      </c>
      <c r="C1159" s="10">
        <v>-500</v>
      </c>
      <c r="D1159" t="s">
        <v>242</v>
      </c>
      <c r="E1159" s="2">
        <f t="shared" si="169"/>
        <v>46222</v>
      </c>
      <c r="F1159" s="3" t="e">
        <f t="shared" si="175"/>
        <v>#N/A</v>
      </c>
      <c r="G1159" t="s">
        <v>71</v>
      </c>
      <c r="H1159" t="s">
        <v>72</v>
      </c>
      <c r="I1159" t="s">
        <v>123</v>
      </c>
      <c r="J1159" s="2">
        <v>46222</v>
      </c>
      <c r="K1159" s="1">
        <v>0.89236111111111116</v>
      </c>
      <c r="L1159" s="10">
        <v>-484</v>
      </c>
      <c r="M1159" s="1" t="str">
        <f t="shared" si="170"/>
        <v>Delayed</v>
      </c>
      <c r="N1159" s="27" t="str">
        <f t="shared" si="172"/>
        <v>Turkish Airlines</v>
      </c>
      <c r="O1159" s="3" t="e">
        <v>#N/A</v>
      </c>
      <c r="P1159" s="20" t="e">
        <f t="shared" si="173"/>
        <v>#N/A</v>
      </c>
      <c r="Q1159" s="3" t="e">
        <v>#N/A</v>
      </c>
      <c r="R1159" s="23" t="str">
        <f t="shared" si="174"/>
        <v>Sunday</v>
      </c>
      <c r="S1159" s="3" t="e">
        <v>#N/A</v>
      </c>
      <c r="T1159" s="23" t="s">
        <v>96</v>
      </c>
      <c r="AO1159" s="15"/>
      <c r="AP1159" s="15"/>
      <c r="AQ1159" s="15"/>
      <c r="AR1159" s="23"/>
      <c r="AS1159" s="15"/>
      <c r="AT1159" s="15"/>
      <c r="AU1159" s="23"/>
      <c r="AV1159" s="23"/>
    </row>
    <row r="1160" spans="1:48" x14ac:dyDescent="0.25">
      <c r="A1160" t="s">
        <v>540</v>
      </c>
      <c r="B1160" t="s">
        <v>13</v>
      </c>
      <c r="C1160" s="10">
        <v>-103</v>
      </c>
      <c r="D1160" t="s">
        <v>880</v>
      </c>
      <c r="E1160" s="2">
        <f t="shared" si="169"/>
        <v>46222</v>
      </c>
      <c r="F1160" s="3">
        <f t="shared" si="175"/>
        <v>0.94374999999999998</v>
      </c>
      <c r="G1160" t="s">
        <v>481</v>
      </c>
      <c r="H1160" t="s">
        <v>482</v>
      </c>
      <c r="I1160" t="s">
        <v>17</v>
      </c>
      <c r="J1160" s="2">
        <v>46222</v>
      </c>
      <c r="K1160" s="1">
        <v>0.89583333333333337</v>
      </c>
      <c r="L1160" s="10">
        <f t="shared" si="171"/>
        <v>-68.999999999999915</v>
      </c>
      <c r="M1160" s="1" t="str">
        <f t="shared" si="170"/>
        <v>Delayed</v>
      </c>
      <c r="N1160" s="27" t="str">
        <f t="shared" si="172"/>
        <v>Wizz Air</v>
      </c>
      <c r="O1160" s="3" t="s">
        <v>1318</v>
      </c>
      <c r="P1160" s="20">
        <f t="shared" si="173"/>
        <v>22</v>
      </c>
      <c r="Q1160" s="3" t="s">
        <v>1318</v>
      </c>
      <c r="R1160" s="23" t="str">
        <f t="shared" si="174"/>
        <v>Sunday</v>
      </c>
      <c r="S1160" s="3" t="s">
        <v>1318</v>
      </c>
      <c r="T1160" s="23" t="s">
        <v>13</v>
      </c>
      <c r="U1160" s="3" t="s">
        <v>1318</v>
      </c>
      <c r="AO1160" s="15"/>
      <c r="AP1160" s="15"/>
      <c r="AQ1160" s="15"/>
      <c r="AR1160" s="23"/>
      <c r="AS1160" s="15"/>
      <c r="AT1160" s="15"/>
      <c r="AU1160" s="23"/>
      <c r="AV1160" s="23"/>
    </row>
    <row r="1161" spans="1:48" x14ac:dyDescent="0.25">
      <c r="A1161" t="s">
        <v>245</v>
      </c>
      <c r="B1161" t="s">
        <v>124</v>
      </c>
      <c r="D1161" t="s">
        <v>542</v>
      </c>
      <c r="E1161" s="2">
        <f t="shared" si="169"/>
        <v>46222</v>
      </c>
      <c r="F1161" s="3">
        <f t="shared" si="175"/>
        <v>0.92013888888888884</v>
      </c>
      <c r="G1161" t="s">
        <v>247</v>
      </c>
      <c r="H1161" t="s">
        <v>248</v>
      </c>
      <c r="I1161" t="s">
        <v>249</v>
      </c>
      <c r="J1161" s="2">
        <v>46222</v>
      </c>
      <c r="K1161" s="1">
        <v>0.9194444444444444</v>
      </c>
      <c r="L1161" s="10">
        <f t="shared" si="171"/>
        <v>-0.99999999999999645</v>
      </c>
      <c r="M1161" s="1" t="str">
        <f t="shared" si="170"/>
        <v>On Time</v>
      </c>
      <c r="N1161" s="27" t="str">
        <f t="shared" si="172"/>
        <v>GetJet Airlines</v>
      </c>
      <c r="O1161" s="3" t="s">
        <v>1385</v>
      </c>
      <c r="P1161" s="20">
        <f t="shared" si="173"/>
        <v>22</v>
      </c>
      <c r="Q1161" s="3" t="s">
        <v>1385</v>
      </c>
      <c r="R1161" s="23" t="str">
        <f t="shared" si="174"/>
        <v>Sunday</v>
      </c>
      <c r="S1161" s="3" t="s">
        <v>1385</v>
      </c>
      <c r="T1161" s="23" t="s">
        <v>124</v>
      </c>
      <c r="U1161" s="3" t="s">
        <v>1385</v>
      </c>
      <c r="AO1161" s="15"/>
      <c r="AP1161" s="15"/>
      <c r="AQ1161" s="15"/>
      <c r="AR1161" s="23"/>
      <c r="AS1161" s="15"/>
      <c r="AT1161" s="15"/>
      <c r="AU1161" s="23"/>
      <c r="AV1161" s="23"/>
    </row>
    <row r="1162" spans="1:48" x14ac:dyDescent="0.25">
      <c r="A1162" t="s">
        <v>233</v>
      </c>
      <c r="B1162" t="s">
        <v>7</v>
      </c>
      <c r="C1162" s="10">
        <v>-49</v>
      </c>
      <c r="D1162" t="s">
        <v>255</v>
      </c>
      <c r="E1162" s="2">
        <f t="shared" si="169"/>
        <v>46222</v>
      </c>
      <c r="F1162" s="3">
        <f t="shared" si="175"/>
        <v>0.95277777777777783</v>
      </c>
      <c r="G1162" t="s">
        <v>76</v>
      </c>
      <c r="H1162" t="s">
        <v>77</v>
      </c>
      <c r="I1162" t="s">
        <v>11</v>
      </c>
      <c r="J1162" s="2">
        <v>46222</v>
      </c>
      <c r="K1162" s="1">
        <v>0.93055555555555547</v>
      </c>
      <c r="L1162" s="10">
        <f t="shared" si="171"/>
        <v>-32.000000000000206</v>
      </c>
      <c r="M1162" s="1" t="str">
        <f t="shared" si="170"/>
        <v>Delayed</v>
      </c>
      <c r="N1162" s="27" t="str">
        <f t="shared" si="172"/>
        <v>airBaltic</v>
      </c>
      <c r="O1162" s="3" t="s">
        <v>1318</v>
      </c>
      <c r="P1162" s="20">
        <f t="shared" si="173"/>
        <v>22</v>
      </c>
      <c r="Q1162" s="3" t="s">
        <v>1318</v>
      </c>
      <c r="R1162" s="23" t="str">
        <f t="shared" si="174"/>
        <v>Sunday</v>
      </c>
      <c r="S1162" s="3" t="s">
        <v>1318</v>
      </c>
      <c r="T1162" s="23" t="s">
        <v>7</v>
      </c>
      <c r="U1162" s="3" t="s">
        <v>1318</v>
      </c>
      <c r="AO1162" s="15"/>
      <c r="AP1162" s="15"/>
      <c r="AQ1162" s="15"/>
      <c r="AR1162" s="23"/>
      <c r="AS1162" s="15"/>
      <c r="AT1162" s="15"/>
      <c r="AU1162" s="23"/>
      <c r="AV1162" s="23"/>
    </row>
    <row r="1163" spans="1:48" x14ac:dyDescent="0.25">
      <c r="A1163" t="s">
        <v>235</v>
      </c>
      <c r="B1163" t="s">
        <v>19</v>
      </c>
      <c r="C1163" s="10">
        <v>-22</v>
      </c>
      <c r="D1163" t="s">
        <v>1132</v>
      </c>
      <c r="E1163" s="2">
        <f t="shared" si="169"/>
        <v>46222</v>
      </c>
      <c r="F1163" s="3">
        <f t="shared" si="175"/>
        <v>0.93055555555555547</v>
      </c>
      <c r="G1163" t="s">
        <v>21</v>
      </c>
      <c r="H1163" t="s">
        <v>22</v>
      </c>
      <c r="I1163" t="s">
        <v>143</v>
      </c>
      <c r="J1163" s="2">
        <v>46222</v>
      </c>
      <c r="K1163" s="1">
        <v>0.93055555555555547</v>
      </c>
      <c r="L1163" s="10">
        <f t="shared" si="171"/>
        <v>0</v>
      </c>
      <c r="M1163" s="1" t="str">
        <f t="shared" si="170"/>
        <v>On Time</v>
      </c>
      <c r="N1163" s="27" t="str">
        <f t="shared" si="172"/>
        <v>LOT</v>
      </c>
      <c r="O1163" s="3" t="s">
        <v>1385</v>
      </c>
      <c r="P1163" s="20">
        <f t="shared" si="173"/>
        <v>22</v>
      </c>
      <c r="Q1163" s="3" t="s">
        <v>1385</v>
      </c>
      <c r="R1163" s="23" t="str">
        <f t="shared" si="174"/>
        <v>Sunday</v>
      </c>
      <c r="S1163" s="3" t="s">
        <v>1385</v>
      </c>
      <c r="T1163" s="23" t="s">
        <v>19</v>
      </c>
      <c r="U1163" s="3" t="s">
        <v>1385</v>
      </c>
      <c r="AO1163" s="15"/>
      <c r="AP1163" s="15"/>
      <c r="AQ1163" s="15"/>
      <c r="AR1163" s="23"/>
      <c r="AS1163" s="15"/>
      <c r="AT1163" s="15"/>
      <c r="AU1163" s="23"/>
      <c r="AV1163" s="23"/>
    </row>
    <row r="1164" spans="1:48" x14ac:dyDescent="0.25">
      <c r="A1164" t="s">
        <v>219</v>
      </c>
      <c r="B1164" t="s">
        <v>7</v>
      </c>
      <c r="C1164" s="10">
        <v>-131</v>
      </c>
      <c r="D1164" t="s">
        <v>474</v>
      </c>
      <c r="E1164" s="2">
        <v>46223</v>
      </c>
      <c r="F1164" s="3">
        <f t="shared" si="175"/>
        <v>2.9166666666666664E-2</v>
      </c>
      <c r="G1164" t="s">
        <v>9</v>
      </c>
      <c r="H1164" t="s">
        <v>10</v>
      </c>
      <c r="I1164" t="s">
        <v>11</v>
      </c>
      <c r="J1164" s="2">
        <v>46222</v>
      </c>
      <c r="K1164" s="1">
        <v>0.95138888888888884</v>
      </c>
      <c r="L1164" s="10">
        <f t="shared" si="171"/>
        <v>-111.99999999999991</v>
      </c>
      <c r="M1164" s="1" t="str">
        <f t="shared" si="170"/>
        <v>Delayed</v>
      </c>
      <c r="N1164" s="27" t="str">
        <f t="shared" si="172"/>
        <v>airBaltic</v>
      </c>
      <c r="O1164" s="3" t="s">
        <v>1318</v>
      </c>
      <c r="P1164" s="20">
        <f t="shared" si="173"/>
        <v>0</v>
      </c>
      <c r="Q1164" s="3" t="s">
        <v>1318</v>
      </c>
      <c r="R1164" s="23" t="str">
        <f t="shared" si="174"/>
        <v>Monday</v>
      </c>
      <c r="S1164" s="3" t="s">
        <v>1318</v>
      </c>
      <c r="T1164" s="23" t="s">
        <v>7</v>
      </c>
      <c r="U1164" s="3" t="s">
        <v>1318</v>
      </c>
      <c r="AO1164" s="15"/>
      <c r="AP1164" s="15"/>
      <c r="AQ1164" s="15"/>
      <c r="AR1164" s="23"/>
      <c r="AS1164" s="15"/>
      <c r="AT1164" s="15"/>
      <c r="AU1164" s="23"/>
      <c r="AV1164" s="23"/>
    </row>
    <row r="1165" spans="1:48" x14ac:dyDescent="0.25">
      <c r="A1165" t="s">
        <v>100</v>
      </c>
      <c r="B1165" t="s">
        <v>85</v>
      </c>
      <c r="C1165" s="10">
        <v>-22</v>
      </c>
      <c r="D1165" t="s">
        <v>842</v>
      </c>
      <c r="E1165" s="2">
        <f t="shared" ref="E1165:E1228" si="176">J1165</f>
        <v>46222</v>
      </c>
      <c r="F1165" s="3">
        <f t="shared" si="175"/>
        <v>0.9506944444444444</v>
      </c>
      <c r="G1165" t="s">
        <v>102</v>
      </c>
      <c r="H1165" t="s">
        <v>103</v>
      </c>
      <c r="I1165" t="s">
        <v>89</v>
      </c>
      <c r="J1165" s="2">
        <v>46222</v>
      </c>
      <c r="K1165" s="1">
        <v>0.95833333333333337</v>
      </c>
      <c r="L1165" s="10">
        <f t="shared" si="171"/>
        <v>11.000000000000121</v>
      </c>
      <c r="M1165" s="1" t="str">
        <f t="shared" si="170"/>
        <v>On Time</v>
      </c>
      <c r="N1165" s="27" t="str">
        <f t="shared" si="172"/>
        <v>Ryanair</v>
      </c>
      <c r="O1165" s="3" t="s">
        <v>1385</v>
      </c>
      <c r="P1165" s="20">
        <f t="shared" si="173"/>
        <v>22</v>
      </c>
      <c r="Q1165" s="3" t="s">
        <v>1385</v>
      </c>
      <c r="R1165" s="23" t="str">
        <f t="shared" si="174"/>
        <v>Sunday</v>
      </c>
      <c r="S1165" s="3" t="s">
        <v>1385</v>
      </c>
      <c r="T1165" s="23" t="s">
        <v>85</v>
      </c>
      <c r="U1165" s="3" t="s">
        <v>1385</v>
      </c>
      <c r="AO1165" s="15"/>
      <c r="AP1165" s="15"/>
      <c r="AQ1165" s="15"/>
      <c r="AR1165" s="23"/>
      <c r="AS1165" s="15"/>
      <c r="AT1165" s="15"/>
      <c r="AU1165" s="23"/>
      <c r="AV1165" s="23"/>
    </row>
    <row r="1166" spans="1:48" x14ac:dyDescent="0.25">
      <c r="A1166" t="s">
        <v>387</v>
      </c>
      <c r="B1166" t="s">
        <v>388</v>
      </c>
      <c r="C1166" s="10">
        <v>-20</v>
      </c>
      <c r="D1166" t="s">
        <v>1133</v>
      </c>
      <c r="E1166" s="2">
        <f t="shared" si="176"/>
        <v>46222</v>
      </c>
      <c r="F1166" s="3">
        <f t="shared" si="175"/>
        <v>0.96250000000000002</v>
      </c>
      <c r="G1166" t="s">
        <v>119</v>
      </c>
      <c r="H1166" t="s">
        <v>120</v>
      </c>
      <c r="I1166" t="s">
        <v>390</v>
      </c>
      <c r="J1166" s="2">
        <v>46222</v>
      </c>
      <c r="K1166" s="1">
        <v>0.96250000000000002</v>
      </c>
      <c r="L1166" s="10">
        <f t="shared" si="171"/>
        <v>0</v>
      </c>
      <c r="M1166" s="1" t="str">
        <f t="shared" si="170"/>
        <v>On Time</v>
      </c>
      <c r="N1166" s="27" t="e">
        <f t="shared" si="172"/>
        <v>#N/A</v>
      </c>
      <c r="O1166" s="3" t="s">
        <v>1385</v>
      </c>
      <c r="P1166" s="20">
        <f t="shared" si="173"/>
        <v>23</v>
      </c>
      <c r="Q1166" s="3" t="s">
        <v>1385</v>
      </c>
      <c r="R1166" s="23" t="str">
        <f t="shared" si="174"/>
        <v>Sunday</v>
      </c>
      <c r="S1166" s="3" t="s">
        <v>1385</v>
      </c>
      <c r="T1166" s="23" t="s">
        <v>388</v>
      </c>
      <c r="U1166" s="3" t="s">
        <v>1385</v>
      </c>
      <c r="AO1166" s="15"/>
      <c r="AP1166" s="15"/>
      <c r="AQ1166" s="15"/>
      <c r="AR1166" s="23"/>
      <c r="AS1166" s="15"/>
      <c r="AT1166" s="15"/>
      <c r="AU1166" s="23"/>
      <c r="AV1166" s="23"/>
    </row>
    <row r="1167" spans="1:48" x14ac:dyDescent="0.25">
      <c r="A1167" t="s">
        <v>258</v>
      </c>
      <c r="B1167" t="s">
        <v>190</v>
      </c>
      <c r="C1167" s="10">
        <v>-21</v>
      </c>
      <c r="D1167" t="s">
        <v>1080</v>
      </c>
      <c r="E1167" s="2">
        <f t="shared" si="176"/>
        <v>46222</v>
      </c>
      <c r="F1167" s="3">
        <f t="shared" si="175"/>
        <v>0.97430555555555554</v>
      </c>
      <c r="G1167" t="s">
        <v>110</v>
      </c>
      <c r="H1167" t="s">
        <v>111</v>
      </c>
      <c r="I1167" t="s">
        <v>210</v>
      </c>
      <c r="J1167" s="2">
        <v>46222</v>
      </c>
      <c r="K1167" s="1">
        <v>0.97916666666666663</v>
      </c>
      <c r="L1167" s="10">
        <f t="shared" si="171"/>
        <v>6.9999999999999751</v>
      </c>
      <c r="M1167" s="1" t="str">
        <f t="shared" si="170"/>
        <v>On Time</v>
      </c>
      <c r="N1167" s="27" t="str">
        <f t="shared" si="172"/>
        <v>Lufthansa</v>
      </c>
      <c r="O1167" s="3" t="s">
        <v>1385</v>
      </c>
      <c r="P1167" s="20">
        <f t="shared" si="173"/>
        <v>23</v>
      </c>
      <c r="Q1167" s="3" t="s">
        <v>1385</v>
      </c>
      <c r="R1167" s="23" t="str">
        <f t="shared" si="174"/>
        <v>Sunday</v>
      </c>
      <c r="S1167" s="3" t="s">
        <v>1385</v>
      </c>
      <c r="T1167" s="23" t="s">
        <v>190</v>
      </c>
      <c r="U1167" s="3" t="s">
        <v>1385</v>
      </c>
      <c r="AO1167" s="15"/>
      <c r="AP1167" s="15"/>
      <c r="AQ1167" s="15"/>
      <c r="AR1167" s="23"/>
      <c r="AS1167" s="15"/>
      <c r="AT1167" s="15"/>
      <c r="AU1167" s="23"/>
      <c r="AV1167" s="23"/>
    </row>
    <row r="1168" spans="1:48" x14ac:dyDescent="0.25">
      <c r="A1168" t="s">
        <v>250</v>
      </c>
      <c r="B1168" t="s">
        <v>7</v>
      </c>
      <c r="C1168" s="10">
        <v>-21</v>
      </c>
      <c r="D1168" t="s">
        <v>549</v>
      </c>
      <c r="E1168" s="2">
        <f t="shared" si="176"/>
        <v>46222</v>
      </c>
      <c r="F1168" s="3">
        <f t="shared" si="175"/>
        <v>0.98888888888888893</v>
      </c>
      <c r="G1168" t="s">
        <v>252</v>
      </c>
      <c r="H1168" t="s">
        <v>253</v>
      </c>
      <c r="I1168" t="s">
        <v>11</v>
      </c>
      <c r="J1168" s="2">
        <v>46222</v>
      </c>
      <c r="K1168" s="1">
        <v>0.99652777777777779</v>
      </c>
      <c r="L1168" s="10">
        <f t="shared" si="171"/>
        <v>10.999999999999961</v>
      </c>
      <c r="M1168" s="1" t="str">
        <f t="shared" si="170"/>
        <v>On Time</v>
      </c>
      <c r="N1168" s="27" t="str">
        <f t="shared" si="172"/>
        <v>airBaltic</v>
      </c>
      <c r="O1168" s="3" t="s">
        <v>1385</v>
      </c>
      <c r="P1168" s="20">
        <f t="shared" si="173"/>
        <v>23</v>
      </c>
      <c r="Q1168" s="3" t="s">
        <v>1385</v>
      </c>
      <c r="R1168" s="23" t="str">
        <f t="shared" si="174"/>
        <v>Sunday</v>
      </c>
      <c r="S1168" s="3" t="s">
        <v>1385</v>
      </c>
      <c r="T1168" s="23" t="s">
        <v>7</v>
      </c>
      <c r="U1168" s="3" t="s">
        <v>1385</v>
      </c>
      <c r="AO1168" s="15"/>
      <c r="AP1168" s="15"/>
      <c r="AQ1168" s="15"/>
      <c r="AR1168" s="23"/>
      <c r="AS1168" s="15"/>
      <c r="AT1168" s="15"/>
      <c r="AU1168" s="23"/>
      <c r="AV1168" s="23"/>
    </row>
    <row r="1169" spans="1:48" x14ac:dyDescent="0.25">
      <c r="A1169" t="s">
        <v>6</v>
      </c>
      <c r="B1169" t="s">
        <v>7</v>
      </c>
      <c r="C1169" s="10">
        <v>-120</v>
      </c>
      <c r="D1169" t="s">
        <v>1134</v>
      </c>
      <c r="E1169" s="2">
        <f t="shared" si="176"/>
        <v>46223</v>
      </c>
      <c r="F1169" s="3">
        <f t="shared" si="175"/>
        <v>9.0972222222222218E-2</v>
      </c>
      <c r="G1169" t="s">
        <v>9</v>
      </c>
      <c r="H1169" t="s">
        <v>10</v>
      </c>
      <c r="I1169" t="s">
        <v>11</v>
      </c>
      <c r="J1169" s="2">
        <v>46223</v>
      </c>
      <c r="K1169" s="1">
        <v>2.0833333333333332E-2</v>
      </c>
      <c r="L1169" s="10">
        <f t="shared" si="171"/>
        <v>-101</v>
      </c>
      <c r="M1169" s="1" t="str">
        <f t="shared" si="170"/>
        <v>Delayed</v>
      </c>
      <c r="N1169" s="27" t="str">
        <f t="shared" si="172"/>
        <v>airBaltic</v>
      </c>
      <c r="O1169" s="3" t="s">
        <v>1318</v>
      </c>
      <c r="P1169" s="20">
        <f t="shared" si="173"/>
        <v>2</v>
      </c>
      <c r="Q1169" s="3" t="s">
        <v>1318</v>
      </c>
      <c r="R1169" s="23" t="str">
        <f t="shared" si="174"/>
        <v>Monday</v>
      </c>
      <c r="S1169" s="3" t="s">
        <v>1318</v>
      </c>
      <c r="T1169" s="23" t="s">
        <v>7</v>
      </c>
      <c r="U1169" s="3" t="s">
        <v>1318</v>
      </c>
      <c r="AO1169" s="15"/>
      <c r="AP1169" s="15"/>
      <c r="AQ1169" s="15"/>
      <c r="AR1169" s="23"/>
      <c r="AS1169" s="15"/>
      <c r="AT1169" s="15"/>
      <c r="AU1169" s="23"/>
      <c r="AV1169" s="23"/>
    </row>
    <row r="1170" spans="1:48" x14ac:dyDescent="0.25">
      <c r="A1170" t="s">
        <v>12</v>
      </c>
      <c r="B1170" t="s">
        <v>13</v>
      </c>
      <c r="C1170" s="10">
        <v>-44</v>
      </c>
      <c r="D1170" t="s">
        <v>399</v>
      </c>
      <c r="E1170" s="2">
        <f t="shared" si="176"/>
        <v>46223</v>
      </c>
      <c r="F1170" s="3">
        <f t="shared" si="175"/>
        <v>1.8055555555555557E-2</v>
      </c>
      <c r="G1170" t="s">
        <v>15</v>
      </c>
      <c r="H1170" t="s">
        <v>16</v>
      </c>
      <c r="I1170" t="s">
        <v>17</v>
      </c>
      <c r="J1170" s="2">
        <v>46223</v>
      </c>
      <c r="K1170" s="1">
        <v>2.0833333333333332E-2</v>
      </c>
      <c r="L1170" s="10">
        <f t="shared" si="171"/>
        <v>3.9999999999999956</v>
      </c>
      <c r="M1170" s="1" t="str">
        <f t="shared" si="170"/>
        <v>On Time</v>
      </c>
      <c r="N1170" s="27" t="str">
        <f t="shared" si="172"/>
        <v>Wizz Air</v>
      </c>
      <c r="O1170" s="3" t="s">
        <v>1385</v>
      </c>
      <c r="P1170" s="20">
        <f t="shared" si="173"/>
        <v>0</v>
      </c>
      <c r="Q1170" s="3" t="s">
        <v>1385</v>
      </c>
      <c r="R1170" s="23" t="str">
        <f t="shared" si="174"/>
        <v>Monday</v>
      </c>
      <c r="S1170" s="3" t="s">
        <v>1385</v>
      </c>
      <c r="T1170" s="23" t="s">
        <v>13</v>
      </c>
      <c r="U1170" s="3" t="s">
        <v>1385</v>
      </c>
      <c r="AO1170" s="15"/>
      <c r="AP1170" s="15"/>
      <c r="AQ1170" s="15"/>
      <c r="AR1170" s="23"/>
      <c r="AS1170" s="15"/>
      <c r="AT1170" s="15"/>
      <c r="AU1170" s="23"/>
      <c r="AV1170" s="23"/>
    </row>
    <row r="1171" spans="1:48" x14ac:dyDescent="0.25">
      <c r="A1171" t="s">
        <v>18</v>
      </c>
      <c r="B1171" t="s">
        <v>19</v>
      </c>
      <c r="C1171" s="10">
        <v>-31</v>
      </c>
      <c r="D1171" t="s">
        <v>747</v>
      </c>
      <c r="E1171" s="2">
        <f t="shared" si="176"/>
        <v>46223</v>
      </c>
      <c r="F1171" s="3">
        <f t="shared" si="175"/>
        <v>3.4722222222222224E-2</v>
      </c>
      <c r="G1171" t="s">
        <v>21</v>
      </c>
      <c r="H1171" t="s">
        <v>22</v>
      </c>
      <c r="I1171" t="s">
        <v>276</v>
      </c>
      <c r="J1171" s="2">
        <v>46223</v>
      </c>
      <c r="K1171" s="1">
        <v>2.7777777777777776E-2</v>
      </c>
      <c r="L1171" s="10">
        <f t="shared" si="171"/>
        <v>-10.000000000000004</v>
      </c>
      <c r="M1171" s="1" t="str">
        <f t="shared" ref="M1171:M1234" si="177">IF(L1171&gt;=-15, "On Time", "Delayed")</f>
        <v>On Time</v>
      </c>
      <c r="N1171" s="27" t="str">
        <f t="shared" si="172"/>
        <v>LOT</v>
      </c>
      <c r="O1171" s="3" t="s">
        <v>1385</v>
      </c>
      <c r="P1171" s="20">
        <f t="shared" si="173"/>
        <v>0</v>
      </c>
      <c r="Q1171" s="3" t="s">
        <v>1385</v>
      </c>
      <c r="R1171" s="23" t="str">
        <f t="shared" si="174"/>
        <v>Monday</v>
      </c>
      <c r="S1171" s="3" t="s">
        <v>1385</v>
      </c>
      <c r="T1171" s="23" t="s">
        <v>19</v>
      </c>
      <c r="U1171" s="3" t="s">
        <v>1385</v>
      </c>
      <c r="AO1171" s="15"/>
      <c r="AP1171" s="15"/>
      <c r="AQ1171" s="15"/>
      <c r="AR1171" s="23"/>
      <c r="AS1171" s="15"/>
      <c r="AT1171" s="15"/>
      <c r="AU1171" s="23"/>
      <c r="AV1171" s="23"/>
    </row>
    <row r="1172" spans="1:48" x14ac:dyDescent="0.25">
      <c r="A1172" t="s">
        <v>24</v>
      </c>
      <c r="B1172" t="s">
        <v>7</v>
      </c>
      <c r="C1172" s="10">
        <v>-11</v>
      </c>
      <c r="D1172" t="s">
        <v>1135</v>
      </c>
      <c r="E1172" s="2">
        <f t="shared" si="176"/>
        <v>46223</v>
      </c>
      <c r="F1172" s="3">
        <f t="shared" si="175"/>
        <v>2.1527777777777781E-2</v>
      </c>
      <c r="G1172" t="s">
        <v>26</v>
      </c>
      <c r="H1172" t="s">
        <v>27</v>
      </c>
      <c r="I1172" t="s">
        <v>11</v>
      </c>
      <c r="J1172" s="2">
        <v>46223</v>
      </c>
      <c r="K1172" s="1">
        <v>3.125E-2</v>
      </c>
      <c r="L1172" s="10">
        <f t="shared" si="171"/>
        <v>13.999999999999995</v>
      </c>
      <c r="M1172" s="1" t="str">
        <f t="shared" si="177"/>
        <v>On Time</v>
      </c>
      <c r="N1172" s="27" t="str">
        <f t="shared" si="172"/>
        <v>airBaltic</v>
      </c>
      <c r="O1172" s="3" t="s">
        <v>1385</v>
      </c>
      <c r="P1172" s="20">
        <f t="shared" si="173"/>
        <v>0</v>
      </c>
      <c r="Q1172" s="3" t="s">
        <v>1385</v>
      </c>
      <c r="R1172" s="23" t="str">
        <f t="shared" si="174"/>
        <v>Monday</v>
      </c>
      <c r="S1172" s="3" t="s">
        <v>1385</v>
      </c>
      <c r="T1172" s="23" t="s">
        <v>7</v>
      </c>
      <c r="U1172" s="3" t="s">
        <v>1385</v>
      </c>
      <c r="AO1172" s="15"/>
      <c r="AP1172" s="15"/>
      <c r="AQ1172" s="15"/>
      <c r="AR1172" s="23"/>
      <c r="AS1172" s="15"/>
      <c r="AT1172" s="15"/>
      <c r="AU1172" s="23"/>
      <c r="AV1172" s="23"/>
    </row>
    <row r="1173" spans="1:48" x14ac:dyDescent="0.25">
      <c r="A1173" t="s">
        <v>104</v>
      </c>
      <c r="B1173" t="s">
        <v>85</v>
      </c>
      <c r="C1173" s="10">
        <v>-98</v>
      </c>
      <c r="D1173" t="s">
        <v>478</v>
      </c>
      <c r="E1173" s="2">
        <f t="shared" si="176"/>
        <v>46223</v>
      </c>
      <c r="F1173" s="3">
        <f t="shared" si="175"/>
        <v>8.819444444444445E-2</v>
      </c>
      <c r="G1173" t="s">
        <v>106</v>
      </c>
      <c r="H1173" t="s">
        <v>107</v>
      </c>
      <c r="I1173" t="s">
        <v>89</v>
      </c>
      <c r="J1173" s="2">
        <v>46223</v>
      </c>
      <c r="K1173" s="1">
        <v>4.1666666666666664E-2</v>
      </c>
      <c r="L1173" s="10">
        <f t="shared" si="171"/>
        <v>-67.000000000000014</v>
      </c>
      <c r="M1173" s="1" t="str">
        <f t="shared" si="177"/>
        <v>Delayed</v>
      </c>
      <c r="N1173" s="27" t="str">
        <f t="shared" si="172"/>
        <v>Ryanair</v>
      </c>
      <c r="O1173" s="3" t="s">
        <v>1318</v>
      </c>
      <c r="P1173" s="20">
        <f t="shared" si="173"/>
        <v>2</v>
      </c>
      <c r="Q1173" s="3" t="s">
        <v>1318</v>
      </c>
      <c r="R1173" s="23" t="str">
        <f t="shared" si="174"/>
        <v>Monday</v>
      </c>
      <c r="S1173" s="3" t="s">
        <v>1318</v>
      </c>
      <c r="T1173" s="23" t="s">
        <v>85</v>
      </c>
      <c r="U1173" s="3" t="s">
        <v>1318</v>
      </c>
      <c r="AO1173" s="15"/>
      <c r="AP1173" s="15"/>
      <c r="AQ1173" s="15"/>
      <c r="AR1173" s="23"/>
      <c r="AS1173" s="15"/>
      <c r="AT1173" s="15"/>
      <c r="AU1173" s="23"/>
      <c r="AV1173" s="23"/>
    </row>
    <row r="1174" spans="1:48" x14ac:dyDescent="0.25">
      <c r="A1174" t="s">
        <v>36</v>
      </c>
      <c r="B1174" t="s">
        <v>7</v>
      </c>
      <c r="C1174" s="10">
        <v>-40</v>
      </c>
      <c r="D1174" t="s">
        <v>751</v>
      </c>
      <c r="E1174" s="2">
        <f t="shared" si="176"/>
        <v>46223</v>
      </c>
      <c r="F1174" s="3">
        <f t="shared" si="175"/>
        <v>6.25E-2</v>
      </c>
      <c r="G1174" t="s">
        <v>38</v>
      </c>
      <c r="H1174" t="s">
        <v>39</v>
      </c>
      <c r="I1174" t="s">
        <v>11</v>
      </c>
      <c r="J1174" s="2">
        <v>46223</v>
      </c>
      <c r="K1174" s="1">
        <v>5.9027777777777783E-2</v>
      </c>
      <c r="L1174" s="10">
        <f t="shared" si="171"/>
        <v>-4.999999999999992</v>
      </c>
      <c r="M1174" s="1" t="str">
        <f t="shared" si="177"/>
        <v>On Time</v>
      </c>
      <c r="N1174" s="27" t="str">
        <f t="shared" si="172"/>
        <v>airBaltic</v>
      </c>
      <c r="O1174" s="3" t="s">
        <v>1385</v>
      </c>
      <c r="P1174" s="20">
        <f t="shared" si="173"/>
        <v>1</v>
      </c>
      <c r="Q1174" s="3" t="s">
        <v>1385</v>
      </c>
      <c r="R1174" s="23" t="str">
        <f t="shared" si="174"/>
        <v>Monday</v>
      </c>
      <c r="S1174" s="3" t="s">
        <v>1385</v>
      </c>
      <c r="T1174" s="23" t="s">
        <v>7</v>
      </c>
      <c r="U1174" s="3" t="s">
        <v>1385</v>
      </c>
      <c r="AO1174" s="15"/>
      <c r="AP1174" s="15"/>
      <c r="AQ1174" s="15"/>
      <c r="AR1174" s="23"/>
      <c r="AS1174" s="15"/>
      <c r="AT1174" s="15"/>
      <c r="AU1174" s="23"/>
      <c r="AV1174" s="23"/>
    </row>
    <row r="1175" spans="1:48" x14ac:dyDescent="0.25">
      <c r="A1175" t="s">
        <v>40</v>
      </c>
      <c r="B1175" t="s">
        <v>555</v>
      </c>
      <c r="C1175" s="10">
        <v>-8</v>
      </c>
      <c r="D1175" t="s">
        <v>1136</v>
      </c>
      <c r="E1175" s="2">
        <f t="shared" si="176"/>
        <v>46223</v>
      </c>
      <c r="F1175" s="3">
        <f t="shared" si="175"/>
        <v>5.4166666666666669E-2</v>
      </c>
      <c r="G1175" t="s">
        <v>43</v>
      </c>
      <c r="H1175" t="s">
        <v>44</v>
      </c>
      <c r="I1175" t="s">
        <v>557</v>
      </c>
      <c r="J1175" s="2">
        <v>46223</v>
      </c>
      <c r="K1175" s="1">
        <v>5.9027777777777783E-2</v>
      </c>
      <c r="L1175" s="10">
        <f t="shared" si="171"/>
        <v>7.0000000000000053</v>
      </c>
      <c r="M1175" s="1" t="str">
        <f t="shared" si="177"/>
        <v>On Time</v>
      </c>
      <c r="N1175" s="27" t="e">
        <f t="shared" si="172"/>
        <v>#N/A</v>
      </c>
      <c r="O1175" s="3" t="s">
        <v>1385</v>
      </c>
      <c r="P1175" s="20">
        <f t="shared" si="173"/>
        <v>1</v>
      </c>
      <c r="Q1175" s="3" t="s">
        <v>1385</v>
      </c>
      <c r="R1175" s="23" t="str">
        <f t="shared" si="174"/>
        <v>Monday</v>
      </c>
      <c r="S1175" s="3" t="s">
        <v>1385</v>
      </c>
      <c r="T1175" s="23" t="s">
        <v>555</v>
      </c>
      <c r="U1175" s="3" t="s">
        <v>1385</v>
      </c>
      <c r="AO1175" s="15"/>
      <c r="AP1175" s="15"/>
      <c r="AQ1175" s="15"/>
      <c r="AR1175" s="23"/>
      <c r="AS1175" s="15"/>
      <c r="AT1175" s="15"/>
      <c r="AU1175" s="23"/>
      <c r="AV1175" s="23"/>
    </row>
    <row r="1176" spans="1:48" x14ac:dyDescent="0.25">
      <c r="A1176" t="s">
        <v>285</v>
      </c>
      <c r="B1176" t="s">
        <v>13</v>
      </c>
      <c r="C1176" s="10">
        <v>-2</v>
      </c>
      <c r="D1176" t="s">
        <v>851</v>
      </c>
      <c r="E1176" s="2">
        <f t="shared" si="176"/>
        <v>46223</v>
      </c>
      <c r="F1176" s="3">
        <f t="shared" si="175"/>
        <v>5.2083333333333336E-2</v>
      </c>
      <c r="G1176" t="s">
        <v>287</v>
      </c>
      <c r="H1176" t="s">
        <v>288</v>
      </c>
      <c r="I1176" t="s">
        <v>17</v>
      </c>
      <c r="J1176" s="2">
        <v>46223</v>
      </c>
      <c r="K1176" s="1">
        <v>5.9027777777777783E-2</v>
      </c>
      <c r="L1176" s="10">
        <f t="shared" si="171"/>
        <v>10.000000000000004</v>
      </c>
      <c r="M1176" s="1" t="str">
        <f t="shared" si="177"/>
        <v>On Time</v>
      </c>
      <c r="N1176" s="27" t="str">
        <f t="shared" si="172"/>
        <v>Wizz Air</v>
      </c>
      <c r="O1176" s="3" t="s">
        <v>1385</v>
      </c>
      <c r="P1176" s="20">
        <f t="shared" si="173"/>
        <v>1</v>
      </c>
      <c r="Q1176" s="3" t="s">
        <v>1385</v>
      </c>
      <c r="R1176" s="23" t="str">
        <f t="shared" si="174"/>
        <v>Monday</v>
      </c>
      <c r="S1176" s="3" t="s">
        <v>1385</v>
      </c>
      <c r="T1176" s="23" t="s">
        <v>13</v>
      </c>
      <c r="U1176" s="3" t="s">
        <v>1385</v>
      </c>
      <c r="AO1176" s="15"/>
      <c r="AP1176" s="15"/>
      <c r="AQ1176" s="15"/>
      <c r="AR1176" s="23"/>
      <c r="AS1176" s="15"/>
      <c r="AT1176" s="15"/>
      <c r="AU1176" s="23"/>
      <c r="AV1176" s="23"/>
    </row>
    <row r="1177" spans="1:48" x14ac:dyDescent="0.25">
      <c r="A1177" t="s">
        <v>1073</v>
      </c>
      <c r="B1177" t="s">
        <v>117</v>
      </c>
      <c r="C1177" s="10">
        <v>-42</v>
      </c>
      <c r="D1177" t="s">
        <v>1137</v>
      </c>
      <c r="E1177" s="2">
        <f t="shared" si="176"/>
        <v>46223</v>
      </c>
      <c r="F1177" s="3">
        <f t="shared" si="175"/>
        <v>0.10694444444444444</v>
      </c>
      <c r="G1177" t="s">
        <v>76</v>
      </c>
      <c r="H1177" t="s">
        <v>77</v>
      </c>
      <c r="I1177" t="s">
        <v>67</v>
      </c>
      <c r="J1177" s="2">
        <v>46223</v>
      </c>
      <c r="K1177" s="1">
        <v>8.5416666666666655E-2</v>
      </c>
      <c r="L1177" s="10">
        <f t="shared" si="171"/>
        <v>-31.000000000000011</v>
      </c>
      <c r="M1177" s="1" t="str">
        <f t="shared" si="177"/>
        <v>Delayed</v>
      </c>
      <c r="N1177" s="27" t="str">
        <f t="shared" si="172"/>
        <v>Heston Airlines</v>
      </c>
      <c r="O1177" s="3" t="s">
        <v>1318</v>
      </c>
      <c r="P1177" s="20">
        <f t="shared" si="173"/>
        <v>2</v>
      </c>
      <c r="Q1177" s="3" t="s">
        <v>1318</v>
      </c>
      <c r="R1177" s="23" t="str">
        <f t="shared" si="174"/>
        <v>Monday</v>
      </c>
      <c r="S1177" s="3" t="s">
        <v>1318</v>
      </c>
      <c r="T1177" s="23" t="s">
        <v>117</v>
      </c>
      <c r="U1177" s="3" t="s">
        <v>1318</v>
      </c>
      <c r="AO1177" s="15"/>
      <c r="AP1177" s="15"/>
      <c r="AQ1177" s="15"/>
      <c r="AR1177" s="23"/>
      <c r="AS1177" s="15"/>
      <c r="AT1177" s="15"/>
      <c r="AU1177" s="23"/>
      <c r="AV1177" s="23"/>
    </row>
    <row r="1178" spans="1:48" x14ac:dyDescent="0.25">
      <c r="A1178" t="s">
        <v>926</v>
      </c>
      <c r="B1178" t="s">
        <v>927</v>
      </c>
      <c r="C1178" s="10">
        <v>-18</v>
      </c>
      <c r="D1178" t="s">
        <v>1138</v>
      </c>
      <c r="E1178" s="2">
        <f t="shared" si="176"/>
        <v>46223</v>
      </c>
      <c r="F1178" s="3">
        <f t="shared" si="175"/>
        <v>0.23263888888888887</v>
      </c>
      <c r="G1178" t="s">
        <v>57</v>
      </c>
      <c r="H1178" t="s">
        <v>58</v>
      </c>
      <c r="I1178" t="s">
        <v>929</v>
      </c>
      <c r="J1178" s="2">
        <v>46223</v>
      </c>
      <c r="K1178" s="1">
        <v>0.22847222222222222</v>
      </c>
      <c r="L1178" s="10">
        <f t="shared" si="171"/>
        <v>-5.9999999999999787</v>
      </c>
      <c r="M1178" s="1" t="str">
        <f t="shared" si="177"/>
        <v>On Time</v>
      </c>
      <c r="N1178" s="27" t="e">
        <f t="shared" si="172"/>
        <v>#N/A</v>
      </c>
      <c r="O1178" s="3" t="s">
        <v>1385</v>
      </c>
      <c r="P1178" s="20">
        <f t="shared" si="173"/>
        <v>5</v>
      </c>
      <c r="Q1178" s="3" t="s">
        <v>1385</v>
      </c>
      <c r="R1178" s="23" t="str">
        <f t="shared" si="174"/>
        <v>Monday</v>
      </c>
      <c r="S1178" s="3" t="s">
        <v>1385</v>
      </c>
      <c r="T1178" s="23" t="s">
        <v>927</v>
      </c>
      <c r="U1178" s="3" t="s">
        <v>1385</v>
      </c>
      <c r="AO1178" s="15"/>
      <c r="AP1178" s="15"/>
      <c r="AQ1178" s="15"/>
      <c r="AR1178" s="23"/>
      <c r="AS1178" s="15"/>
      <c r="AT1178" s="15"/>
      <c r="AU1178" s="23"/>
      <c r="AV1178" s="23"/>
    </row>
    <row r="1179" spans="1:48" x14ac:dyDescent="0.25">
      <c r="A1179" t="s">
        <v>93</v>
      </c>
      <c r="B1179" t="s">
        <v>7</v>
      </c>
      <c r="C1179" s="10">
        <v>-2</v>
      </c>
      <c r="D1179" t="s">
        <v>569</v>
      </c>
      <c r="E1179" s="2">
        <f t="shared" si="176"/>
        <v>46223</v>
      </c>
      <c r="F1179" s="3">
        <f t="shared" si="175"/>
        <v>0.33263888888888887</v>
      </c>
      <c r="G1179" t="s">
        <v>76</v>
      </c>
      <c r="H1179" t="s">
        <v>77</v>
      </c>
      <c r="I1179" t="s">
        <v>11</v>
      </c>
      <c r="J1179" s="2">
        <v>46223</v>
      </c>
      <c r="K1179" s="1">
        <v>0.34375</v>
      </c>
      <c r="L1179" s="10">
        <f t="shared" si="171"/>
        <v>16.000000000000021</v>
      </c>
      <c r="M1179" s="1" t="str">
        <f t="shared" si="177"/>
        <v>On Time</v>
      </c>
      <c r="N1179" s="27" t="str">
        <f t="shared" si="172"/>
        <v>airBaltic</v>
      </c>
      <c r="O1179" s="3" t="s">
        <v>1385</v>
      </c>
      <c r="P1179" s="20">
        <f t="shared" si="173"/>
        <v>7</v>
      </c>
      <c r="Q1179" s="3" t="s">
        <v>1385</v>
      </c>
      <c r="R1179" s="23" t="str">
        <f t="shared" si="174"/>
        <v>Monday</v>
      </c>
      <c r="S1179" s="3" t="s">
        <v>1385</v>
      </c>
      <c r="T1179" s="23" t="s">
        <v>7</v>
      </c>
      <c r="U1179" s="3" t="s">
        <v>1385</v>
      </c>
      <c r="AO1179" s="15"/>
      <c r="AP1179" s="15"/>
      <c r="AQ1179" s="15"/>
      <c r="AR1179" s="23"/>
      <c r="AS1179" s="15"/>
      <c r="AT1179" s="15"/>
      <c r="AU1179" s="23"/>
      <c r="AV1179" s="23"/>
    </row>
    <row r="1180" spans="1:48" x14ac:dyDescent="0.25">
      <c r="A1180" t="s">
        <v>60</v>
      </c>
      <c r="B1180" t="s">
        <v>7</v>
      </c>
      <c r="C1180" s="10">
        <v>-9</v>
      </c>
      <c r="D1180" t="s">
        <v>992</v>
      </c>
      <c r="E1180" s="2">
        <f t="shared" si="176"/>
        <v>46223</v>
      </c>
      <c r="F1180" s="3">
        <f t="shared" si="175"/>
        <v>0.35555555555555557</v>
      </c>
      <c r="G1180" t="s">
        <v>9</v>
      </c>
      <c r="H1180" t="s">
        <v>10</v>
      </c>
      <c r="I1180" t="s">
        <v>11</v>
      </c>
      <c r="J1180" s="2">
        <v>46223</v>
      </c>
      <c r="K1180" s="1">
        <v>0.3611111111111111</v>
      </c>
      <c r="L1180" s="10">
        <f t="shared" si="171"/>
        <v>7.9999999999999716</v>
      </c>
      <c r="M1180" s="1" t="str">
        <f t="shared" si="177"/>
        <v>On Time</v>
      </c>
      <c r="N1180" s="27" t="str">
        <f t="shared" si="172"/>
        <v>airBaltic</v>
      </c>
      <c r="O1180" s="3" t="s">
        <v>1385</v>
      </c>
      <c r="P1180" s="20">
        <f t="shared" si="173"/>
        <v>8</v>
      </c>
      <c r="Q1180" s="3" t="s">
        <v>1385</v>
      </c>
      <c r="R1180" s="23" t="str">
        <f t="shared" si="174"/>
        <v>Monday</v>
      </c>
      <c r="S1180" s="3" t="s">
        <v>1385</v>
      </c>
      <c r="T1180" s="23" t="s">
        <v>7</v>
      </c>
      <c r="U1180" s="3" t="s">
        <v>1385</v>
      </c>
      <c r="AO1180" s="15"/>
      <c r="AP1180" s="15"/>
      <c r="AQ1180" s="15"/>
      <c r="AR1180" s="23"/>
      <c r="AS1180" s="15"/>
      <c r="AT1180" s="15"/>
      <c r="AU1180" s="23"/>
      <c r="AV1180" s="23"/>
    </row>
    <row r="1181" spans="1:48" x14ac:dyDescent="0.25">
      <c r="A1181" t="s">
        <v>84</v>
      </c>
      <c r="B1181" t="s">
        <v>85</v>
      </c>
      <c r="C1181" s="10">
        <v>0</v>
      </c>
      <c r="D1181" t="s">
        <v>1139</v>
      </c>
      <c r="E1181" s="2">
        <f t="shared" si="176"/>
        <v>46223</v>
      </c>
      <c r="F1181" s="3">
        <f t="shared" si="175"/>
        <v>0.34583333333333338</v>
      </c>
      <c r="G1181" t="s">
        <v>87</v>
      </c>
      <c r="H1181" t="s">
        <v>88</v>
      </c>
      <c r="I1181" t="s">
        <v>162</v>
      </c>
      <c r="J1181" s="2">
        <v>46223</v>
      </c>
      <c r="K1181" s="1">
        <v>0.36458333333333331</v>
      </c>
      <c r="L1181" s="10">
        <f t="shared" si="171"/>
        <v>26.999999999999904</v>
      </c>
      <c r="M1181" s="1" t="str">
        <f t="shared" si="177"/>
        <v>On Time</v>
      </c>
      <c r="N1181" s="27" t="str">
        <f t="shared" si="172"/>
        <v>Ryanair</v>
      </c>
      <c r="O1181" s="3" t="s">
        <v>1385</v>
      </c>
      <c r="P1181" s="20">
        <f t="shared" si="173"/>
        <v>8</v>
      </c>
      <c r="Q1181" s="3" t="s">
        <v>1385</v>
      </c>
      <c r="R1181" s="23" t="str">
        <f t="shared" si="174"/>
        <v>Monday</v>
      </c>
      <c r="S1181" s="3" t="s">
        <v>1385</v>
      </c>
      <c r="T1181" s="23" t="s">
        <v>85</v>
      </c>
      <c r="U1181" s="3" t="s">
        <v>1385</v>
      </c>
      <c r="AO1181" s="15"/>
      <c r="AP1181" s="15"/>
      <c r="AQ1181" s="15"/>
      <c r="AR1181" s="23"/>
      <c r="AS1181" s="15"/>
      <c r="AT1181" s="15"/>
      <c r="AU1181" s="23"/>
      <c r="AV1181" s="23"/>
    </row>
    <row r="1182" spans="1:48" x14ac:dyDescent="0.25">
      <c r="A1182" t="s">
        <v>291</v>
      </c>
      <c r="B1182" t="s">
        <v>13</v>
      </c>
      <c r="C1182" s="10">
        <v>-10</v>
      </c>
      <c r="D1182" t="s">
        <v>817</v>
      </c>
      <c r="E1182" s="2">
        <f t="shared" si="176"/>
        <v>46223</v>
      </c>
      <c r="F1182" s="3">
        <f t="shared" si="175"/>
        <v>0.36388888888888887</v>
      </c>
      <c r="G1182" t="s">
        <v>293</v>
      </c>
      <c r="H1182" t="s">
        <v>294</v>
      </c>
      <c r="I1182" t="s">
        <v>17</v>
      </c>
      <c r="J1182" s="2">
        <v>46223</v>
      </c>
      <c r="K1182" s="1">
        <v>0.36805555555555558</v>
      </c>
      <c r="L1182" s="10">
        <f t="shared" si="171"/>
        <v>6.0000000000000586</v>
      </c>
      <c r="M1182" s="1" t="str">
        <f t="shared" si="177"/>
        <v>On Time</v>
      </c>
      <c r="N1182" s="27" t="str">
        <f t="shared" si="172"/>
        <v>Wizz Air</v>
      </c>
      <c r="O1182" s="3" t="s">
        <v>1385</v>
      </c>
      <c r="P1182" s="20">
        <f t="shared" si="173"/>
        <v>8</v>
      </c>
      <c r="Q1182" s="3" t="s">
        <v>1385</v>
      </c>
      <c r="R1182" s="23" t="str">
        <f t="shared" si="174"/>
        <v>Monday</v>
      </c>
      <c r="S1182" s="3" t="s">
        <v>1385</v>
      </c>
      <c r="T1182" s="23" t="s">
        <v>13</v>
      </c>
      <c r="U1182" s="3" t="s">
        <v>1385</v>
      </c>
      <c r="AO1182" s="15"/>
      <c r="AP1182" s="15"/>
      <c r="AQ1182" s="15"/>
      <c r="AR1182" s="23"/>
      <c r="AS1182" s="15"/>
      <c r="AT1182" s="15"/>
      <c r="AU1182" s="23"/>
      <c r="AV1182" s="23"/>
    </row>
    <row r="1183" spans="1:48" x14ac:dyDescent="0.25">
      <c r="A1183" t="s">
        <v>68</v>
      </c>
      <c r="B1183" t="s">
        <v>69</v>
      </c>
      <c r="C1183" s="10">
        <v>-5</v>
      </c>
      <c r="D1183" t="s">
        <v>413</v>
      </c>
      <c r="E1183" s="2">
        <f t="shared" si="176"/>
        <v>46223</v>
      </c>
      <c r="F1183" s="3">
        <f t="shared" si="175"/>
        <v>0.38541666666666669</v>
      </c>
      <c r="G1183" t="s">
        <v>71</v>
      </c>
      <c r="H1183" t="s">
        <v>72</v>
      </c>
      <c r="I1183" t="s">
        <v>73</v>
      </c>
      <c r="J1183" s="2">
        <v>46223</v>
      </c>
      <c r="K1183" s="1">
        <v>0.3888888888888889</v>
      </c>
      <c r="L1183" s="10">
        <f t="shared" si="171"/>
        <v>4.9999999999999822</v>
      </c>
      <c r="M1183" s="1" t="str">
        <f t="shared" si="177"/>
        <v>On Time</v>
      </c>
      <c r="N1183" s="27" t="str">
        <f t="shared" si="172"/>
        <v>Finnair</v>
      </c>
      <c r="O1183" s="3" t="s">
        <v>1385</v>
      </c>
      <c r="P1183" s="20">
        <f t="shared" si="173"/>
        <v>9</v>
      </c>
      <c r="Q1183" s="3" t="s">
        <v>1385</v>
      </c>
      <c r="R1183" s="23" t="str">
        <f t="shared" si="174"/>
        <v>Monday</v>
      </c>
      <c r="S1183" s="3" t="s">
        <v>1385</v>
      </c>
      <c r="T1183" s="23" t="s">
        <v>69</v>
      </c>
      <c r="U1183" s="3" t="s">
        <v>1385</v>
      </c>
      <c r="AO1183" s="15"/>
      <c r="AP1183" s="15"/>
      <c r="AQ1183" s="15"/>
      <c r="AR1183" s="23"/>
      <c r="AS1183" s="15"/>
      <c r="AT1183" s="15"/>
      <c r="AU1183" s="23"/>
      <c r="AV1183" s="23"/>
    </row>
    <row r="1184" spans="1:48" x14ac:dyDescent="0.25">
      <c r="A1184" t="s">
        <v>74</v>
      </c>
      <c r="B1184" t="s">
        <v>13</v>
      </c>
      <c r="C1184" s="10">
        <v>4</v>
      </c>
      <c r="D1184" t="s">
        <v>64</v>
      </c>
      <c r="E1184" s="2">
        <f t="shared" si="176"/>
        <v>46223</v>
      </c>
      <c r="F1184" s="3">
        <f t="shared" si="175"/>
        <v>0.37013888888888885</v>
      </c>
      <c r="G1184" t="s">
        <v>76</v>
      </c>
      <c r="H1184" t="s">
        <v>77</v>
      </c>
      <c r="I1184" t="s">
        <v>17</v>
      </c>
      <c r="J1184" s="2">
        <v>46223</v>
      </c>
      <c r="K1184" s="1">
        <v>0.3888888888888889</v>
      </c>
      <c r="L1184" s="10">
        <f t="shared" si="171"/>
        <v>27.000000000000064</v>
      </c>
      <c r="M1184" s="1" t="str">
        <f t="shared" si="177"/>
        <v>On Time</v>
      </c>
      <c r="N1184" s="27" t="str">
        <f t="shared" si="172"/>
        <v>Wizz Air</v>
      </c>
      <c r="O1184" s="3" t="s">
        <v>1385</v>
      </c>
      <c r="P1184" s="20">
        <f t="shared" si="173"/>
        <v>8</v>
      </c>
      <c r="Q1184" s="3" t="s">
        <v>1385</v>
      </c>
      <c r="R1184" s="23" t="str">
        <f t="shared" si="174"/>
        <v>Monday</v>
      </c>
      <c r="S1184" s="3" t="s">
        <v>1385</v>
      </c>
      <c r="T1184" s="23" t="s">
        <v>13</v>
      </c>
      <c r="U1184" s="3" t="s">
        <v>1385</v>
      </c>
      <c r="AO1184" s="15"/>
      <c r="AP1184" s="15"/>
      <c r="AQ1184" s="15"/>
      <c r="AR1184" s="23"/>
      <c r="AS1184" s="15"/>
      <c r="AT1184" s="15"/>
      <c r="AU1184" s="23"/>
      <c r="AV1184" s="23"/>
    </row>
    <row r="1185" spans="1:48" x14ac:dyDescent="0.25">
      <c r="A1185" t="s">
        <v>184</v>
      </c>
      <c r="B1185" t="s">
        <v>85</v>
      </c>
      <c r="C1185" s="10">
        <v>-15</v>
      </c>
      <c r="D1185" t="s">
        <v>1140</v>
      </c>
      <c r="E1185" s="2">
        <f t="shared" si="176"/>
        <v>46223</v>
      </c>
      <c r="F1185" s="3">
        <f t="shared" si="175"/>
        <v>0.40902777777777777</v>
      </c>
      <c r="G1185" t="s">
        <v>153</v>
      </c>
      <c r="H1185" t="s">
        <v>154</v>
      </c>
      <c r="I1185" t="s">
        <v>89</v>
      </c>
      <c r="J1185" s="2">
        <v>46223</v>
      </c>
      <c r="K1185" s="1">
        <v>0.41319444444444442</v>
      </c>
      <c r="L1185" s="10">
        <f t="shared" si="171"/>
        <v>5.9999999999999787</v>
      </c>
      <c r="M1185" s="1" t="str">
        <f t="shared" si="177"/>
        <v>On Time</v>
      </c>
      <c r="N1185" s="27" t="str">
        <f t="shared" si="172"/>
        <v>Ryanair</v>
      </c>
      <c r="O1185" s="3" t="s">
        <v>1385</v>
      </c>
      <c r="P1185" s="20">
        <f t="shared" si="173"/>
        <v>9</v>
      </c>
      <c r="Q1185" s="3" t="s">
        <v>1385</v>
      </c>
      <c r="R1185" s="23" t="str">
        <f t="shared" si="174"/>
        <v>Monday</v>
      </c>
      <c r="S1185" s="3" t="s">
        <v>1385</v>
      </c>
      <c r="T1185" s="23" t="s">
        <v>85</v>
      </c>
      <c r="U1185" s="3" t="s">
        <v>1385</v>
      </c>
      <c r="AO1185" s="15"/>
      <c r="AP1185" s="15"/>
      <c r="AQ1185" s="15"/>
      <c r="AR1185" s="23"/>
      <c r="AS1185" s="15"/>
      <c r="AT1185" s="15"/>
      <c r="AU1185" s="23"/>
      <c r="AV1185" s="23"/>
    </row>
    <row r="1186" spans="1:48" x14ac:dyDescent="0.25">
      <c r="A1186" t="s">
        <v>127</v>
      </c>
      <c r="B1186" t="s">
        <v>85</v>
      </c>
      <c r="C1186" s="10">
        <v>-45</v>
      </c>
      <c r="D1186" t="s">
        <v>1141</v>
      </c>
      <c r="E1186" s="2">
        <f t="shared" si="176"/>
        <v>46223</v>
      </c>
      <c r="F1186" s="3">
        <f t="shared" si="175"/>
        <v>0.4284722222222222</v>
      </c>
      <c r="G1186" t="s">
        <v>129</v>
      </c>
      <c r="H1186" t="s">
        <v>130</v>
      </c>
      <c r="I1186" t="s">
        <v>162</v>
      </c>
      <c r="J1186" s="2">
        <v>46223</v>
      </c>
      <c r="K1186" s="1">
        <v>0.41666666666666669</v>
      </c>
      <c r="L1186" s="10">
        <f t="shared" si="171"/>
        <v>-16.99999999999994</v>
      </c>
      <c r="M1186" s="1" t="str">
        <f t="shared" si="177"/>
        <v>Delayed</v>
      </c>
      <c r="N1186" s="27" t="str">
        <f t="shared" si="172"/>
        <v>Ryanair</v>
      </c>
      <c r="O1186" s="3" t="s">
        <v>1318</v>
      </c>
      <c r="P1186" s="20">
        <f t="shared" si="173"/>
        <v>10</v>
      </c>
      <c r="Q1186" s="3" t="s">
        <v>1318</v>
      </c>
      <c r="R1186" s="23" t="str">
        <f t="shared" si="174"/>
        <v>Monday</v>
      </c>
      <c r="S1186" s="3" t="s">
        <v>1318</v>
      </c>
      <c r="T1186" s="23" t="s">
        <v>85</v>
      </c>
      <c r="U1186" s="3" t="s">
        <v>1318</v>
      </c>
      <c r="AO1186" s="15"/>
      <c r="AP1186" s="15"/>
      <c r="AQ1186" s="15"/>
      <c r="AR1186" s="23"/>
      <c r="AS1186" s="15"/>
      <c r="AT1186" s="15"/>
      <c r="AU1186" s="23"/>
      <c r="AV1186" s="23"/>
    </row>
    <row r="1187" spans="1:48" x14ac:dyDescent="0.25">
      <c r="A1187" t="s">
        <v>95</v>
      </c>
      <c r="B1187" t="s">
        <v>96</v>
      </c>
      <c r="C1187" s="10">
        <v>-20</v>
      </c>
      <c r="D1187" t="s">
        <v>1058</v>
      </c>
      <c r="E1187" s="2">
        <f t="shared" si="176"/>
        <v>46223</v>
      </c>
      <c r="F1187" s="3">
        <f t="shared" si="175"/>
        <v>0.43402777777777773</v>
      </c>
      <c r="G1187" t="s">
        <v>98</v>
      </c>
      <c r="H1187" t="s">
        <v>99</v>
      </c>
      <c r="I1187" t="s">
        <v>876</v>
      </c>
      <c r="J1187" s="2">
        <v>46223</v>
      </c>
      <c r="K1187" s="1">
        <v>0.44791666666666669</v>
      </c>
      <c r="L1187" s="10">
        <f t="shared" si="171"/>
        <v>20.000000000000089</v>
      </c>
      <c r="M1187" s="1" t="str">
        <f t="shared" si="177"/>
        <v>On Time</v>
      </c>
      <c r="N1187" s="27" t="str">
        <f t="shared" si="172"/>
        <v>Turkish Airlines</v>
      </c>
      <c r="O1187" s="3" t="s">
        <v>1385</v>
      </c>
      <c r="P1187" s="20">
        <f t="shared" si="173"/>
        <v>10</v>
      </c>
      <c r="Q1187" s="3" t="s">
        <v>1385</v>
      </c>
      <c r="R1187" s="23" t="str">
        <f t="shared" si="174"/>
        <v>Monday</v>
      </c>
      <c r="S1187" s="3" t="s">
        <v>1385</v>
      </c>
      <c r="T1187" s="23" t="s">
        <v>96</v>
      </c>
      <c r="U1187" s="3" t="s">
        <v>1385</v>
      </c>
      <c r="AO1187" s="15"/>
      <c r="AP1187" s="15"/>
      <c r="AQ1187" s="15"/>
      <c r="AR1187" s="23"/>
      <c r="AS1187" s="15"/>
      <c r="AT1187" s="15"/>
      <c r="AU1187" s="23"/>
      <c r="AV1187" s="23"/>
    </row>
    <row r="1188" spans="1:48" x14ac:dyDescent="0.25">
      <c r="A1188" t="s">
        <v>395</v>
      </c>
      <c r="B1188" t="s">
        <v>85</v>
      </c>
      <c r="C1188" s="10">
        <v>-9</v>
      </c>
      <c r="D1188" t="s">
        <v>1142</v>
      </c>
      <c r="E1188" s="2">
        <f t="shared" si="176"/>
        <v>46223</v>
      </c>
      <c r="F1188" s="3">
        <f t="shared" si="175"/>
        <v>0.44166666666666665</v>
      </c>
      <c r="G1188" t="s">
        <v>34</v>
      </c>
      <c r="H1188" t="s">
        <v>161</v>
      </c>
      <c r="I1188" t="s">
        <v>89</v>
      </c>
      <c r="J1188" s="2">
        <v>46223</v>
      </c>
      <c r="K1188" s="1">
        <v>0.4548611111111111</v>
      </c>
      <c r="L1188" s="10">
        <f t="shared" si="171"/>
        <v>19.000000000000014</v>
      </c>
      <c r="M1188" s="1" t="str">
        <f t="shared" si="177"/>
        <v>On Time</v>
      </c>
      <c r="N1188" s="27" t="str">
        <f t="shared" si="172"/>
        <v>Ryanair</v>
      </c>
      <c r="O1188" s="3" t="s">
        <v>1385</v>
      </c>
      <c r="P1188" s="20">
        <f t="shared" si="173"/>
        <v>10</v>
      </c>
      <c r="Q1188" s="3" t="s">
        <v>1385</v>
      </c>
      <c r="R1188" s="23" t="str">
        <f t="shared" si="174"/>
        <v>Monday</v>
      </c>
      <c r="S1188" s="3" t="s">
        <v>1385</v>
      </c>
      <c r="T1188" s="23" t="s">
        <v>85</v>
      </c>
      <c r="U1188" s="3" t="s">
        <v>1385</v>
      </c>
      <c r="AO1188" s="15"/>
      <c r="AP1188" s="15"/>
      <c r="AQ1188" s="15"/>
      <c r="AR1188" s="23"/>
      <c r="AS1188" s="15"/>
      <c r="AT1188" s="15"/>
      <c r="AU1188" s="23"/>
      <c r="AV1188" s="23"/>
    </row>
    <row r="1189" spans="1:48" x14ac:dyDescent="0.25">
      <c r="A1189" t="s">
        <v>213</v>
      </c>
      <c r="B1189" t="s">
        <v>85</v>
      </c>
      <c r="C1189" s="10">
        <v>-23</v>
      </c>
      <c r="D1189" t="s">
        <v>290</v>
      </c>
      <c r="E1189" s="2">
        <f t="shared" si="176"/>
        <v>46223</v>
      </c>
      <c r="F1189" s="3">
        <f t="shared" si="175"/>
        <v>0.4604166666666667</v>
      </c>
      <c r="G1189" t="s">
        <v>102</v>
      </c>
      <c r="H1189" t="s">
        <v>115</v>
      </c>
      <c r="I1189" t="s">
        <v>162</v>
      </c>
      <c r="J1189" s="2">
        <v>46223</v>
      </c>
      <c r="K1189" s="1">
        <v>0.46180555555555558</v>
      </c>
      <c r="L1189" s="10">
        <f t="shared" si="171"/>
        <v>1.9999999999999929</v>
      </c>
      <c r="M1189" s="1" t="str">
        <f t="shared" si="177"/>
        <v>On Time</v>
      </c>
      <c r="N1189" s="27" t="str">
        <f t="shared" si="172"/>
        <v>Ryanair</v>
      </c>
      <c r="O1189" s="3" t="s">
        <v>1385</v>
      </c>
      <c r="P1189" s="20">
        <f t="shared" si="173"/>
        <v>11</v>
      </c>
      <c r="Q1189" s="3" t="s">
        <v>1385</v>
      </c>
      <c r="R1189" s="23" t="str">
        <f t="shared" si="174"/>
        <v>Monday</v>
      </c>
      <c r="S1189" s="3" t="s">
        <v>1385</v>
      </c>
      <c r="T1189" s="23" t="s">
        <v>85</v>
      </c>
      <c r="U1189" s="3" t="s">
        <v>1385</v>
      </c>
      <c r="AO1189" s="15"/>
      <c r="AP1189" s="15"/>
      <c r="AQ1189" s="15"/>
      <c r="AR1189" s="23"/>
      <c r="AS1189" s="15"/>
      <c r="AT1189" s="15"/>
      <c r="AU1189" s="23"/>
      <c r="AV1189" s="23"/>
    </row>
    <row r="1190" spans="1:48" x14ac:dyDescent="0.25">
      <c r="A1190" t="s">
        <v>178</v>
      </c>
      <c r="B1190" t="s">
        <v>85</v>
      </c>
      <c r="C1190" s="10">
        <v>0</v>
      </c>
      <c r="D1190" t="s">
        <v>580</v>
      </c>
      <c r="E1190" s="2">
        <f t="shared" si="176"/>
        <v>46223</v>
      </c>
      <c r="F1190" s="3">
        <f t="shared" si="175"/>
        <v>0.47291666666666665</v>
      </c>
      <c r="G1190" t="s">
        <v>180</v>
      </c>
      <c r="H1190" t="s">
        <v>181</v>
      </c>
      <c r="I1190" t="s">
        <v>89</v>
      </c>
      <c r="J1190" s="2">
        <v>46223</v>
      </c>
      <c r="K1190" s="1">
        <v>0.48958333333333331</v>
      </c>
      <c r="L1190" s="10">
        <f t="shared" si="171"/>
        <v>23.999999999999993</v>
      </c>
      <c r="M1190" s="1" t="str">
        <f t="shared" si="177"/>
        <v>On Time</v>
      </c>
      <c r="N1190" s="27" t="str">
        <f t="shared" si="172"/>
        <v>Ryanair</v>
      </c>
      <c r="O1190" s="3" t="s">
        <v>1385</v>
      </c>
      <c r="P1190" s="20">
        <f t="shared" si="173"/>
        <v>11</v>
      </c>
      <c r="Q1190" s="3" t="s">
        <v>1385</v>
      </c>
      <c r="R1190" s="23" t="str">
        <f t="shared" si="174"/>
        <v>Monday</v>
      </c>
      <c r="S1190" s="3" t="s">
        <v>1385</v>
      </c>
      <c r="T1190" s="23" t="s">
        <v>85</v>
      </c>
      <c r="U1190" s="3" t="s">
        <v>1385</v>
      </c>
      <c r="AO1190" s="15"/>
      <c r="AP1190" s="15"/>
      <c r="AQ1190" s="15"/>
      <c r="AR1190" s="23"/>
      <c r="AS1190" s="15"/>
      <c r="AT1190" s="15"/>
      <c r="AU1190" s="23"/>
      <c r="AV1190" s="23"/>
    </row>
    <row r="1191" spans="1:48" x14ac:dyDescent="0.25">
      <c r="A1191" t="s">
        <v>108</v>
      </c>
      <c r="B1191" t="s">
        <v>190</v>
      </c>
      <c r="C1191" s="10">
        <v>-24</v>
      </c>
      <c r="D1191" t="s">
        <v>1143</v>
      </c>
      <c r="E1191" s="2">
        <f t="shared" si="176"/>
        <v>46223</v>
      </c>
      <c r="F1191" s="3">
        <f t="shared" si="175"/>
        <v>0.52777777777777779</v>
      </c>
      <c r="G1191" t="s">
        <v>110</v>
      </c>
      <c r="H1191" t="s">
        <v>111</v>
      </c>
      <c r="I1191" t="s">
        <v>112</v>
      </c>
      <c r="J1191" s="2">
        <v>46223</v>
      </c>
      <c r="K1191" s="1">
        <v>0.52777777777777779</v>
      </c>
      <c r="L1191" s="10">
        <f t="shared" si="171"/>
        <v>0</v>
      </c>
      <c r="M1191" s="1" t="str">
        <f t="shared" si="177"/>
        <v>On Time</v>
      </c>
      <c r="N1191" s="27" t="str">
        <f t="shared" si="172"/>
        <v>Lufthansa</v>
      </c>
      <c r="O1191" s="3" t="s">
        <v>1385</v>
      </c>
      <c r="P1191" s="20">
        <f t="shared" si="173"/>
        <v>12</v>
      </c>
      <c r="Q1191" s="3" t="s">
        <v>1385</v>
      </c>
      <c r="R1191" s="23" t="str">
        <f t="shared" si="174"/>
        <v>Monday</v>
      </c>
      <c r="S1191" s="3" t="s">
        <v>1385</v>
      </c>
      <c r="T1191" s="23" t="s">
        <v>190</v>
      </c>
      <c r="U1191" s="3" t="s">
        <v>1385</v>
      </c>
      <c r="AO1191" s="15"/>
      <c r="AP1191" s="15"/>
      <c r="AQ1191" s="15"/>
      <c r="AR1191" s="23"/>
      <c r="AS1191" s="15"/>
      <c r="AT1191" s="15"/>
      <c r="AU1191" s="23"/>
      <c r="AV1191" s="23"/>
    </row>
    <row r="1192" spans="1:48" x14ac:dyDescent="0.25">
      <c r="A1192" t="s">
        <v>383</v>
      </c>
      <c r="B1192" t="s">
        <v>7</v>
      </c>
      <c r="C1192" s="10">
        <v>-12</v>
      </c>
      <c r="D1192" t="s">
        <v>315</v>
      </c>
      <c r="E1192" s="2">
        <f t="shared" si="176"/>
        <v>46223</v>
      </c>
      <c r="F1192" s="3">
        <f t="shared" si="175"/>
        <v>0.52222222222222225</v>
      </c>
      <c r="G1192" t="s">
        <v>26</v>
      </c>
      <c r="H1192" t="s">
        <v>27</v>
      </c>
      <c r="I1192" t="s">
        <v>11</v>
      </c>
      <c r="J1192" s="2">
        <v>46223</v>
      </c>
      <c r="K1192" s="1">
        <v>0.53125</v>
      </c>
      <c r="L1192" s="10">
        <f t="shared" si="171"/>
        <v>12.999999999999954</v>
      </c>
      <c r="M1192" s="1" t="str">
        <f t="shared" si="177"/>
        <v>On Time</v>
      </c>
      <c r="N1192" s="27" t="str">
        <f t="shared" si="172"/>
        <v>airBaltic</v>
      </c>
      <c r="O1192" s="3" t="s">
        <v>1385</v>
      </c>
      <c r="P1192" s="20">
        <f t="shared" si="173"/>
        <v>12</v>
      </c>
      <c r="Q1192" s="3" t="s">
        <v>1385</v>
      </c>
      <c r="R1192" s="23" t="str">
        <f t="shared" si="174"/>
        <v>Monday</v>
      </c>
      <c r="S1192" s="3" t="s">
        <v>1385</v>
      </c>
      <c r="T1192" s="23" t="s">
        <v>7</v>
      </c>
      <c r="U1192" s="3" t="s">
        <v>1385</v>
      </c>
      <c r="AO1192" s="15"/>
      <c r="AP1192" s="15"/>
      <c r="AQ1192" s="15"/>
      <c r="AR1192" s="23"/>
      <c r="AS1192" s="15"/>
      <c r="AT1192" s="15"/>
      <c r="AU1192" s="23"/>
      <c r="AV1192" s="23"/>
    </row>
    <row r="1193" spans="1:48" x14ac:dyDescent="0.25">
      <c r="A1193" t="s">
        <v>113</v>
      </c>
      <c r="B1193" t="s">
        <v>13</v>
      </c>
      <c r="C1193" s="10">
        <v>-32</v>
      </c>
      <c r="D1193" t="s">
        <v>1144</v>
      </c>
      <c r="E1193" s="2">
        <f t="shared" si="176"/>
        <v>46223</v>
      </c>
      <c r="F1193" s="3">
        <f t="shared" si="175"/>
        <v>0.54027777777777775</v>
      </c>
      <c r="G1193" t="s">
        <v>102</v>
      </c>
      <c r="H1193" t="s">
        <v>115</v>
      </c>
      <c r="I1193" t="s">
        <v>17</v>
      </c>
      <c r="J1193" s="2">
        <v>46223</v>
      </c>
      <c r="K1193" s="1">
        <v>0.53472222222222221</v>
      </c>
      <c r="L1193" s="10">
        <f t="shared" si="171"/>
        <v>-7.9999999999999716</v>
      </c>
      <c r="M1193" s="1" t="str">
        <f t="shared" si="177"/>
        <v>On Time</v>
      </c>
      <c r="N1193" s="27" t="str">
        <f t="shared" si="172"/>
        <v>Wizz Air</v>
      </c>
      <c r="O1193" s="3" t="s">
        <v>1385</v>
      </c>
      <c r="P1193" s="20">
        <f t="shared" si="173"/>
        <v>12</v>
      </c>
      <c r="Q1193" s="3" t="s">
        <v>1385</v>
      </c>
      <c r="R1193" s="23" t="str">
        <f t="shared" si="174"/>
        <v>Monday</v>
      </c>
      <c r="S1193" s="3" t="s">
        <v>1385</v>
      </c>
      <c r="T1193" s="23" t="s">
        <v>13</v>
      </c>
      <c r="U1193" s="3" t="s">
        <v>1385</v>
      </c>
      <c r="AO1193" s="15"/>
      <c r="AP1193" s="15"/>
      <c r="AQ1193" s="15"/>
      <c r="AR1193" s="23"/>
      <c r="AS1193" s="15"/>
      <c r="AT1193" s="15"/>
      <c r="AU1193" s="23"/>
      <c r="AV1193" s="23"/>
    </row>
    <row r="1194" spans="1:48" x14ac:dyDescent="0.25">
      <c r="A1194" t="s">
        <v>116</v>
      </c>
      <c r="B1194" t="s">
        <v>117</v>
      </c>
      <c r="C1194" s="10">
        <v>-25</v>
      </c>
      <c r="D1194" t="s">
        <v>1004</v>
      </c>
      <c r="E1194" s="2">
        <f t="shared" si="176"/>
        <v>46223</v>
      </c>
      <c r="F1194" s="3">
        <f t="shared" si="175"/>
        <v>0.54513888888888895</v>
      </c>
      <c r="G1194" t="s">
        <v>119</v>
      </c>
      <c r="H1194" t="s">
        <v>120</v>
      </c>
      <c r="I1194" t="s">
        <v>67</v>
      </c>
      <c r="J1194" s="2">
        <v>46223</v>
      </c>
      <c r="K1194" s="1">
        <v>0.54027777777777775</v>
      </c>
      <c r="L1194" s="10">
        <f t="shared" si="171"/>
        <v>-7.000000000000135</v>
      </c>
      <c r="M1194" s="1" t="str">
        <f t="shared" si="177"/>
        <v>On Time</v>
      </c>
      <c r="N1194" s="27" t="str">
        <f t="shared" si="172"/>
        <v>Heston Airlines</v>
      </c>
      <c r="O1194" s="3" t="s">
        <v>1385</v>
      </c>
      <c r="P1194" s="20">
        <f t="shared" si="173"/>
        <v>13</v>
      </c>
      <c r="Q1194" s="3" t="s">
        <v>1385</v>
      </c>
      <c r="R1194" s="23" t="str">
        <f t="shared" si="174"/>
        <v>Monday</v>
      </c>
      <c r="S1194" s="3" t="s">
        <v>1385</v>
      </c>
      <c r="T1194" s="23" t="s">
        <v>117</v>
      </c>
      <c r="U1194" s="3" t="s">
        <v>1385</v>
      </c>
      <c r="AO1194" s="15"/>
      <c r="AP1194" s="15"/>
      <c r="AQ1194" s="15"/>
      <c r="AR1194" s="23"/>
      <c r="AS1194" s="15"/>
      <c r="AT1194" s="15"/>
      <c r="AU1194" s="23"/>
      <c r="AV1194" s="23"/>
    </row>
    <row r="1195" spans="1:48" x14ac:dyDescent="0.25">
      <c r="A1195" t="s">
        <v>121</v>
      </c>
      <c r="B1195" t="s">
        <v>69</v>
      </c>
      <c r="C1195" s="10">
        <v>0</v>
      </c>
      <c r="D1195" t="s">
        <v>939</v>
      </c>
      <c r="E1195" s="2">
        <f t="shared" si="176"/>
        <v>46223</v>
      </c>
      <c r="F1195" s="3">
        <f t="shared" si="175"/>
        <v>0.53680555555555554</v>
      </c>
      <c r="G1195" t="s">
        <v>71</v>
      </c>
      <c r="H1195" t="s">
        <v>72</v>
      </c>
      <c r="I1195" t="s">
        <v>73</v>
      </c>
      <c r="J1195" s="2">
        <v>46223</v>
      </c>
      <c r="K1195" s="1">
        <v>0.54166666666666663</v>
      </c>
      <c r="L1195" s="10">
        <f t="shared" si="171"/>
        <v>6.9999999999999751</v>
      </c>
      <c r="M1195" s="1" t="str">
        <f t="shared" si="177"/>
        <v>On Time</v>
      </c>
      <c r="N1195" s="27" t="str">
        <f t="shared" si="172"/>
        <v>Finnair</v>
      </c>
      <c r="O1195" s="3" t="s">
        <v>1385</v>
      </c>
      <c r="P1195" s="20">
        <f t="shared" si="173"/>
        <v>12</v>
      </c>
      <c r="Q1195" s="3" t="s">
        <v>1385</v>
      </c>
      <c r="R1195" s="23" t="str">
        <f t="shared" si="174"/>
        <v>Monday</v>
      </c>
      <c r="S1195" s="3" t="s">
        <v>1385</v>
      </c>
      <c r="T1195" s="23" t="s">
        <v>69</v>
      </c>
      <c r="U1195" s="3" t="s">
        <v>1385</v>
      </c>
      <c r="AO1195" s="15"/>
      <c r="AP1195" s="15"/>
      <c r="AQ1195" s="15"/>
      <c r="AR1195" s="23"/>
      <c r="AS1195" s="15"/>
      <c r="AT1195" s="15"/>
      <c r="AU1195" s="23"/>
      <c r="AV1195" s="23"/>
    </row>
    <row r="1196" spans="1:48" x14ac:dyDescent="0.25">
      <c r="A1196" t="s">
        <v>100</v>
      </c>
      <c r="B1196" t="s">
        <v>85</v>
      </c>
      <c r="C1196" s="10">
        <v>-13</v>
      </c>
      <c r="D1196" t="s">
        <v>503</v>
      </c>
      <c r="E1196" s="2">
        <f t="shared" si="176"/>
        <v>46223</v>
      </c>
      <c r="F1196" s="3">
        <f t="shared" si="175"/>
        <v>0.53333333333333333</v>
      </c>
      <c r="G1196" t="s">
        <v>102</v>
      </c>
      <c r="H1196" t="s">
        <v>103</v>
      </c>
      <c r="I1196" t="s">
        <v>89</v>
      </c>
      <c r="J1196" s="2">
        <v>46223</v>
      </c>
      <c r="K1196" s="1">
        <v>0.54166666666666663</v>
      </c>
      <c r="L1196" s="10">
        <f t="shared" si="171"/>
        <v>11.999999999999957</v>
      </c>
      <c r="M1196" s="1" t="str">
        <f t="shared" si="177"/>
        <v>On Time</v>
      </c>
      <c r="N1196" s="27" t="str">
        <f t="shared" si="172"/>
        <v>Ryanair</v>
      </c>
      <c r="O1196" s="3" t="s">
        <v>1385</v>
      </c>
      <c r="P1196" s="20">
        <f t="shared" si="173"/>
        <v>12</v>
      </c>
      <c r="Q1196" s="3" t="s">
        <v>1385</v>
      </c>
      <c r="R1196" s="23" t="str">
        <f t="shared" si="174"/>
        <v>Monday</v>
      </c>
      <c r="S1196" s="3" t="s">
        <v>1385</v>
      </c>
      <c r="T1196" s="23" t="s">
        <v>85</v>
      </c>
      <c r="U1196" s="3" t="s">
        <v>1385</v>
      </c>
      <c r="AO1196" s="15"/>
      <c r="AP1196" s="15"/>
      <c r="AQ1196" s="15"/>
      <c r="AR1196" s="23"/>
      <c r="AS1196" s="15"/>
      <c r="AT1196" s="15"/>
      <c r="AU1196" s="23"/>
      <c r="AV1196" s="23"/>
    </row>
    <row r="1197" spans="1:48" x14ac:dyDescent="0.25">
      <c r="A1197" t="s">
        <v>123</v>
      </c>
      <c r="B1197" t="s">
        <v>124</v>
      </c>
      <c r="D1197" t="s">
        <v>652</v>
      </c>
      <c r="E1197" s="2">
        <f t="shared" si="176"/>
        <v>46223</v>
      </c>
      <c r="F1197" s="3">
        <f t="shared" si="175"/>
        <v>0.53888888888888886</v>
      </c>
      <c r="G1197" t="s">
        <v>119</v>
      </c>
      <c r="H1197" t="s">
        <v>120</v>
      </c>
      <c r="I1197" t="s">
        <v>126</v>
      </c>
      <c r="J1197" s="2">
        <v>46223</v>
      </c>
      <c r="K1197" s="1">
        <v>0.5541666666666667</v>
      </c>
      <c r="L1197" s="10">
        <f t="shared" si="171"/>
        <v>22.000000000000082</v>
      </c>
      <c r="M1197" s="1" t="str">
        <f t="shared" si="177"/>
        <v>On Time</v>
      </c>
      <c r="N1197" s="27" t="str">
        <f t="shared" si="172"/>
        <v>GetJet Airlines</v>
      </c>
      <c r="O1197" s="3" t="s">
        <v>1385</v>
      </c>
      <c r="P1197" s="20">
        <f t="shared" si="173"/>
        <v>12</v>
      </c>
      <c r="Q1197" s="3" t="s">
        <v>1385</v>
      </c>
      <c r="R1197" s="23" t="str">
        <f t="shared" si="174"/>
        <v>Monday</v>
      </c>
      <c r="S1197" s="3" t="s">
        <v>1385</v>
      </c>
      <c r="T1197" s="23" t="s">
        <v>124</v>
      </c>
      <c r="U1197" s="3" t="s">
        <v>1385</v>
      </c>
      <c r="AO1197" s="15"/>
      <c r="AP1197" s="15"/>
      <c r="AQ1197" s="15"/>
      <c r="AR1197" s="23"/>
      <c r="AS1197" s="15"/>
      <c r="AT1197" s="15"/>
      <c r="AU1197" s="23"/>
      <c r="AV1197" s="23"/>
    </row>
    <row r="1198" spans="1:48" x14ac:dyDescent="0.25">
      <c r="A1198" t="s">
        <v>133</v>
      </c>
      <c r="B1198" t="s">
        <v>7</v>
      </c>
      <c r="C1198" s="10">
        <v>-28</v>
      </c>
      <c r="D1198" t="s">
        <v>1145</v>
      </c>
      <c r="E1198" s="2">
        <f t="shared" si="176"/>
        <v>46223</v>
      </c>
      <c r="F1198" s="3">
        <f t="shared" si="175"/>
        <v>0.56180555555555556</v>
      </c>
      <c r="G1198" t="s">
        <v>135</v>
      </c>
      <c r="H1198" t="s">
        <v>136</v>
      </c>
      <c r="I1198" t="s">
        <v>11</v>
      </c>
      <c r="J1198" s="2">
        <v>46223</v>
      </c>
      <c r="K1198" s="1">
        <v>0.55902777777777779</v>
      </c>
      <c r="L1198" s="10">
        <f t="shared" si="171"/>
        <v>-3.9999999999999858</v>
      </c>
      <c r="M1198" s="1" t="str">
        <f t="shared" si="177"/>
        <v>On Time</v>
      </c>
      <c r="N1198" s="27" t="str">
        <f t="shared" si="172"/>
        <v>airBaltic</v>
      </c>
      <c r="O1198" s="3" t="s">
        <v>1385</v>
      </c>
      <c r="P1198" s="20">
        <f t="shared" si="173"/>
        <v>13</v>
      </c>
      <c r="Q1198" s="3" t="s">
        <v>1385</v>
      </c>
      <c r="R1198" s="23" t="str">
        <f t="shared" si="174"/>
        <v>Monday</v>
      </c>
      <c r="S1198" s="3" t="s">
        <v>1385</v>
      </c>
      <c r="T1198" s="23" t="s">
        <v>7</v>
      </c>
      <c r="U1198" s="3" t="s">
        <v>1385</v>
      </c>
      <c r="AO1198" s="15"/>
      <c r="AP1198" s="15"/>
      <c r="AQ1198" s="15"/>
      <c r="AR1198" s="23"/>
      <c r="AS1198" s="15"/>
      <c r="AT1198" s="15"/>
      <c r="AU1198" s="23"/>
      <c r="AV1198" s="23"/>
    </row>
    <row r="1199" spans="1:48" x14ac:dyDescent="0.25">
      <c r="A1199" t="s">
        <v>591</v>
      </c>
      <c r="B1199" t="s">
        <v>7</v>
      </c>
      <c r="C1199" s="10">
        <v>-27</v>
      </c>
      <c r="D1199" t="s">
        <v>1063</v>
      </c>
      <c r="E1199" s="2">
        <f t="shared" si="176"/>
        <v>46223</v>
      </c>
      <c r="F1199" s="3">
        <f t="shared" si="175"/>
        <v>0.56597222222222221</v>
      </c>
      <c r="G1199" t="s">
        <v>252</v>
      </c>
      <c r="H1199" t="s">
        <v>253</v>
      </c>
      <c r="I1199" t="s">
        <v>11</v>
      </c>
      <c r="J1199" s="2">
        <v>46223</v>
      </c>
      <c r="K1199" s="1">
        <v>0.56944444444444442</v>
      </c>
      <c r="L1199" s="10">
        <f t="shared" si="171"/>
        <v>4.9999999999999822</v>
      </c>
      <c r="M1199" s="1" t="str">
        <f t="shared" si="177"/>
        <v>On Time</v>
      </c>
      <c r="N1199" s="27" t="str">
        <f t="shared" si="172"/>
        <v>airBaltic</v>
      </c>
      <c r="O1199" s="3" t="s">
        <v>1385</v>
      </c>
      <c r="P1199" s="20">
        <f t="shared" si="173"/>
        <v>13</v>
      </c>
      <c r="Q1199" s="3" t="s">
        <v>1385</v>
      </c>
      <c r="R1199" s="23" t="str">
        <f t="shared" si="174"/>
        <v>Monday</v>
      </c>
      <c r="S1199" s="3" t="s">
        <v>1385</v>
      </c>
      <c r="T1199" s="23" t="s">
        <v>7</v>
      </c>
      <c r="U1199" s="3" t="s">
        <v>1385</v>
      </c>
      <c r="AO1199" s="15"/>
      <c r="AP1199" s="15"/>
      <c r="AQ1199" s="15"/>
      <c r="AR1199" s="23"/>
      <c r="AS1199" s="15"/>
      <c r="AT1199" s="15"/>
      <c r="AU1199" s="23"/>
      <c r="AV1199" s="23"/>
    </row>
    <row r="1200" spans="1:48" x14ac:dyDescent="0.25">
      <c r="A1200" t="s">
        <v>436</v>
      </c>
      <c r="B1200" t="s">
        <v>239</v>
      </c>
      <c r="C1200" s="10">
        <v>-41</v>
      </c>
      <c r="D1200" t="s">
        <v>1146</v>
      </c>
      <c r="E1200" s="2">
        <f t="shared" si="176"/>
        <v>46223</v>
      </c>
      <c r="F1200" s="3">
        <f t="shared" si="175"/>
        <v>0.57013888888888886</v>
      </c>
      <c r="G1200" t="s">
        <v>119</v>
      </c>
      <c r="H1200" t="s">
        <v>120</v>
      </c>
      <c r="I1200" t="s">
        <v>83</v>
      </c>
      <c r="J1200" s="2">
        <v>46223</v>
      </c>
      <c r="K1200" s="1">
        <v>0.56944444444444442</v>
      </c>
      <c r="L1200" s="10">
        <f t="shared" si="171"/>
        <v>-0.99999999999999645</v>
      </c>
      <c r="M1200" s="1" t="str">
        <f t="shared" si="177"/>
        <v>On Time</v>
      </c>
      <c r="N1200" s="27" t="str">
        <f t="shared" si="172"/>
        <v>Eurowings</v>
      </c>
      <c r="O1200" s="3" t="s">
        <v>1385</v>
      </c>
      <c r="P1200" s="20">
        <f t="shared" si="173"/>
        <v>13</v>
      </c>
      <c r="Q1200" s="3" t="s">
        <v>1385</v>
      </c>
      <c r="R1200" s="23" t="str">
        <f t="shared" si="174"/>
        <v>Monday</v>
      </c>
      <c r="S1200" s="3" t="s">
        <v>1385</v>
      </c>
      <c r="T1200" s="23" t="s">
        <v>239</v>
      </c>
      <c r="U1200" s="3" t="s">
        <v>1385</v>
      </c>
      <c r="AO1200" s="15"/>
      <c r="AP1200" s="15"/>
      <c r="AQ1200" s="15"/>
      <c r="AR1200" s="23"/>
      <c r="AS1200" s="15"/>
      <c r="AT1200" s="15"/>
      <c r="AU1200" s="23"/>
      <c r="AV1200" s="23"/>
    </row>
    <row r="1201" spans="1:48" x14ac:dyDescent="0.25">
      <c r="A1201" t="s">
        <v>123</v>
      </c>
      <c r="B1201" t="s">
        <v>1147</v>
      </c>
      <c r="D1201" t="s">
        <v>1148</v>
      </c>
      <c r="E1201" s="2">
        <f t="shared" si="176"/>
        <v>46223</v>
      </c>
      <c r="F1201" s="3">
        <f t="shared" si="175"/>
        <v>0.57500000000000007</v>
      </c>
      <c r="G1201" t="s">
        <v>1149</v>
      </c>
      <c r="H1201" t="s">
        <v>1150</v>
      </c>
      <c r="I1201" t="s">
        <v>1151</v>
      </c>
      <c r="J1201" s="2">
        <v>46223</v>
      </c>
      <c r="K1201" s="1">
        <v>0.57222222222222219</v>
      </c>
      <c r="L1201" s="10">
        <f t="shared" si="171"/>
        <v>-4.0000000000001457</v>
      </c>
      <c r="M1201" s="1" t="str">
        <f t="shared" si="177"/>
        <v>On Time</v>
      </c>
      <c r="N1201" s="27" t="e">
        <f t="shared" si="172"/>
        <v>#N/A</v>
      </c>
      <c r="O1201" s="3" t="s">
        <v>1385</v>
      </c>
      <c r="P1201" s="20">
        <f t="shared" si="173"/>
        <v>13</v>
      </c>
      <c r="Q1201" s="3" t="s">
        <v>1385</v>
      </c>
      <c r="R1201" s="23" t="str">
        <f t="shared" si="174"/>
        <v>Monday</v>
      </c>
      <c r="S1201" s="3" t="s">
        <v>1385</v>
      </c>
      <c r="T1201" s="23" t="s">
        <v>1147</v>
      </c>
      <c r="U1201" s="3" t="s">
        <v>1385</v>
      </c>
      <c r="AO1201" s="15"/>
      <c r="AP1201" s="15"/>
      <c r="AQ1201" s="15"/>
      <c r="AR1201" s="23"/>
      <c r="AS1201" s="15"/>
      <c r="AT1201" s="15"/>
      <c r="AU1201" s="23"/>
      <c r="AV1201" s="23"/>
    </row>
    <row r="1202" spans="1:48" x14ac:dyDescent="0.25">
      <c r="A1202" t="s">
        <v>141</v>
      </c>
      <c r="B1202" t="s">
        <v>19</v>
      </c>
      <c r="C1202" s="10">
        <v>-16</v>
      </c>
      <c r="D1202" t="s">
        <v>654</v>
      </c>
      <c r="E1202" s="2">
        <f t="shared" si="176"/>
        <v>46223</v>
      </c>
      <c r="F1202" s="3">
        <f t="shared" si="175"/>
        <v>0.57291666666666663</v>
      </c>
      <c r="G1202" t="s">
        <v>21</v>
      </c>
      <c r="H1202" t="s">
        <v>22</v>
      </c>
      <c r="I1202" t="s">
        <v>276</v>
      </c>
      <c r="J1202" s="2">
        <v>46223</v>
      </c>
      <c r="K1202" s="1">
        <v>0.57638888888888895</v>
      </c>
      <c r="L1202" s="10">
        <f t="shared" si="171"/>
        <v>5.0000000000001421</v>
      </c>
      <c r="M1202" s="1" t="str">
        <f t="shared" si="177"/>
        <v>On Time</v>
      </c>
      <c r="N1202" s="27" t="str">
        <f t="shared" si="172"/>
        <v>LOT</v>
      </c>
      <c r="O1202" s="3" t="s">
        <v>1385</v>
      </c>
      <c r="P1202" s="20">
        <f t="shared" si="173"/>
        <v>13</v>
      </c>
      <c r="Q1202" s="3" t="s">
        <v>1385</v>
      </c>
      <c r="R1202" s="23" t="str">
        <f t="shared" si="174"/>
        <v>Monday</v>
      </c>
      <c r="S1202" s="3" t="s">
        <v>1385</v>
      </c>
      <c r="T1202" s="23" t="s">
        <v>19</v>
      </c>
      <c r="U1202" s="3" t="s">
        <v>1385</v>
      </c>
      <c r="AO1202" s="15"/>
      <c r="AP1202" s="15"/>
      <c r="AQ1202" s="15"/>
      <c r="AR1202" s="23"/>
      <c r="AS1202" s="15"/>
      <c r="AT1202" s="15"/>
      <c r="AU1202" s="23"/>
      <c r="AV1202" s="23"/>
    </row>
    <row r="1203" spans="1:48" x14ac:dyDescent="0.25">
      <c r="A1203" t="s">
        <v>327</v>
      </c>
      <c r="B1203" t="s">
        <v>13</v>
      </c>
      <c r="C1203" s="10">
        <v>-11</v>
      </c>
      <c r="D1203" t="s">
        <v>1152</v>
      </c>
      <c r="E1203" s="2">
        <f t="shared" si="176"/>
        <v>46223</v>
      </c>
      <c r="F1203" s="3">
        <f t="shared" si="175"/>
        <v>0.57708333333333328</v>
      </c>
      <c r="G1203" t="s">
        <v>329</v>
      </c>
      <c r="H1203" t="s">
        <v>330</v>
      </c>
      <c r="I1203" t="s">
        <v>17</v>
      </c>
      <c r="J1203" s="2">
        <v>46223</v>
      </c>
      <c r="K1203" s="1">
        <v>0.59027777777777779</v>
      </c>
      <c r="L1203" s="10">
        <f t="shared" si="171"/>
        <v>19.000000000000092</v>
      </c>
      <c r="M1203" s="1" t="str">
        <f t="shared" si="177"/>
        <v>On Time</v>
      </c>
      <c r="N1203" s="27" t="str">
        <f t="shared" si="172"/>
        <v>Wizz Air</v>
      </c>
      <c r="O1203" s="3" t="s">
        <v>1385</v>
      </c>
      <c r="P1203" s="20">
        <f t="shared" si="173"/>
        <v>13</v>
      </c>
      <c r="Q1203" s="3" t="s">
        <v>1385</v>
      </c>
      <c r="R1203" s="23" t="str">
        <f t="shared" si="174"/>
        <v>Monday</v>
      </c>
      <c r="S1203" s="3" t="s">
        <v>1385</v>
      </c>
      <c r="T1203" s="23" t="s">
        <v>13</v>
      </c>
      <c r="U1203" s="3" t="s">
        <v>1385</v>
      </c>
      <c r="AO1203" s="15"/>
      <c r="AP1203" s="15"/>
      <c r="AQ1203" s="15"/>
      <c r="AR1203" s="23"/>
      <c r="AS1203" s="15"/>
      <c r="AT1203" s="15"/>
      <c r="AU1203" s="23"/>
      <c r="AV1203" s="23"/>
    </row>
    <row r="1204" spans="1:48" x14ac:dyDescent="0.25">
      <c r="A1204" t="s">
        <v>393</v>
      </c>
      <c r="B1204" t="s">
        <v>85</v>
      </c>
      <c r="C1204" s="10">
        <v>-9</v>
      </c>
      <c r="D1204" t="s">
        <v>1153</v>
      </c>
      <c r="E1204" s="2">
        <f t="shared" si="176"/>
        <v>46223</v>
      </c>
      <c r="F1204" s="3">
        <f t="shared" si="175"/>
        <v>0.6069444444444444</v>
      </c>
      <c r="G1204" t="s">
        <v>153</v>
      </c>
      <c r="H1204" t="s">
        <v>154</v>
      </c>
      <c r="I1204" t="s">
        <v>89</v>
      </c>
      <c r="J1204" s="2">
        <v>46223</v>
      </c>
      <c r="K1204" s="1">
        <v>0.61458333333333337</v>
      </c>
      <c r="L1204" s="10">
        <f t="shared" si="171"/>
        <v>11.000000000000121</v>
      </c>
      <c r="M1204" s="1" t="str">
        <f t="shared" si="177"/>
        <v>On Time</v>
      </c>
      <c r="N1204" s="27" t="str">
        <f t="shared" si="172"/>
        <v>Ryanair</v>
      </c>
      <c r="O1204" s="3" t="s">
        <v>1385</v>
      </c>
      <c r="P1204" s="20">
        <f t="shared" si="173"/>
        <v>14</v>
      </c>
      <c r="Q1204" s="3" t="s">
        <v>1385</v>
      </c>
      <c r="R1204" s="23" t="str">
        <f t="shared" si="174"/>
        <v>Monday</v>
      </c>
      <c r="S1204" s="3" t="s">
        <v>1385</v>
      </c>
      <c r="T1204" s="23" t="s">
        <v>85</v>
      </c>
      <c r="U1204" s="3" t="s">
        <v>1385</v>
      </c>
      <c r="AO1204" s="15"/>
      <c r="AP1204" s="15"/>
      <c r="AQ1204" s="15"/>
      <c r="AR1204" s="23"/>
      <c r="AS1204" s="15"/>
      <c r="AT1204" s="15"/>
      <c r="AU1204" s="23"/>
      <c r="AV1204" s="23"/>
    </row>
    <row r="1205" spans="1:48" x14ac:dyDescent="0.25">
      <c r="A1205" t="s">
        <v>512</v>
      </c>
      <c r="B1205" t="s">
        <v>513</v>
      </c>
      <c r="C1205" s="10">
        <v>-19</v>
      </c>
      <c r="D1205" t="s">
        <v>598</v>
      </c>
      <c r="E1205" s="2">
        <f t="shared" si="176"/>
        <v>46223</v>
      </c>
      <c r="F1205" s="3">
        <f t="shared" si="175"/>
        <v>0.62916666666666665</v>
      </c>
      <c r="G1205" t="s">
        <v>65</v>
      </c>
      <c r="H1205" t="s">
        <v>66</v>
      </c>
      <c r="I1205" t="s">
        <v>67</v>
      </c>
      <c r="J1205" s="2">
        <v>46223</v>
      </c>
      <c r="K1205" s="1">
        <v>0.63194444444444442</v>
      </c>
      <c r="L1205" s="10">
        <f t="shared" si="171"/>
        <v>3.9999999999999858</v>
      </c>
      <c r="M1205" s="1" t="str">
        <f t="shared" si="177"/>
        <v>On Time</v>
      </c>
      <c r="N1205" s="27" t="e">
        <f t="shared" si="172"/>
        <v>#N/A</v>
      </c>
      <c r="O1205" s="3" t="s">
        <v>1385</v>
      </c>
      <c r="P1205" s="20">
        <f t="shared" si="173"/>
        <v>15</v>
      </c>
      <c r="Q1205" s="3" t="s">
        <v>1385</v>
      </c>
      <c r="R1205" s="23" t="str">
        <f t="shared" si="174"/>
        <v>Monday</v>
      </c>
      <c r="S1205" s="3" t="s">
        <v>1385</v>
      </c>
      <c r="T1205" s="23" t="s">
        <v>513</v>
      </c>
      <c r="U1205" s="3" t="s">
        <v>1385</v>
      </c>
      <c r="AO1205" s="15"/>
      <c r="AP1205" s="15"/>
      <c r="AQ1205" s="15"/>
      <c r="AR1205" s="23"/>
      <c r="AS1205" s="15"/>
      <c r="AT1205" s="15"/>
      <c r="AU1205" s="23"/>
      <c r="AV1205" s="23"/>
    </row>
    <row r="1206" spans="1:48" x14ac:dyDescent="0.25">
      <c r="A1206" t="s">
        <v>156</v>
      </c>
      <c r="B1206" t="s">
        <v>555</v>
      </c>
      <c r="C1206" s="10">
        <v>-12</v>
      </c>
      <c r="D1206" t="s">
        <v>776</v>
      </c>
      <c r="E1206" s="2">
        <f t="shared" si="176"/>
        <v>46223</v>
      </c>
      <c r="F1206" s="3">
        <f t="shared" si="175"/>
        <v>0.63402777777777775</v>
      </c>
      <c r="G1206" t="s">
        <v>43</v>
      </c>
      <c r="H1206" t="s">
        <v>44</v>
      </c>
      <c r="I1206" t="s">
        <v>158</v>
      </c>
      <c r="J1206" s="2">
        <v>46223</v>
      </c>
      <c r="K1206" s="1">
        <v>0.63541666666666663</v>
      </c>
      <c r="L1206" s="10">
        <f t="shared" si="171"/>
        <v>1.9999999999999929</v>
      </c>
      <c r="M1206" s="1" t="str">
        <f t="shared" si="177"/>
        <v>On Time</v>
      </c>
      <c r="N1206" s="27" t="e">
        <f t="shared" si="172"/>
        <v>#N/A</v>
      </c>
      <c r="O1206" s="3" t="s">
        <v>1385</v>
      </c>
      <c r="P1206" s="20">
        <f t="shared" si="173"/>
        <v>15</v>
      </c>
      <c r="Q1206" s="3" t="s">
        <v>1385</v>
      </c>
      <c r="R1206" s="23" t="str">
        <f t="shared" si="174"/>
        <v>Monday</v>
      </c>
      <c r="S1206" s="3" t="s">
        <v>1385</v>
      </c>
      <c r="T1206" s="23" t="s">
        <v>555</v>
      </c>
      <c r="U1206" s="3" t="s">
        <v>1385</v>
      </c>
      <c r="AO1206" s="15"/>
      <c r="AP1206" s="15"/>
      <c r="AQ1206" s="15"/>
      <c r="AR1206" s="23"/>
      <c r="AS1206" s="15"/>
      <c r="AT1206" s="15"/>
      <c r="AU1206" s="23"/>
      <c r="AV1206" s="23"/>
    </row>
    <row r="1207" spans="1:48" x14ac:dyDescent="0.25">
      <c r="A1207" t="s">
        <v>254</v>
      </c>
      <c r="B1207" t="s">
        <v>85</v>
      </c>
      <c r="C1207" s="10">
        <v>-12</v>
      </c>
      <c r="D1207" t="s">
        <v>1125</v>
      </c>
      <c r="E1207" s="2">
        <f t="shared" si="176"/>
        <v>46223</v>
      </c>
      <c r="F1207" s="3">
        <f t="shared" si="175"/>
        <v>0.62708333333333333</v>
      </c>
      <c r="G1207" t="s">
        <v>256</v>
      </c>
      <c r="H1207" t="s">
        <v>257</v>
      </c>
      <c r="I1207" t="s">
        <v>162</v>
      </c>
      <c r="J1207" s="2">
        <v>46223</v>
      </c>
      <c r="K1207" s="1">
        <v>0.64236111111111105</v>
      </c>
      <c r="L1207" s="10">
        <f t="shared" si="171"/>
        <v>21.999999999999922</v>
      </c>
      <c r="M1207" s="1" t="str">
        <f t="shared" si="177"/>
        <v>On Time</v>
      </c>
      <c r="N1207" s="27" t="str">
        <f t="shared" si="172"/>
        <v>Ryanair</v>
      </c>
      <c r="O1207" s="3" t="s">
        <v>1385</v>
      </c>
      <c r="P1207" s="20">
        <f t="shared" si="173"/>
        <v>15</v>
      </c>
      <c r="Q1207" s="3" t="s">
        <v>1385</v>
      </c>
      <c r="R1207" s="23" t="str">
        <f t="shared" si="174"/>
        <v>Monday</v>
      </c>
      <c r="S1207" s="3" t="s">
        <v>1385</v>
      </c>
      <c r="T1207" s="23" t="s">
        <v>85</v>
      </c>
      <c r="U1207" s="3" t="s">
        <v>1385</v>
      </c>
      <c r="AO1207" s="15"/>
      <c r="AP1207" s="15"/>
      <c r="AQ1207" s="15"/>
      <c r="AR1207" s="23"/>
      <c r="AS1207" s="15"/>
      <c r="AT1207" s="15"/>
      <c r="AU1207" s="23"/>
      <c r="AV1207" s="23"/>
    </row>
    <row r="1208" spans="1:48" x14ac:dyDescent="0.25">
      <c r="A1208" t="s">
        <v>335</v>
      </c>
      <c r="B1208" t="s">
        <v>7</v>
      </c>
      <c r="C1208" s="10">
        <v>-30</v>
      </c>
      <c r="D1208" t="s">
        <v>599</v>
      </c>
      <c r="E1208" s="2">
        <f t="shared" si="176"/>
        <v>46223</v>
      </c>
      <c r="F1208" s="3">
        <f t="shared" si="175"/>
        <v>0.64236111111111105</v>
      </c>
      <c r="G1208" t="s">
        <v>337</v>
      </c>
      <c r="H1208" t="s">
        <v>338</v>
      </c>
      <c r="I1208" t="s">
        <v>11</v>
      </c>
      <c r="J1208" s="2">
        <v>46223</v>
      </c>
      <c r="K1208" s="1">
        <v>0.64236111111111105</v>
      </c>
      <c r="L1208" s="10">
        <f t="shared" si="171"/>
        <v>0</v>
      </c>
      <c r="M1208" s="1" t="str">
        <f t="shared" si="177"/>
        <v>On Time</v>
      </c>
      <c r="N1208" s="27" t="str">
        <f t="shared" si="172"/>
        <v>airBaltic</v>
      </c>
      <c r="O1208" s="3" t="s">
        <v>1385</v>
      </c>
      <c r="P1208" s="20">
        <f t="shared" si="173"/>
        <v>15</v>
      </c>
      <c r="Q1208" s="3" t="s">
        <v>1385</v>
      </c>
      <c r="R1208" s="23" t="str">
        <f t="shared" si="174"/>
        <v>Monday</v>
      </c>
      <c r="S1208" s="3" t="s">
        <v>1385</v>
      </c>
      <c r="T1208" s="23" t="s">
        <v>7</v>
      </c>
      <c r="U1208" s="3" t="s">
        <v>1385</v>
      </c>
      <c r="AO1208" s="15"/>
      <c r="AP1208" s="15"/>
      <c r="AQ1208" s="15"/>
      <c r="AR1208" s="23"/>
      <c r="AS1208" s="15"/>
      <c r="AT1208" s="15"/>
      <c r="AU1208" s="23"/>
      <c r="AV1208" s="23"/>
    </row>
    <row r="1209" spans="1:48" x14ac:dyDescent="0.25">
      <c r="A1209" t="s">
        <v>348</v>
      </c>
      <c r="B1209" t="s">
        <v>13</v>
      </c>
      <c r="C1209" s="10">
        <v>-28</v>
      </c>
      <c r="D1209" t="s">
        <v>829</v>
      </c>
      <c r="E1209" s="2">
        <f t="shared" si="176"/>
        <v>46223</v>
      </c>
      <c r="F1209" s="3">
        <f t="shared" si="175"/>
        <v>0.64513888888888882</v>
      </c>
      <c r="G1209" t="s">
        <v>349</v>
      </c>
      <c r="H1209" t="s">
        <v>350</v>
      </c>
      <c r="I1209" t="s">
        <v>17</v>
      </c>
      <c r="J1209" s="2">
        <v>46223</v>
      </c>
      <c r="K1209" s="1">
        <v>0.64930555555555558</v>
      </c>
      <c r="L1209" s="10">
        <f t="shared" si="171"/>
        <v>6.0000000000001386</v>
      </c>
      <c r="M1209" s="1" t="str">
        <f t="shared" si="177"/>
        <v>On Time</v>
      </c>
      <c r="N1209" s="27" t="str">
        <f t="shared" si="172"/>
        <v>Wizz Air</v>
      </c>
      <c r="O1209" s="3" t="s">
        <v>1385</v>
      </c>
      <c r="P1209" s="20">
        <f t="shared" si="173"/>
        <v>15</v>
      </c>
      <c r="Q1209" s="3" t="s">
        <v>1385</v>
      </c>
      <c r="R1209" s="23" t="str">
        <f t="shared" si="174"/>
        <v>Monday</v>
      </c>
      <c r="S1209" s="3" t="s">
        <v>1385</v>
      </c>
      <c r="T1209" s="23" t="s">
        <v>13</v>
      </c>
      <c r="U1209" s="3" t="s">
        <v>1385</v>
      </c>
      <c r="AO1209" s="15"/>
      <c r="AP1209" s="15"/>
      <c r="AQ1209" s="15"/>
      <c r="AR1209" s="23"/>
      <c r="AS1209" s="15"/>
      <c r="AT1209" s="15"/>
      <c r="AU1209" s="23"/>
      <c r="AV1209" s="23"/>
    </row>
    <row r="1210" spans="1:48" x14ac:dyDescent="0.25">
      <c r="A1210" t="s">
        <v>148</v>
      </c>
      <c r="B1210" t="s">
        <v>7</v>
      </c>
      <c r="C1210" s="10">
        <v>-131</v>
      </c>
      <c r="D1210" t="s">
        <v>1154</v>
      </c>
      <c r="E1210" s="2">
        <f t="shared" si="176"/>
        <v>46223</v>
      </c>
      <c r="F1210" s="3">
        <f t="shared" si="175"/>
        <v>0.75069444444444444</v>
      </c>
      <c r="G1210" t="s">
        <v>9</v>
      </c>
      <c r="H1210" t="s">
        <v>10</v>
      </c>
      <c r="I1210" t="s">
        <v>11</v>
      </c>
      <c r="J1210" s="2">
        <v>46223</v>
      </c>
      <c r="K1210" s="1">
        <v>0.67013888888888884</v>
      </c>
      <c r="L1210" s="10">
        <f t="shared" si="171"/>
        <v>-116.00000000000007</v>
      </c>
      <c r="M1210" s="1" t="str">
        <f t="shared" si="177"/>
        <v>Delayed</v>
      </c>
      <c r="N1210" s="27" t="str">
        <f t="shared" si="172"/>
        <v>airBaltic</v>
      </c>
      <c r="O1210" s="3" t="s">
        <v>1318</v>
      </c>
      <c r="P1210" s="20">
        <f t="shared" si="173"/>
        <v>18</v>
      </c>
      <c r="Q1210" s="3" t="s">
        <v>1318</v>
      </c>
      <c r="R1210" s="23" t="str">
        <f t="shared" si="174"/>
        <v>Monday</v>
      </c>
      <c r="S1210" s="3" t="s">
        <v>1318</v>
      </c>
      <c r="T1210" s="23" t="s">
        <v>7</v>
      </c>
      <c r="U1210" s="3" t="s">
        <v>1318</v>
      </c>
      <c r="AO1210" s="15"/>
      <c r="AP1210" s="15"/>
      <c r="AQ1210" s="15"/>
      <c r="AR1210" s="23"/>
      <c r="AS1210" s="15"/>
      <c r="AT1210" s="15"/>
      <c r="AU1210" s="23"/>
      <c r="AV1210" s="23"/>
    </row>
    <row r="1211" spans="1:48" x14ac:dyDescent="0.25">
      <c r="A1211" t="s">
        <v>175</v>
      </c>
      <c r="B1211" t="s">
        <v>19</v>
      </c>
      <c r="C1211" s="10">
        <v>-12</v>
      </c>
      <c r="D1211" t="s">
        <v>904</v>
      </c>
      <c r="E1211" s="2">
        <f t="shared" si="176"/>
        <v>46223</v>
      </c>
      <c r="F1211" s="3">
        <f t="shared" si="175"/>
        <v>0.6743055555555556</v>
      </c>
      <c r="G1211" t="s">
        <v>21</v>
      </c>
      <c r="H1211" t="s">
        <v>22</v>
      </c>
      <c r="I1211" t="s">
        <v>237</v>
      </c>
      <c r="J1211" s="2">
        <v>46223</v>
      </c>
      <c r="K1211" s="1">
        <v>0.68055555555555547</v>
      </c>
      <c r="L1211" s="10">
        <f t="shared" si="171"/>
        <v>8.9999999999998082</v>
      </c>
      <c r="M1211" s="1" t="str">
        <f t="shared" si="177"/>
        <v>On Time</v>
      </c>
      <c r="N1211" s="27" t="str">
        <f t="shared" si="172"/>
        <v>LOT</v>
      </c>
      <c r="O1211" s="3" t="s">
        <v>1385</v>
      </c>
      <c r="P1211" s="20">
        <f t="shared" si="173"/>
        <v>16</v>
      </c>
      <c r="Q1211" s="3" t="s">
        <v>1385</v>
      </c>
      <c r="R1211" s="23" t="str">
        <f t="shared" si="174"/>
        <v>Monday</v>
      </c>
      <c r="S1211" s="3" t="s">
        <v>1385</v>
      </c>
      <c r="T1211" s="23" t="s">
        <v>19</v>
      </c>
      <c r="U1211" s="3" t="s">
        <v>1385</v>
      </c>
      <c r="AO1211" s="15"/>
      <c r="AP1211" s="15"/>
      <c r="AQ1211" s="15"/>
      <c r="AR1211" s="23"/>
      <c r="AS1211" s="15"/>
      <c r="AT1211" s="15"/>
      <c r="AU1211" s="23"/>
      <c r="AV1211" s="23"/>
    </row>
    <row r="1212" spans="1:48" x14ac:dyDescent="0.25">
      <c r="A1212" t="s">
        <v>674</v>
      </c>
      <c r="B1212" t="s">
        <v>675</v>
      </c>
      <c r="D1212" t="s">
        <v>1155</v>
      </c>
      <c r="E1212" s="2">
        <f t="shared" si="176"/>
        <v>46223</v>
      </c>
      <c r="F1212" s="3">
        <f t="shared" si="175"/>
        <v>0.70694444444444438</v>
      </c>
      <c r="G1212" t="s">
        <v>1156</v>
      </c>
      <c r="H1212" t="s">
        <v>1157</v>
      </c>
      <c r="I1212" t="s">
        <v>677</v>
      </c>
      <c r="J1212" s="2">
        <v>46223</v>
      </c>
      <c r="K1212" s="1">
        <v>0.68819444444444444</v>
      </c>
      <c r="L1212" s="10">
        <f t="shared" si="171"/>
        <v>-26.999999999999904</v>
      </c>
      <c r="M1212" s="1" t="str">
        <f t="shared" si="177"/>
        <v>Delayed</v>
      </c>
      <c r="N1212" s="27" t="e">
        <f t="shared" si="172"/>
        <v>#N/A</v>
      </c>
      <c r="O1212" s="3" t="s">
        <v>1318</v>
      </c>
      <c r="P1212" s="20">
        <f t="shared" si="173"/>
        <v>16</v>
      </c>
      <c r="Q1212" s="3" t="s">
        <v>1318</v>
      </c>
      <c r="R1212" s="23" t="str">
        <f t="shared" si="174"/>
        <v>Monday</v>
      </c>
      <c r="S1212" s="3" t="s">
        <v>1318</v>
      </c>
      <c r="T1212" s="23" t="s">
        <v>675</v>
      </c>
      <c r="U1212" s="3" t="s">
        <v>1318</v>
      </c>
      <c r="AO1212" s="15"/>
      <c r="AP1212" s="15"/>
      <c r="AQ1212" s="15"/>
      <c r="AR1212" s="23"/>
      <c r="AS1212" s="15"/>
      <c r="AT1212" s="15"/>
      <c r="AU1212" s="23"/>
      <c r="AV1212" s="23"/>
    </row>
    <row r="1213" spans="1:48" x14ac:dyDescent="0.25">
      <c r="A1213" t="s">
        <v>372</v>
      </c>
      <c r="B1213" t="s">
        <v>85</v>
      </c>
      <c r="C1213" s="10">
        <v>-102</v>
      </c>
      <c r="D1213" t="s">
        <v>1158</v>
      </c>
      <c r="E1213" s="2">
        <f t="shared" si="176"/>
        <v>46223</v>
      </c>
      <c r="F1213" s="3">
        <f t="shared" si="175"/>
        <v>0.76458333333333339</v>
      </c>
      <c r="G1213" t="s">
        <v>368</v>
      </c>
      <c r="H1213" t="s">
        <v>369</v>
      </c>
      <c r="I1213" t="s">
        <v>89</v>
      </c>
      <c r="J1213" s="2">
        <v>46223</v>
      </c>
      <c r="K1213" s="1">
        <v>0.71180555555555547</v>
      </c>
      <c r="L1213" s="10">
        <f t="shared" si="171"/>
        <v>-76.000000000000213</v>
      </c>
      <c r="M1213" s="1" t="str">
        <f t="shared" si="177"/>
        <v>Delayed</v>
      </c>
      <c r="N1213" s="27" t="str">
        <f t="shared" si="172"/>
        <v>Ryanair</v>
      </c>
      <c r="O1213" s="3" t="s">
        <v>1318</v>
      </c>
      <c r="P1213" s="20">
        <f t="shared" si="173"/>
        <v>18</v>
      </c>
      <c r="Q1213" s="3" t="s">
        <v>1318</v>
      </c>
      <c r="R1213" s="23" t="str">
        <f t="shared" si="174"/>
        <v>Monday</v>
      </c>
      <c r="S1213" s="3" t="s">
        <v>1318</v>
      </c>
      <c r="T1213" s="23" t="s">
        <v>85</v>
      </c>
      <c r="U1213" s="3" t="s">
        <v>1318</v>
      </c>
      <c r="AO1213" s="15"/>
      <c r="AP1213" s="15"/>
      <c r="AQ1213" s="15"/>
      <c r="AR1213" s="23"/>
      <c r="AS1213" s="15"/>
      <c r="AT1213" s="15"/>
      <c r="AU1213" s="23"/>
      <c r="AV1213" s="23"/>
    </row>
    <row r="1214" spans="1:48" x14ac:dyDescent="0.25">
      <c r="A1214" t="s">
        <v>182</v>
      </c>
      <c r="B1214" t="s">
        <v>69</v>
      </c>
      <c r="C1214" s="10">
        <v>-7</v>
      </c>
      <c r="D1214" t="s">
        <v>1159</v>
      </c>
      <c r="E1214" s="2">
        <f t="shared" si="176"/>
        <v>46223</v>
      </c>
      <c r="F1214" s="3">
        <f t="shared" si="175"/>
        <v>0.7416666666666667</v>
      </c>
      <c r="G1214" t="s">
        <v>71</v>
      </c>
      <c r="H1214" t="s">
        <v>72</v>
      </c>
      <c r="I1214" t="s">
        <v>73</v>
      </c>
      <c r="J1214" s="2">
        <v>46223</v>
      </c>
      <c r="K1214" s="1">
        <v>0.74305555555555547</v>
      </c>
      <c r="L1214" s="10">
        <f t="shared" si="171"/>
        <v>1.999999999999833</v>
      </c>
      <c r="M1214" s="1" t="str">
        <f t="shared" si="177"/>
        <v>On Time</v>
      </c>
      <c r="N1214" s="27" t="str">
        <f t="shared" si="172"/>
        <v>Finnair</v>
      </c>
      <c r="O1214" s="3" t="s">
        <v>1385</v>
      </c>
      <c r="P1214" s="20">
        <f t="shared" si="173"/>
        <v>17</v>
      </c>
      <c r="Q1214" s="3" t="s">
        <v>1385</v>
      </c>
      <c r="R1214" s="23" t="str">
        <f t="shared" si="174"/>
        <v>Monday</v>
      </c>
      <c r="S1214" s="3" t="s">
        <v>1385</v>
      </c>
      <c r="T1214" s="23" t="s">
        <v>69</v>
      </c>
      <c r="U1214" s="3" t="s">
        <v>1385</v>
      </c>
      <c r="AO1214" s="15"/>
      <c r="AP1214" s="15"/>
      <c r="AQ1214" s="15"/>
      <c r="AR1214" s="23"/>
      <c r="AS1214" s="15"/>
      <c r="AT1214" s="15"/>
      <c r="AU1214" s="23"/>
      <c r="AV1214" s="23"/>
    </row>
    <row r="1215" spans="1:48" x14ac:dyDescent="0.25">
      <c r="A1215" t="s">
        <v>186</v>
      </c>
      <c r="B1215" t="s">
        <v>19</v>
      </c>
      <c r="C1215" s="10">
        <v>-64</v>
      </c>
      <c r="D1215" t="s">
        <v>1075</v>
      </c>
      <c r="E1215" s="2">
        <f t="shared" si="176"/>
        <v>46223</v>
      </c>
      <c r="F1215" s="3">
        <f t="shared" si="175"/>
        <v>0.8027777777777777</v>
      </c>
      <c r="G1215" t="s">
        <v>21</v>
      </c>
      <c r="H1215" t="s">
        <v>22</v>
      </c>
      <c r="I1215" t="s">
        <v>276</v>
      </c>
      <c r="J1215" s="2">
        <v>46223</v>
      </c>
      <c r="K1215" s="1">
        <v>0.77430555555555547</v>
      </c>
      <c r="L1215" s="10">
        <f t="shared" si="171"/>
        <v>-41.000000000000014</v>
      </c>
      <c r="M1215" s="1" t="str">
        <f t="shared" si="177"/>
        <v>Delayed</v>
      </c>
      <c r="N1215" s="27" t="str">
        <f t="shared" si="172"/>
        <v>LOT</v>
      </c>
      <c r="O1215" s="3" t="s">
        <v>1318</v>
      </c>
      <c r="P1215" s="20">
        <f t="shared" si="173"/>
        <v>19</v>
      </c>
      <c r="Q1215" s="3" t="s">
        <v>1318</v>
      </c>
      <c r="R1215" s="23" t="str">
        <f t="shared" si="174"/>
        <v>Monday</v>
      </c>
      <c r="S1215" s="3" t="s">
        <v>1318</v>
      </c>
      <c r="T1215" s="23" t="s">
        <v>19</v>
      </c>
      <c r="U1215" s="3" t="s">
        <v>1318</v>
      </c>
      <c r="AO1215" s="15"/>
      <c r="AP1215" s="15"/>
      <c r="AQ1215" s="15"/>
      <c r="AR1215" s="23"/>
      <c r="AS1215" s="15"/>
      <c r="AT1215" s="15"/>
      <c r="AU1215" s="23"/>
      <c r="AV1215" s="23"/>
    </row>
    <row r="1216" spans="1:48" x14ac:dyDescent="0.25">
      <c r="A1216" t="s">
        <v>366</v>
      </c>
      <c r="B1216" t="s">
        <v>13</v>
      </c>
      <c r="C1216" s="10">
        <v>-17</v>
      </c>
      <c r="D1216" t="s">
        <v>981</v>
      </c>
      <c r="E1216" s="2">
        <f t="shared" si="176"/>
        <v>46223</v>
      </c>
      <c r="F1216" s="3">
        <f t="shared" si="175"/>
        <v>0.77569444444444446</v>
      </c>
      <c r="G1216" t="s">
        <v>368</v>
      </c>
      <c r="H1216" t="s">
        <v>369</v>
      </c>
      <c r="I1216" t="s">
        <v>17</v>
      </c>
      <c r="J1216" s="2">
        <v>46223</v>
      </c>
      <c r="K1216" s="1">
        <v>0.78125</v>
      </c>
      <c r="L1216" s="10">
        <f t="shared" si="171"/>
        <v>7.9999999999999716</v>
      </c>
      <c r="M1216" s="1" t="str">
        <f t="shared" si="177"/>
        <v>On Time</v>
      </c>
      <c r="N1216" s="27" t="str">
        <f t="shared" si="172"/>
        <v>Wizz Air</v>
      </c>
      <c r="O1216" s="3" t="s">
        <v>1385</v>
      </c>
      <c r="P1216" s="20">
        <f t="shared" si="173"/>
        <v>18</v>
      </c>
      <c r="Q1216" s="3" t="s">
        <v>1385</v>
      </c>
      <c r="R1216" s="23" t="str">
        <f t="shared" si="174"/>
        <v>Monday</v>
      </c>
      <c r="S1216" s="3" t="s">
        <v>1385</v>
      </c>
      <c r="T1216" s="23" t="s">
        <v>13</v>
      </c>
      <c r="U1216" s="3" t="s">
        <v>1385</v>
      </c>
      <c r="AO1216" s="15"/>
      <c r="AP1216" s="15"/>
      <c r="AQ1216" s="15"/>
      <c r="AR1216" s="23"/>
      <c r="AS1216" s="15"/>
      <c r="AT1216" s="15"/>
      <c r="AU1216" s="23"/>
      <c r="AV1216" s="23"/>
    </row>
    <row r="1217" spans="1:48" x14ac:dyDescent="0.25">
      <c r="A1217" t="s">
        <v>189</v>
      </c>
      <c r="B1217" t="s">
        <v>190</v>
      </c>
      <c r="C1217" s="10">
        <v>-32</v>
      </c>
      <c r="D1217" t="s">
        <v>1046</v>
      </c>
      <c r="E1217" s="2">
        <f t="shared" si="176"/>
        <v>46223</v>
      </c>
      <c r="F1217" s="3">
        <f t="shared" si="175"/>
        <v>0.79236111111111107</v>
      </c>
      <c r="G1217" t="s">
        <v>110</v>
      </c>
      <c r="H1217" t="s">
        <v>111</v>
      </c>
      <c r="I1217" t="s">
        <v>210</v>
      </c>
      <c r="J1217" s="2">
        <v>46223</v>
      </c>
      <c r="K1217" s="1">
        <v>0.78819444444444453</v>
      </c>
      <c r="L1217" s="10">
        <f t="shared" si="171"/>
        <v>-5.9999999999998188</v>
      </c>
      <c r="M1217" s="1" t="str">
        <f t="shared" si="177"/>
        <v>On Time</v>
      </c>
      <c r="N1217" s="27" t="str">
        <f t="shared" si="172"/>
        <v>Lufthansa</v>
      </c>
      <c r="O1217" s="3" t="s">
        <v>1385</v>
      </c>
      <c r="P1217" s="20">
        <f t="shared" si="173"/>
        <v>19</v>
      </c>
      <c r="Q1217" s="3" t="s">
        <v>1385</v>
      </c>
      <c r="R1217" s="23" t="str">
        <f t="shared" si="174"/>
        <v>Monday</v>
      </c>
      <c r="S1217" s="3" t="s">
        <v>1385</v>
      </c>
      <c r="T1217" s="23" t="s">
        <v>190</v>
      </c>
      <c r="U1217" s="3" t="s">
        <v>1385</v>
      </c>
      <c r="AO1217" s="15"/>
      <c r="AP1217" s="15"/>
      <c r="AQ1217" s="15"/>
      <c r="AR1217" s="23"/>
      <c r="AS1217" s="15"/>
      <c r="AT1217" s="15"/>
      <c r="AU1217" s="23"/>
      <c r="AV1217" s="23"/>
    </row>
    <row r="1218" spans="1:48" x14ac:dyDescent="0.25">
      <c r="A1218" t="s">
        <v>208</v>
      </c>
      <c r="B1218" t="s">
        <v>96</v>
      </c>
      <c r="C1218" s="10">
        <v>-19</v>
      </c>
      <c r="D1218" t="s">
        <v>209</v>
      </c>
      <c r="E1218" s="2">
        <f t="shared" si="176"/>
        <v>46223</v>
      </c>
      <c r="F1218" s="3">
        <f t="shared" si="175"/>
        <v>0.79999999999999993</v>
      </c>
      <c r="G1218" t="s">
        <v>98</v>
      </c>
      <c r="H1218" t="s">
        <v>99</v>
      </c>
      <c r="I1218" t="s">
        <v>1160</v>
      </c>
      <c r="J1218" s="2">
        <v>46223</v>
      </c>
      <c r="K1218" s="1">
        <v>0.8125</v>
      </c>
      <c r="L1218" s="10">
        <f t="shared" ref="L1218:L1281" si="178">IF(J1218&gt;E1218,(K1218+1-F1218)*1440,IF(J1218&lt;E1218,-(F1218+1-K1218)*1440,(K1218-F1218)*1440))</f>
        <v>18.000000000000096</v>
      </c>
      <c r="M1218" s="1" t="str">
        <f t="shared" si="177"/>
        <v>On Time</v>
      </c>
      <c r="N1218" s="27" t="str">
        <f t="shared" ref="N1218:N1281" si="179">IF(COUNTIFS($B$2:$B$1553,B1218,$M$2:$M$1553,"&lt;&gt;#N/A")&gt;=30,B1218,NA())</f>
        <v>Turkish Airlines</v>
      </c>
      <c r="O1218" s="3" t="s">
        <v>1385</v>
      </c>
      <c r="P1218" s="20">
        <f t="shared" ref="P1218:P1281" si="180">HOUR(F1218)</f>
        <v>19</v>
      </c>
      <c r="Q1218" s="3" t="s">
        <v>1385</v>
      </c>
      <c r="R1218" s="23" t="str">
        <f t="shared" ref="R1218:R1281" si="181">TEXT(E1218, "dddd")</f>
        <v>Monday</v>
      </c>
      <c r="S1218" s="3" t="s">
        <v>1385</v>
      </c>
      <c r="T1218" s="23" t="s">
        <v>96</v>
      </c>
      <c r="U1218" s="3" t="s">
        <v>1385</v>
      </c>
      <c r="AO1218" s="15"/>
      <c r="AP1218" s="15"/>
      <c r="AQ1218" s="15"/>
      <c r="AR1218" s="23"/>
      <c r="AS1218" s="15"/>
      <c r="AT1218" s="15"/>
      <c r="AU1218" s="23"/>
      <c r="AV1218" s="23"/>
    </row>
    <row r="1219" spans="1:48" x14ac:dyDescent="0.25">
      <c r="A1219" t="s">
        <v>211</v>
      </c>
      <c r="B1219" t="s">
        <v>7</v>
      </c>
      <c r="C1219" s="10">
        <v>0</v>
      </c>
      <c r="D1219" t="s">
        <v>242</v>
      </c>
      <c r="E1219" s="2">
        <f t="shared" si="176"/>
        <v>46223</v>
      </c>
      <c r="F1219" s="3" t="e">
        <f t="shared" ref="F1219:F1282" si="182">IF(ISNUMBER(SEARCH("Landed", D1219)), TIMEVALUE(_xlfn.TEXTAFTER(D1219, " ")), NA())</f>
        <v>#N/A</v>
      </c>
      <c r="G1219" t="s">
        <v>135</v>
      </c>
      <c r="H1219" t="s">
        <v>136</v>
      </c>
      <c r="I1219" t="s">
        <v>11</v>
      </c>
      <c r="J1219" s="2">
        <v>46223</v>
      </c>
      <c r="K1219" s="1">
        <v>0.82638888888888884</v>
      </c>
      <c r="L1219" s="10">
        <v>0</v>
      </c>
      <c r="M1219" s="1" t="str">
        <f t="shared" si="177"/>
        <v>On Time</v>
      </c>
      <c r="N1219" s="27" t="str">
        <f t="shared" si="179"/>
        <v>airBaltic</v>
      </c>
      <c r="O1219" s="3" t="e">
        <v>#N/A</v>
      </c>
      <c r="P1219" s="20" t="e">
        <f t="shared" si="180"/>
        <v>#N/A</v>
      </c>
      <c r="Q1219" s="3" t="e">
        <v>#N/A</v>
      </c>
      <c r="R1219" s="23" t="str">
        <f t="shared" si="181"/>
        <v>Monday</v>
      </c>
      <c r="S1219" s="3" t="e">
        <v>#N/A</v>
      </c>
      <c r="T1219" s="23" t="s">
        <v>7</v>
      </c>
      <c r="AO1219" s="15"/>
      <c r="AP1219" s="15"/>
      <c r="AQ1219" s="15"/>
      <c r="AR1219" s="23"/>
      <c r="AS1219" s="15"/>
      <c r="AT1219" s="15"/>
      <c r="AU1219" s="23"/>
      <c r="AV1219" s="23"/>
    </row>
    <row r="1220" spans="1:48" x14ac:dyDescent="0.25">
      <c r="A1220" t="s">
        <v>78</v>
      </c>
      <c r="B1220" t="s">
        <v>363</v>
      </c>
      <c r="C1220" s="10">
        <v>-71</v>
      </c>
      <c r="D1220" t="s">
        <v>1161</v>
      </c>
      <c r="E1220" s="2">
        <f t="shared" si="176"/>
        <v>46223</v>
      </c>
      <c r="F1220" s="3">
        <f t="shared" si="182"/>
        <v>0.86805555555555547</v>
      </c>
      <c r="G1220" t="s">
        <v>81</v>
      </c>
      <c r="H1220" t="s">
        <v>82</v>
      </c>
      <c r="I1220" t="s">
        <v>83</v>
      </c>
      <c r="J1220" s="2">
        <v>46223</v>
      </c>
      <c r="K1220" s="1">
        <v>0.83333333333333337</v>
      </c>
      <c r="L1220" s="10">
        <f t="shared" si="178"/>
        <v>-49.999999999999822</v>
      </c>
      <c r="M1220" s="1" t="str">
        <f t="shared" si="177"/>
        <v>Delayed</v>
      </c>
      <c r="N1220" s="27" t="e">
        <f t="shared" si="179"/>
        <v>#N/A</v>
      </c>
      <c r="O1220" s="3" t="s">
        <v>1318</v>
      </c>
      <c r="P1220" s="20">
        <f t="shared" si="180"/>
        <v>20</v>
      </c>
      <c r="Q1220" s="3" t="s">
        <v>1318</v>
      </c>
      <c r="R1220" s="23" t="str">
        <f t="shared" si="181"/>
        <v>Monday</v>
      </c>
      <c r="S1220" s="3" t="s">
        <v>1318</v>
      </c>
      <c r="T1220" s="23" t="s">
        <v>363</v>
      </c>
      <c r="U1220" s="3" t="s">
        <v>1318</v>
      </c>
      <c r="AO1220" s="15"/>
      <c r="AP1220" s="15"/>
      <c r="AQ1220" s="15"/>
      <c r="AR1220" s="23"/>
      <c r="AS1220" s="15"/>
      <c r="AT1220" s="15"/>
      <c r="AU1220" s="23"/>
      <c r="AV1220" s="23"/>
    </row>
    <row r="1221" spans="1:48" x14ac:dyDescent="0.25">
      <c r="A1221" t="s">
        <v>123</v>
      </c>
      <c r="B1221" t="s">
        <v>124</v>
      </c>
      <c r="D1221" t="s">
        <v>1162</v>
      </c>
      <c r="E1221" s="2">
        <f t="shared" si="176"/>
        <v>46223</v>
      </c>
      <c r="F1221" s="3">
        <f t="shared" si="182"/>
        <v>0.84583333333333333</v>
      </c>
      <c r="G1221" t="s">
        <v>226</v>
      </c>
      <c r="H1221" t="s">
        <v>227</v>
      </c>
      <c r="I1221" t="s">
        <v>67</v>
      </c>
      <c r="J1221" s="2">
        <v>46223</v>
      </c>
      <c r="K1221" s="1">
        <v>0.84513888888888899</v>
      </c>
      <c r="L1221" s="10">
        <f t="shared" si="178"/>
        <v>-0.99999999999983658</v>
      </c>
      <c r="M1221" s="1" t="str">
        <f t="shared" si="177"/>
        <v>On Time</v>
      </c>
      <c r="N1221" s="27" t="str">
        <f t="shared" si="179"/>
        <v>GetJet Airlines</v>
      </c>
      <c r="O1221" s="3" t="s">
        <v>1385</v>
      </c>
      <c r="P1221" s="20">
        <f t="shared" si="180"/>
        <v>20</v>
      </c>
      <c r="Q1221" s="3" t="s">
        <v>1385</v>
      </c>
      <c r="R1221" s="23" t="str">
        <f t="shared" si="181"/>
        <v>Monday</v>
      </c>
      <c r="S1221" s="3" t="s">
        <v>1385</v>
      </c>
      <c r="T1221" s="23" t="s">
        <v>124</v>
      </c>
      <c r="U1221" s="3" t="s">
        <v>1385</v>
      </c>
      <c r="AO1221" s="15"/>
      <c r="AP1221" s="15"/>
      <c r="AQ1221" s="15"/>
      <c r="AR1221" s="23"/>
      <c r="AS1221" s="15"/>
      <c r="AT1221" s="15"/>
      <c r="AU1221" s="23"/>
      <c r="AV1221" s="23"/>
    </row>
    <row r="1222" spans="1:48" x14ac:dyDescent="0.25">
      <c r="A1222" t="s">
        <v>519</v>
      </c>
      <c r="B1222" t="s">
        <v>85</v>
      </c>
      <c r="C1222" s="10">
        <v>3</v>
      </c>
      <c r="D1222" t="s">
        <v>735</v>
      </c>
      <c r="E1222" s="2">
        <f t="shared" si="176"/>
        <v>46223</v>
      </c>
      <c r="F1222" s="3">
        <f t="shared" si="182"/>
        <v>0.83333333333333337</v>
      </c>
      <c r="G1222" t="s">
        <v>110</v>
      </c>
      <c r="H1222" t="s">
        <v>521</v>
      </c>
      <c r="I1222" t="s">
        <v>89</v>
      </c>
      <c r="J1222" s="2">
        <v>46223</v>
      </c>
      <c r="K1222" s="1">
        <v>0.85416666666666663</v>
      </c>
      <c r="L1222" s="10">
        <f t="shared" si="178"/>
        <v>29.999999999999893</v>
      </c>
      <c r="M1222" s="1" t="str">
        <f t="shared" si="177"/>
        <v>On Time</v>
      </c>
      <c r="N1222" s="27" t="str">
        <f t="shared" si="179"/>
        <v>Ryanair</v>
      </c>
      <c r="O1222" s="3" t="s">
        <v>1385</v>
      </c>
      <c r="P1222" s="20">
        <f t="shared" si="180"/>
        <v>20</v>
      </c>
      <c r="Q1222" s="3" t="s">
        <v>1385</v>
      </c>
      <c r="R1222" s="23" t="str">
        <f t="shared" si="181"/>
        <v>Monday</v>
      </c>
      <c r="S1222" s="3" t="s">
        <v>1385</v>
      </c>
      <c r="T1222" s="23" t="s">
        <v>85</v>
      </c>
      <c r="U1222" s="3" t="s">
        <v>1385</v>
      </c>
      <c r="AO1222" s="15"/>
      <c r="AP1222" s="15"/>
      <c r="AQ1222" s="15"/>
      <c r="AR1222" s="23"/>
      <c r="AS1222" s="15"/>
      <c r="AT1222" s="15"/>
      <c r="AU1222" s="23"/>
      <c r="AV1222" s="23"/>
    </row>
    <row r="1223" spans="1:48" x14ac:dyDescent="0.25">
      <c r="A1223" t="s">
        <v>159</v>
      </c>
      <c r="B1223" t="s">
        <v>85</v>
      </c>
      <c r="C1223" s="10">
        <v>-34</v>
      </c>
      <c r="D1223" t="s">
        <v>917</v>
      </c>
      <c r="E1223" s="2">
        <f t="shared" si="176"/>
        <v>46223</v>
      </c>
      <c r="F1223" s="3">
        <f t="shared" si="182"/>
        <v>0.89374999999999993</v>
      </c>
      <c r="G1223" t="s">
        <v>34</v>
      </c>
      <c r="H1223" t="s">
        <v>161</v>
      </c>
      <c r="I1223" t="s">
        <v>162</v>
      </c>
      <c r="J1223" s="2">
        <v>46223</v>
      </c>
      <c r="K1223" s="1">
        <v>0.88888888888888884</v>
      </c>
      <c r="L1223" s="10">
        <f t="shared" si="178"/>
        <v>-6.9999999999999751</v>
      </c>
      <c r="M1223" s="1" t="str">
        <f t="shared" si="177"/>
        <v>On Time</v>
      </c>
      <c r="N1223" s="27" t="str">
        <f t="shared" si="179"/>
        <v>Ryanair</v>
      </c>
      <c r="O1223" s="3" t="s">
        <v>1385</v>
      </c>
      <c r="P1223" s="20">
        <f t="shared" si="180"/>
        <v>21</v>
      </c>
      <c r="Q1223" s="3" t="s">
        <v>1385</v>
      </c>
      <c r="R1223" s="23" t="str">
        <f t="shared" si="181"/>
        <v>Monday</v>
      </c>
      <c r="S1223" s="3" t="s">
        <v>1385</v>
      </c>
      <c r="T1223" s="23" t="s">
        <v>85</v>
      </c>
      <c r="U1223" s="3" t="s">
        <v>1385</v>
      </c>
      <c r="AO1223" s="15"/>
      <c r="AP1223" s="15"/>
      <c r="AQ1223" s="15"/>
      <c r="AR1223" s="23"/>
      <c r="AS1223" s="15"/>
      <c r="AT1223" s="15"/>
      <c r="AU1223" s="23"/>
      <c r="AV1223" s="23"/>
    </row>
    <row r="1224" spans="1:48" x14ac:dyDescent="0.25">
      <c r="A1224" t="s">
        <v>123</v>
      </c>
      <c r="B1224" t="s">
        <v>124</v>
      </c>
      <c r="D1224" t="s">
        <v>465</v>
      </c>
      <c r="E1224" s="2">
        <f t="shared" si="176"/>
        <v>46223</v>
      </c>
      <c r="F1224" s="3">
        <f t="shared" si="182"/>
        <v>0.95763888888888893</v>
      </c>
      <c r="G1224" t="s">
        <v>87</v>
      </c>
      <c r="H1224" t="s">
        <v>88</v>
      </c>
      <c r="I1224" t="s">
        <v>249</v>
      </c>
      <c r="J1224" s="2">
        <v>46223</v>
      </c>
      <c r="K1224" s="1">
        <v>0.89236111111111116</v>
      </c>
      <c r="L1224" s="10">
        <f t="shared" si="178"/>
        <v>-93.999999999999986</v>
      </c>
      <c r="M1224" s="1" t="str">
        <f t="shared" si="177"/>
        <v>Delayed</v>
      </c>
      <c r="N1224" s="27" t="str">
        <f t="shared" si="179"/>
        <v>GetJet Airlines</v>
      </c>
      <c r="O1224" s="3" t="s">
        <v>1318</v>
      </c>
      <c r="P1224" s="20">
        <f t="shared" si="180"/>
        <v>22</v>
      </c>
      <c r="Q1224" s="3" t="s">
        <v>1318</v>
      </c>
      <c r="R1224" s="23" t="str">
        <f t="shared" si="181"/>
        <v>Monday</v>
      </c>
      <c r="S1224" s="3" t="s">
        <v>1318</v>
      </c>
      <c r="T1224" s="23" t="s">
        <v>124</v>
      </c>
      <c r="U1224" s="3" t="s">
        <v>1318</v>
      </c>
      <c r="AO1224" s="15"/>
      <c r="AP1224" s="15"/>
      <c r="AQ1224" s="15"/>
      <c r="AR1224" s="23"/>
      <c r="AS1224" s="15"/>
      <c r="AT1224" s="15"/>
      <c r="AU1224" s="23"/>
      <c r="AV1224" s="23"/>
    </row>
    <row r="1225" spans="1:48" x14ac:dyDescent="0.25">
      <c r="A1225" t="s">
        <v>331</v>
      </c>
      <c r="B1225" t="s">
        <v>7</v>
      </c>
      <c r="C1225" s="10">
        <v>-42</v>
      </c>
      <c r="D1225" t="s">
        <v>955</v>
      </c>
      <c r="E1225" s="2">
        <f t="shared" si="176"/>
        <v>46223</v>
      </c>
      <c r="F1225" s="3">
        <f t="shared" si="182"/>
        <v>0.91527777777777775</v>
      </c>
      <c r="G1225" t="s">
        <v>247</v>
      </c>
      <c r="H1225" t="s">
        <v>248</v>
      </c>
      <c r="I1225" t="s">
        <v>11</v>
      </c>
      <c r="J1225" s="2">
        <v>46223</v>
      </c>
      <c r="K1225" s="1">
        <v>0.90972222222222221</v>
      </c>
      <c r="L1225" s="10">
        <f t="shared" si="178"/>
        <v>-7.9999999999999716</v>
      </c>
      <c r="M1225" s="1" t="str">
        <f t="shared" si="177"/>
        <v>On Time</v>
      </c>
      <c r="N1225" s="27" t="str">
        <f t="shared" si="179"/>
        <v>airBaltic</v>
      </c>
      <c r="O1225" s="3" t="s">
        <v>1385</v>
      </c>
      <c r="P1225" s="20">
        <f t="shared" si="180"/>
        <v>21</v>
      </c>
      <c r="Q1225" s="3" t="s">
        <v>1385</v>
      </c>
      <c r="R1225" s="23" t="str">
        <f t="shared" si="181"/>
        <v>Monday</v>
      </c>
      <c r="S1225" s="3" t="s">
        <v>1385</v>
      </c>
      <c r="T1225" s="23" t="s">
        <v>7</v>
      </c>
      <c r="U1225" s="3" t="s">
        <v>1385</v>
      </c>
      <c r="AO1225" s="15"/>
      <c r="AP1225" s="15"/>
      <c r="AQ1225" s="15"/>
      <c r="AR1225" s="23"/>
      <c r="AS1225" s="15"/>
      <c r="AT1225" s="15"/>
      <c r="AU1225" s="23"/>
      <c r="AV1225" s="23"/>
    </row>
    <row r="1226" spans="1:48" x14ac:dyDescent="0.25">
      <c r="A1226" t="s">
        <v>319</v>
      </c>
      <c r="B1226" t="s">
        <v>85</v>
      </c>
      <c r="C1226" s="10">
        <v>-68</v>
      </c>
      <c r="D1226" t="s">
        <v>1163</v>
      </c>
      <c r="E1226" s="2">
        <f t="shared" si="176"/>
        <v>46223</v>
      </c>
      <c r="F1226" s="3">
        <f t="shared" si="182"/>
        <v>0.93680555555555556</v>
      </c>
      <c r="G1226" t="s">
        <v>15</v>
      </c>
      <c r="H1226" t="s">
        <v>16</v>
      </c>
      <c r="I1226" t="s">
        <v>89</v>
      </c>
      <c r="J1226" s="2">
        <v>46223</v>
      </c>
      <c r="K1226" s="1">
        <v>0.91666666666666663</v>
      </c>
      <c r="L1226" s="10">
        <f t="shared" si="178"/>
        <v>-29.000000000000057</v>
      </c>
      <c r="M1226" s="1" t="str">
        <f t="shared" si="177"/>
        <v>Delayed</v>
      </c>
      <c r="N1226" s="27" t="str">
        <f t="shared" si="179"/>
        <v>Ryanair</v>
      </c>
      <c r="O1226" s="3" t="s">
        <v>1318</v>
      </c>
      <c r="P1226" s="20">
        <f t="shared" si="180"/>
        <v>22</v>
      </c>
      <c r="Q1226" s="3" t="s">
        <v>1318</v>
      </c>
      <c r="R1226" s="23" t="str">
        <f t="shared" si="181"/>
        <v>Monday</v>
      </c>
      <c r="S1226" s="3" t="s">
        <v>1318</v>
      </c>
      <c r="T1226" s="23" t="s">
        <v>85</v>
      </c>
      <c r="U1226" s="3" t="s">
        <v>1318</v>
      </c>
      <c r="AO1226" s="15"/>
      <c r="AP1226" s="15"/>
      <c r="AQ1226" s="15"/>
      <c r="AR1226" s="23"/>
      <c r="AS1226" s="15"/>
      <c r="AT1226" s="15"/>
      <c r="AU1226" s="23"/>
      <c r="AV1226" s="23"/>
    </row>
    <row r="1227" spans="1:48" x14ac:dyDescent="0.25">
      <c r="A1227" t="s">
        <v>219</v>
      </c>
      <c r="B1227" t="s">
        <v>7</v>
      </c>
      <c r="C1227" s="10">
        <v>-156</v>
      </c>
      <c r="D1227" t="s">
        <v>1164</v>
      </c>
      <c r="E1227" s="2">
        <f t="shared" si="176"/>
        <v>46223</v>
      </c>
      <c r="F1227" s="3" t="e">
        <f t="shared" si="182"/>
        <v>#N/A</v>
      </c>
      <c r="G1227" t="s">
        <v>9</v>
      </c>
      <c r="H1227" t="s">
        <v>10</v>
      </c>
      <c r="I1227" t="s">
        <v>11</v>
      </c>
      <c r="J1227" s="2">
        <v>46223</v>
      </c>
      <c r="K1227" s="1">
        <v>0.93055555555555547</v>
      </c>
      <c r="L1227" s="10">
        <v>-138</v>
      </c>
      <c r="M1227" s="1" t="str">
        <f t="shared" si="177"/>
        <v>Delayed</v>
      </c>
      <c r="N1227" s="27" t="str">
        <f t="shared" si="179"/>
        <v>airBaltic</v>
      </c>
      <c r="O1227" s="3" t="e">
        <v>#N/A</v>
      </c>
      <c r="P1227" s="20" t="e">
        <f t="shared" si="180"/>
        <v>#N/A</v>
      </c>
      <c r="Q1227" s="3" t="e">
        <v>#N/A</v>
      </c>
      <c r="R1227" s="23" t="str">
        <f t="shared" si="181"/>
        <v>Monday</v>
      </c>
      <c r="S1227" s="3" t="e">
        <v>#N/A</v>
      </c>
      <c r="T1227" s="23" t="s">
        <v>7</v>
      </c>
      <c r="AO1227" s="15"/>
      <c r="AP1227" s="15"/>
      <c r="AQ1227" s="15"/>
      <c r="AR1227" s="23"/>
      <c r="AS1227" s="15"/>
      <c r="AT1227" s="15"/>
      <c r="AU1227" s="23"/>
      <c r="AV1227" s="23"/>
    </row>
    <row r="1228" spans="1:48" x14ac:dyDescent="0.25">
      <c r="A1228" t="s">
        <v>235</v>
      </c>
      <c r="B1228" t="s">
        <v>19</v>
      </c>
      <c r="C1228" s="10">
        <v>-10</v>
      </c>
      <c r="D1228" t="s">
        <v>918</v>
      </c>
      <c r="E1228" s="2">
        <f t="shared" si="176"/>
        <v>46223</v>
      </c>
      <c r="F1228" s="3">
        <f t="shared" si="182"/>
        <v>0.91875000000000007</v>
      </c>
      <c r="G1228" t="s">
        <v>21</v>
      </c>
      <c r="H1228" t="s">
        <v>22</v>
      </c>
      <c r="I1228" t="s">
        <v>237</v>
      </c>
      <c r="J1228" s="2">
        <v>46223</v>
      </c>
      <c r="K1228" s="1">
        <v>0.93055555555555547</v>
      </c>
      <c r="L1228" s="10">
        <f t="shared" si="178"/>
        <v>16.99999999999978</v>
      </c>
      <c r="M1228" s="1" t="str">
        <f t="shared" si="177"/>
        <v>On Time</v>
      </c>
      <c r="N1228" s="27" t="str">
        <f t="shared" si="179"/>
        <v>LOT</v>
      </c>
      <c r="O1228" s="3" t="s">
        <v>1385</v>
      </c>
      <c r="P1228" s="20">
        <f t="shared" si="180"/>
        <v>22</v>
      </c>
      <c r="Q1228" s="3" t="s">
        <v>1385</v>
      </c>
      <c r="R1228" s="23" t="str">
        <f t="shared" si="181"/>
        <v>Monday</v>
      </c>
      <c r="S1228" s="3" t="s">
        <v>1385</v>
      </c>
      <c r="T1228" s="23" t="s">
        <v>19</v>
      </c>
      <c r="U1228" s="3" t="s">
        <v>1385</v>
      </c>
      <c r="AO1228" s="15"/>
      <c r="AP1228" s="15"/>
      <c r="AQ1228" s="15"/>
      <c r="AR1228" s="23"/>
      <c r="AS1228" s="15"/>
      <c r="AT1228" s="15"/>
      <c r="AU1228" s="23"/>
      <c r="AV1228" s="23"/>
    </row>
    <row r="1229" spans="1:48" x14ac:dyDescent="0.25">
      <c r="A1229" t="s">
        <v>627</v>
      </c>
      <c r="B1229" t="s">
        <v>239</v>
      </c>
      <c r="C1229" s="10">
        <v>-11</v>
      </c>
      <c r="D1229" t="s">
        <v>624</v>
      </c>
      <c r="E1229" s="2">
        <f t="shared" ref="E1229:E1292" si="183">J1229</f>
        <v>46223</v>
      </c>
      <c r="F1229" s="3">
        <f t="shared" si="182"/>
        <v>0.93333333333333324</v>
      </c>
      <c r="G1229" t="s">
        <v>629</v>
      </c>
      <c r="H1229" t="s">
        <v>630</v>
      </c>
      <c r="I1229" t="s">
        <v>83</v>
      </c>
      <c r="J1229" s="2">
        <v>46223</v>
      </c>
      <c r="K1229" s="1">
        <v>0.9375</v>
      </c>
      <c r="L1229" s="10">
        <f t="shared" si="178"/>
        <v>6.0000000000001386</v>
      </c>
      <c r="M1229" s="1" t="str">
        <f t="shared" si="177"/>
        <v>On Time</v>
      </c>
      <c r="N1229" s="27" t="str">
        <f t="shared" si="179"/>
        <v>Eurowings</v>
      </c>
      <c r="O1229" s="3" t="s">
        <v>1385</v>
      </c>
      <c r="P1229" s="20">
        <f t="shared" si="180"/>
        <v>22</v>
      </c>
      <c r="Q1229" s="3" t="s">
        <v>1385</v>
      </c>
      <c r="R1229" s="23" t="str">
        <f t="shared" si="181"/>
        <v>Monday</v>
      </c>
      <c r="S1229" s="3" t="s">
        <v>1385</v>
      </c>
      <c r="T1229" s="23" t="s">
        <v>239</v>
      </c>
      <c r="U1229" s="3" t="s">
        <v>1385</v>
      </c>
      <c r="AO1229" s="15"/>
      <c r="AP1229" s="15"/>
      <c r="AQ1229" s="15"/>
      <c r="AR1229" s="23"/>
      <c r="AS1229" s="15"/>
      <c r="AT1229" s="15"/>
      <c r="AU1229" s="23"/>
      <c r="AV1229" s="23"/>
    </row>
    <row r="1230" spans="1:48" x14ac:dyDescent="0.25">
      <c r="A1230" t="s">
        <v>321</v>
      </c>
      <c r="B1230" t="s">
        <v>575</v>
      </c>
      <c r="C1230" s="10">
        <v>-13</v>
      </c>
      <c r="D1230" t="s">
        <v>1132</v>
      </c>
      <c r="E1230" s="2">
        <f t="shared" si="183"/>
        <v>46223</v>
      </c>
      <c r="F1230" s="3">
        <f t="shared" si="182"/>
        <v>0.93055555555555547</v>
      </c>
      <c r="G1230" t="s">
        <v>323</v>
      </c>
      <c r="H1230" t="s">
        <v>324</v>
      </c>
      <c r="I1230" t="s">
        <v>162</v>
      </c>
      <c r="J1230" s="2">
        <v>46223</v>
      </c>
      <c r="K1230" s="1">
        <v>0.94097222222222221</v>
      </c>
      <c r="L1230" s="10">
        <f t="shared" si="178"/>
        <v>15.000000000000107</v>
      </c>
      <c r="M1230" s="1" t="str">
        <f t="shared" si="177"/>
        <v>On Time</v>
      </c>
      <c r="N1230" s="27" t="e">
        <f t="shared" si="179"/>
        <v>#N/A</v>
      </c>
      <c r="O1230" s="3" t="s">
        <v>1385</v>
      </c>
      <c r="P1230" s="20">
        <f t="shared" si="180"/>
        <v>22</v>
      </c>
      <c r="Q1230" s="3" t="s">
        <v>1385</v>
      </c>
      <c r="R1230" s="23" t="str">
        <f t="shared" si="181"/>
        <v>Monday</v>
      </c>
      <c r="S1230" s="3" t="s">
        <v>1385</v>
      </c>
      <c r="T1230" s="23" t="s">
        <v>575</v>
      </c>
      <c r="U1230" s="3" t="s">
        <v>1385</v>
      </c>
      <c r="AO1230" s="15"/>
      <c r="AP1230" s="15"/>
      <c r="AQ1230" s="15"/>
      <c r="AR1230" s="23"/>
      <c r="AS1230" s="15"/>
      <c r="AT1230" s="15"/>
      <c r="AU1230" s="23"/>
      <c r="AV1230" s="23"/>
    </row>
    <row r="1231" spans="1:48" x14ac:dyDescent="0.25">
      <c r="A1231" t="s">
        <v>344</v>
      </c>
      <c r="B1231" t="s">
        <v>85</v>
      </c>
      <c r="C1231" s="10">
        <v>-51</v>
      </c>
      <c r="D1231" t="s">
        <v>1165</v>
      </c>
      <c r="E1231" s="2">
        <f t="shared" si="183"/>
        <v>46223</v>
      </c>
      <c r="F1231" s="3" t="e">
        <f t="shared" si="182"/>
        <v>#N/A</v>
      </c>
      <c r="G1231" t="s">
        <v>346</v>
      </c>
      <c r="H1231" t="s">
        <v>347</v>
      </c>
      <c r="I1231" t="s">
        <v>89</v>
      </c>
      <c r="J1231" s="2">
        <v>46223</v>
      </c>
      <c r="K1231" s="1">
        <v>0.99652777777777779</v>
      </c>
      <c r="L1231" s="10">
        <v>-20</v>
      </c>
      <c r="M1231" s="1" t="str">
        <f>IF(L1231&gt;=-15, "On Time", "Delayed")</f>
        <v>Delayed</v>
      </c>
      <c r="N1231" s="27" t="str">
        <f t="shared" si="179"/>
        <v>Ryanair</v>
      </c>
      <c r="O1231" s="3" t="e">
        <v>#N/A</v>
      </c>
      <c r="P1231" s="20" t="e">
        <f t="shared" si="180"/>
        <v>#N/A</v>
      </c>
      <c r="Q1231" s="3" t="e">
        <v>#N/A</v>
      </c>
      <c r="R1231" s="23" t="str">
        <f t="shared" si="181"/>
        <v>Monday</v>
      </c>
      <c r="S1231" s="3" t="e">
        <v>#N/A</v>
      </c>
      <c r="T1231" s="23" t="s">
        <v>85</v>
      </c>
      <c r="AO1231" s="15"/>
      <c r="AP1231" s="15"/>
      <c r="AQ1231" s="15"/>
      <c r="AR1231" s="23"/>
      <c r="AS1231" s="15"/>
      <c r="AT1231" s="15"/>
      <c r="AU1231" s="23"/>
      <c r="AV1231" s="23"/>
    </row>
    <row r="1232" spans="1:48" x14ac:dyDescent="0.25">
      <c r="A1232" t="s">
        <v>258</v>
      </c>
      <c r="B1232" t="s">
        <v>190</v>
      </c>
      <c r="C1232" s="10">
        <v>-29</v>
      </c>
      <c r="D1232" t="s">
        <v>1166</v>
      </c>
      <c r="E1232" s="2">
        <f t="shared" si="183"/>
        <v>46223</v>
      </c>
      <c r="F1232" s="3">
        <f t="shared" si="182"/>
        <v>0.99861111111111101</v>
      </c>
      <c r="G1232" t="s">
        <v>110</v>
      </c>
      <c r="H1232" t="s">
        <v>111</v>
      </c>
      <c r="I1232" t="s">
        <v>67</v>
      </c>
      <c r="J1232" s="2">
        <v>46223</v>
      </c>
      <c r="K1232" s="1">
        <v>0.99652777777777779</v>
      </c>
      <c r="L1232" s="10">
        <f t="shared" si="178"/>
        <v>-2.9999999999998295</v>
      </c>
      <c r="M1232" s="1" t="str">
        <f t="shared" si="177"/>
        <v>On Time</v>
      </c>
      <c r="N1232" s="27" t="str">
        <f t="shared" si="179"/>
        <v>Lufthansa</v>
      </c>
      <c r="O1232" s="3" t="s">
        <v>1385</v>
      </c>
      <c r="P1232" s="20">
        <f t="shared" si="180"/>
        <v>23</v>
      </c>
      <c r="Q1232" s="3" t="s">
        <v>1385</v>
      </c>
      <c r="R1232" s="23" t="str">
        <f t="shared" si="181"/>
        <v>Monday</v>
      </c>
      <c r="S1232" s="3" t="s">
        <v>1385</v>
      </c>
      <c r="T1232" s="23" t="s">
        <v>190</v>
      </c>
      <c r="U1232" s="3" t="s">
        <v>1385</v>
      </c>
      <c r="AO1232" s="15"/>
      <c r="AP1232" s="15"/>
      <c r="AQ1232" s="15"/>
      <c r="AR1232" s="23"/>
      <c r="AS1232" s="15"/>
      <c r="AT1232" s="15"/>
      <c r="AU1232" s="23"/>
      <c r="AV1232" s="23"/>
    </row>
    <row r="1233" spans="1:48" x14ac:dyDescent="0.25">
      <c r="A1233" t="s">
        <v>265</v>
      </c>
      <c r="B1233" t="s">
        <v>7</v>
      </c>
      <c r="C1233" s="10">
        <v>0</v>
      </c>
      <c r="D1233" t="s">
        <v>1167</v>
      </c>
      <c r="E1233" s="2">
        <f t="shared" si="183"/>
        <v>46224</v>
      </c>
      <c r="F1233" s="3">
        <f t="shared" si="182"/>
        <v>6.9444444444444447E-4</v>
      </c>
      <c r="G1233" t="s">
        <v>180</v>
      </c>
      <c r="H1233" t="s">
        <v>181</v>
      </c>
      <c r="I1233" t="s">
        <v>11</v>
      </c>
      <c r="J1233" s="2">
        <v>46224</v>
      </c>
      <c r="K1233" s="1">
        <v>1.0416666666666666E-2</v>
      </c>
      <c r="L1233" s="10">
        <f t="shared" si="178"/>
        <v>14</v>
      </c>
      <c r="M1233" s="1" t="str">
        <f t="shared" si="177"/>
        <v>On Time</v>
      </c>
      <c r="N1233" s="27" t="str">
        <f t="shared" si="179"/>
        <v>airBaltic</v>
      </c>
      <c r="O1233" s="3" t="s">
        <v>1385</v>
      </c>
      <c r="P1233" s="20">
        <f t="shared" si="180"/>
        <v>0</v>
      </c>
      <c r="Q1233" s="3" t="s">
        <v>1385</v>
      </c>
      <c r="R1233" s="23" t="str">
        <f t="shared" si="181"/>
        <v>Tuesday</v>
      </c>
      <c r="S1233" s="3" t="s">
        <v>1385</v>
      </c>
      <c r="T1233" s="23" t="s">
        <v>7</v>
      </c>
      <c r="U1233" s="3" t="s">
        <v>1385</v>
      </c>
      <c r="AO1233" s="15"/>
      <c r="AP1233" s="15"/>
      <c r="AQ1233" s="15"/>
      <c r="AR1233" s="23"/>
      <c r="AS1233" s="15"/>
      <c r="AT1233" s="15"/>
      <c r="AU1233" s="23"/>
      <c r="AV1233" s="23"/>
    </row>
    <row r="1234" spans="1:48" x14ac:dyDescent="0.25">
      <c r="A1234" t="s">
        <v>163</v>
      </c>
      <c r="B1234" t="s">
        <v>13</v>
      </c>
      <c r="C1234" s="10">
        <v>-28</v>
      </c>
      <c r="D1234" t="s">
        <v>1057</v>
      </c>
      <c r="E1234" s="2">
        <f t="shared" si="183"/>
        <v>46224</v>
      </c>
      <c r="F1234" s="3">
        <f t="shared" si="182"/>
        <v>1.3888888888888888E-2</v>
      </c>
      <c r="G1234" t="s">
        <v>165</v>
      </c>
      <c r="H1234" t="s">
        <v>166</v>
      </c>
      <c r="I1234" t="s">
        <v>17</v>
      </c>
      <c r="J1234" s="2">
        <v>46224</v>
      </c>
      <c r="K1234" s="1">
        <v>1.3888888888888888E-2</v>
      </c>
      <c r="L1234" s="10">
        <f t="shared" si="178"/>
        <v>0</v>
      </c>
      <c r="M1234" s="1" t="str">
        <f t="shared" si="177"/>
        <v>On Time</v>
      </c>
      <c r="N1234" s="27" t="str">
        <f t="shared" si="179"/>
        <v>Wizz Air</v>
      </c>
      <c r="O1234" s="3" t="s">
        <v>1385</v>
      </c>
      <c r="P1234" s="20">
        <f t="shared" si="180"/>
        <v>0</v>
      </c>
      <c r="Q1234" s="3" t="s">
        <v>1385</v>
      </c>
      <c r="R1234" s="23" t="str">
        <f t="shared" si="181"/>
        <v>Tuesday</v>
      </c>
      <c r="S1234" s="3" t="s">
        <v>1385</v>
      </c>
      <c r="T1234" s="23" t="s">
        <v>13</v>
      </c>
      <c r="U1234" s="3" t="s">
        <v>1385</v>
      </c>
      <c r="AO1234" s="15"/>
      <c r="AP1234" s="15"/>
      <c r="AQ1234" s="15"/>
      <c r="AR1234" s="23"/>
      <c r="AS1234" s="15"/>
      <c r="AT1234" s="15"/>
      <c r="AU1234" s="23"/>
      <c r="AV1234" s="23"/>
    </row>
    <row r="1235" spans="1:48" x14ac:dyDescent="0.25">
      <c r="A1235" t="s">
        <v>6</v>
      </c>
      <c r="B1235" t="s">
        <v>7</v>
      </c>
      <c r="C1235" s="10">
        <v>-52</v>
      </c>
      <c r="D1235" t="s">
        <v>694</v>
      </c>
      <c r="E1235" s="2">
        <f t="shared" si="183"/>
        <v>46224</v>
      </c>
      <c r="F1235" s="3">
        <f t="shared" si="182"/>
        <v>4.3055555555555562E-2</v>
      </c>
      <c r="G1235" t="s">
        <v>9</v>
      </c>
      <c r="H1235" t="s">
        <v>10</v>
      </c>
      <c r="I1235" t="s">
        <v>11</v>
      </c>
      <c r="J1235" s="2">
        <v>46224</v>
      </c>
      <c r="K1235" s="1">
        <v>2.0833333333333332E-2</v>
      </c>
      <c r="L1235" s="10">
        <f t="shared" si="178"/>
        <v>-32.000000000000014</v>
      </c>
      <c r="M1235" s="1" t="str">
        <f t="shared" ref="M1235:M1298" si="184">IF(L1235&gt;=-15, "On Time", "Delayed")</f>
        <v>Delayed</v>
      </c>
      <c r="N1235" s="27" t="str">
        <f t="shared" si="179"/>
        <v>airBaltic</v>
      </c>
      <c r="O1235" s="3" t="s">
        <v>1318</v>
      </c>
      <c r="P1235" s="20">
        <f t="shared" si="180"/>
        <v>1</v>
      </c>
      <c r="Q1235" s="3" t="s">
        <v>1318</v>
      </c>
      <c r="R1235" s="23" t="str">
        <f t="shared" si="181"/>
        <v>Tuesday</v>
      </c>
      <c r="S1235" s="3" t="s">
        <v>1318</v>
      </c>
      <c r="T1235" s="23" t="s">
        <v>7</v>
      </c>
      <c r="U1235" s="3" t="s">
        <v>1318</v>
      </c>
      <c r="AO1235" s="15"/>
      <c r="AP1235" s="15"/>
      <c r="AQ1235" s="15"/>
      <c r="AR1235" s="23"/>
      <c r="AS1235" s="15"/>
      <c r="AT1235" s="15"/>
      <c r="AU1235" s="23"/>
      <c r="AV1235" s="23"/>
    </row>
    <row r="1236" spans="1:48" x14ac:dyDescent="0.25">
      <c r="A1236" t="s">
        <v>18</v>
      </c>
      <c r="B1236" t="s">
        <v>19</v>
      </c>
      <c r="C1236" s="10">
        <v>-16</v>
      </c>
      <c r="D1236" t="s">
        <v>988</v>
      </c>
      <c r="E1236" s="2">
        <f t="shared" si="183"/>
        <v>46224</v>
      </c>
      <c r="F1236" s="3">
        <f t="shared" si="182"/>
        <v>2.2916666666666669E-2</v>
      </c>
      <c r="G1236" t="s">
        <v>21</v>
      </c>
      <c r="H1236" t="s">
        <v>22</v>
      </c>
      <c r="I1236" t="s">
        <v>276</v>
      </c>
      <c r="J1236" s="2">
        <v>46224</v>
      </c>
      <c r="K1236" s="1">
        <v>2.7777777777777776E-2</v>
      </c>
      <c r="L1236" s="10">
        <f t="shared" si="178"/>
        <v>6.9999999999999947</v>
      </c>
      <c r="M1236" s="1" t="str">
        <f t="shared" si="184"/>
        <v>On Time</v>
      </c>
      <c r="N1236" s="27" t="str">
        <f t="shared" si="179"/>
        <v>LOT</v>
      </c>
      <c r="O1236" s="3" t="s">
        <v>1385</v>
      </c>
      <c r="P1236" s="20">
        <f t="shared" si="180"/>
        <v>0</v>
      </c>
      <c r="Q1236" s="3" t="s">
        <v>1385</v>
      </c>
      <c r="R1236" s="23" t="str">
        <f t="shared" si="181"/>
        <v>Tuesday</v>
      </c>
      <c r="S1236" s="3" t="s">
        <v>1385</v>
      </c>
      <c r="T1236" s="23" t="s">
        <v>19</v>
      </c>
      <c r="U1236" s="3" t="s">
        <v>1385</v>
      </c>
      <c r="AO1236" s="15"/>
      <c r="AP1236" s="15"/>
      <c r="AQ1236" s="15"/>
      <c r="AR1236" s="23"/>
      <c r="AS1236" s="15"/>
      <c r="AT1236" s="15"/>
      <c r="AU1236" s="23"/>
      <c r="AV1236" s="23"/>
    </row>
    <row r="1237" spans="1:48" x14ac:dyDescent="0.25">
      <c r="A1237" t="s">
        <v>402</v>
      </c>
      <c r="B1237" t="s">
        <v>13</v>
      </c>
      <c r="C1237" s="10">
        <v>-22</v>
      </c>
      <c r="D1237" t="s">
        <v>275</v>
      </c>
      <c r="E1237" s="2">
        <f t="shared" si="183"/>
        <v>46224</v>
      </c>
      <c r="F1237" s="3">
        <f t="shared" si="182"/>
        <v>3.4027777777777775E-2</v>
      </c>
      <c r="G1237" t="s">
        <v>404</v>
      </c>
      <c r="H1237" t="s">
        <v>405</v>
      </c>
      <c r="I1237" t="s">
        <v>17</v>
      </c>
      <c r="J1237" s="2">
        <v>46224</v>
      </c>
      <c r="K1237" s="1">
        <v>4.5138888888888888E-2</v>
      </c>
      <c r="L1237" s="10">
        <f t="shared" si="178"/>
        <v>16.000000000000004</v>
      </c>
      <c r="M1237" s="1" t="str">
        <f t="shared" si="184"/>
        <v>On Time</v>
      </c>
      <c r="N1237" s="27" t="str">
        <f t="shared" si="179"/>
        <v>Wizz Air</v>
      </c>
      <c r="O1237" s="3" t="s">
        <v>1385</v>
      </c>
      <c r="P1237" s="20">
        <f t="shared" si="180"/>
        <v>0</v>
      </c>
      <c r="Q1237" s="3" t="s">
        <v>1385</v>
      </c>
      <c r="R1237" s="23" t="str">
        <f t="shared" si="181"/>
        <v>Tuesday</v>
      </c>
      <c r="S1237" s="3" t="s">
        <v>1385</v>
      </c>
      <c r="T1237" s="23" t="s">
        <v>13</v>
      </c>
      <c r="U1237" s="3" t="s">
        <v>1385</v>
      </c>
      <c r="AO1237" s="15"/>
      <c r="AP1237" s="15"/>
      <c r="AQ1237" s="15"/>
      <c r="AR1237" s="23"/>
      <c r="AS1237" s="15"/>
      <c r="AT1237" s="15"/>
      <c r="AU1237" s="23"/>
      <c r="AV1237" s="23"/>
    </row>
    <row r="1238" spans="1:48" x14ac:dyDescent="0.25">
      <c r="A1238" t="s">
        <v>418</v>
      </c>
      <c r="B1238" t="s">
        <v>85</v>
      </c>
      <c r="C1238" s="10">
        <v>4</v>
      </c>
      <c r="D1238" t="s">
        <v>1168</v>
      </c>
      <c r="E1238" s="2">
        <f t="shared" si="183"/>
        <v>46224</v>
      </c>
      <c r="F1238" s="3">
        <f t="shared" si="182"/>
        <v>3.125E-2</v>
      </c>
      <c r="G1238" t="s">
        <v>419</v>
      </c>
      <c r="H1238" t="s">
        <v>420</v>
      </c>
      <c r="I1238" t="s">
        <v>89</v>
      </c>
      <c r="J1238" s="2">
        <v>46224</v>
      </c>
      <c r="K1238" s="1">
        <v>5.2083333333333336E-2</v>
      </c>
      <c r="L1238" s="10">
        <f t="shared" si="178"/>
        <v>30.000000000000004</v>
      </c>
      <c r="M1238" s="1" t="str">
        <f t="shared" si="184"/>
        <v>On Time</v>
      </c>
      <c r="N1238" s="27" t="str">
        <f t="shared" si="179"/>
        <v>Ryanair</v>
      </c>
      <c r="O1238" s="3" t="s">
        <v>1385</v>
      </c>
      <c r="P1238" s="20">
        <f t="shared" si="180"/>
        <v>0</v>
      </c>
      <c r="Q1238" s="3" t="s">
        <v>1385</v>
      </c>
      <c r="R1238" s="23" t="str">
        <f t="shared" si="181"/>
        <v>Tuesday</v>
      </c>
      <c r="S1238" s="3" t="s">
        <v>1385</v>
      </c>
      <c r="T1238" s="23" t="s">
        <v>85</v>
      </c>
      <c r="U1238" s="3" t="s">
        <v>1385</v>
      </c>
      <c r="AO1238" s="15"/>
      <c r="AP1238" s="15"/>
      <c r="AQ1238" s="15"/>
      <c r="AR1238" s="23"/>
      <c r="AS1238" s="15"/>
      <c r="AT1238" s="15"/>
      <c r="AU1238" s="23"/>
      <c r="AV1238" s="23"/>
    </row>
    <row r="1239" spans="1:48" x14ac:dyDescent="0.25">
      <c r="A1239" t="s">
        <v>32</v>
      </c>
      <c r="B1239" t="s">
        <v>13</v>
      </c>
      <c r="C1239" s="10">
        <v>-17</v>
      </c>
      <c r="D1239" t="s">
        <v>279</v>
      </c>
      <c r="E1239" s="2">
        <f t="shared" si="183"/>
        <v>46224</v>
      </c>
      <c r="F1239" s="3">
        <f t="shared" si="182"/>
        <v>4.7916666666666663E-2</v>
      </c>
      <c r="G1239" t="s">
        <v>34</v>
      </c>
      <c r="H1239" t="s">
        <v>35</v>
      </c>
      <c r="I1239" t="s">
        <v>17</v>
      </c>
      <c r="J1239" s="2">
        <v>46224</v>
      </c>
      <c r="K1239" s="1">
        <v>5.5555555555555552E-2</v>
      </c>
      <c r="L1239" s="10">
        <f t="shared" si="178"/>
        <v>11</v>
      </c>
      <c r="M1239" s="1" t="str">
        <f t="shared" si="184"/>
        <v>On Time</v>
      </c>
      <c r="N1239" s="27" t="str">
        <f t="shared" si="179"/>
        <v>Wizz Air</v>
      </c>
      <c r="O1239" s="3" t="s">
        <v>1385</v>
      </c>
      <c r="P1239" s="20">
        <f t="shared" si="180"/>
        <v>1</v>
      </c>
      <c r="Q1239" s="3" t="s">
        <v>1385</v>
      </c>
      <c r="R1239" s="23" t="str">
        <f t="shared" si="181"/>
        <v>Tuesday</v>
      </c>
      <c r="S1239" s="3" t="s">
        <v>1385</v>
      </c>
      <c r="T1239" s="23" t="s">
        <v>13</v>
      </c>
      <c r="U1239" s="3" t="s">
        <v>1385</v>
      </c>
      <c r="AO1239" s="15"/>
      <c r="AP1239" s="15"/>
      <c r="AQ1239" s="15"/>
      <c r="AR1239" s="23"/>
      <c r="AS1239" s="15"/>
      <c r="AT1239" s="15"/>
      <c r="AU1239" s="23"/>
      <c r="AV1239" s="23"/>
    </row>
    <row r="1240" spans="1:48" x14ac:dyDescent="0.25">
      <c r="A1240" t="s">
        <v>36</v>
      </c>
      <c r="B1240" t="s">
        <v>7</v>
      </c>
      <c r="C1240" s="10">
        <v>-26</v>
      </c>
      <c r="D1240" t="s">
        <v>750</v>
      </c>
      <c r="E1240" s="2">
        <f t="shared" si="183"/>
        <v>46224</v>
      </c>
      <c r="F1240" s="3">
        <f t="shared" si="182"/>
        <v>5.7638888888888885E-2</v>
      </c>
      <c r="G1240" t="s">
        <v>38</v>
      </c>
      <c r="H1240" t="s">
        <v>39</v>
      </c>
      <c r="I1240" t="s">
        <v>11</v>
      </c>
      <c r="J1240" s="2">
        <v>46224</v>
      </c>
      <c r="K1240" s="1">
        <v>5.9027777777777783E-2</v>
      </c>
      <c r="L1240" s="10">
        <f t="shared" si="178"/>
        <v>2.0000000000000129</v>
      </c>
      <c r="M1240" s="1" t="str">
        <f t="shared" si="184"/>
        <v>On Time</v>
      </c>
      <c r="N1240" s="27" t="str">
        <f t="shared" si="179"/>
        <v>airBaltic</v>
      </c>
      <c r="O1240" s="3" t="s">
        <v>1385</v>
      </c>
      <c r="P1240" s="20">
        <f t="shared" si="180"/>
        <v>1</v>
      </c>
      <c r="Q1240" s="3" t="s">
        <v>1385</v>
      </c>
      <c r="R1240" s="23" t="str">
        <f t="shared" si="181"/>
        <v>Tuesday</v>
      </c>
      <c r="S1240" s="3" t="s">
        <v>1385</v>
      </c>
      <c r="T1240" s="23" t="s">
        <v>7</v>
      </c>
      <c r="U1240" s="3" t="s">
        <v>1385</v>
      </c>
      <c r="AO1240" s="15"/>
      <c r="AP1240" s="15"/>
      <c r="AQ1240" s="15"/>
      <c r="AR1240" s="23"/>
      <c r="AS1240" s="15"/>
      <c r="AT1240" s="15"/>
      <c r="AU1240" s="23"/>
      <c r="AV1240" s="23"/>
    </row>
    <row r="1241" spans="1:48" x14ac:dyDescent="0.25">
      <c r="A1241" t="s">
        <v>40</v>
      </c>
      <c r="B1241" t="s">
        <v>555</v>
      </c>
      <c r="C1241" s="10">
        <v>-10</v>
      </c>
      <c r="D1241" t="s">
        <v>887</v>
      </c>
      <c r="E1241" s="2">
        <f t="shared" si="183"/>
        <v>46224</v>
      </c>
      <c r="F1241" s="3">
        <f t="shared" si="182"/>
        <v>5.5555555555555552E-2</v>
      </c>
      <c r="G1241" t="s">
        <v>43</v>
      </c>
      <c r="H1241" t="s">
        <v>44</v>
      </c>
      <c r="I1241" t="s">
        <v>158</v>
      </c>
      <c r="J1241" s="2">
        <v>46224</v>
      </c>
      <c r="K1241" s="1">
        <v>5.9027777777777783E-2</v>
      </c>
      <c r="L1241" s="10">
        <f t="shared" si="178"/>
        <v>5.0000000000000124</v>
      </c>
      <c r="M1241" s="1" t="str">
        <f t="shared" si="184"/>
        <v>On Time</v>
      </c>
      <c r="N1241" s="27" t="e">
        <f t="shared" si="179"/>
        <v>#N/A</v>
      </c>
      <c r="O1241" s="3" t="s">
        <v>1385</v>
      </c>
      <c r="P1241" s="20">
        <f t="shared" si="180"/>
        <v>1</v>
      </c>
      <c r="Q1241" s="3" t="s">
        <v>1385</v>
      </c>
      <c r="R1241" s="23" t="str">
        <f t="shared" si="181"/>
        <v>Tuesday</v>
      </c>
      <c r="S1241" s="3" t="s">
        <v>1385</v>
      </c>
      <c r="T1241" s="23" t="s">
        <v>555</v>
      </c>
      <c r="U1241" s="3" t="s">
        <v>1385</v>
      </c>
      <c r="AO1241" s="15"/>
      <c r="AP1241" s="15"/>
      <c r="AQ1241" s="15"/>
      <c r="AR1241" s="23"/>
      <c r="AS1241" s="15"/>
      <c r="AT1241" s="15"/>
      <c r="AU1241" s="23"/>
      <c r="AV1241" s="23"/>
    </row>
    <row r="1242" spans="1:48" x14ac:dyDescent="0.25">
      <c r="A1242" t="s">
        <v>123</v>
      </c>
      <c r="B1242" t="s">
        <v>124</v>
      </c>
      <c r="D1242" t="s">
        <v>1169</v>
      </c>
      <c r="E1242" s="2">
        <f t="shared" si="183"/>
        <v>46224</v>
      </c>
      <c r="F1242" s="3">
        <f t="shared" si="182"/>
        <v>9.375E-2</v>
      </c>
      <c r="G1242" t="s">
        <v>1170</v>
      </c>
      <c r="H1242" t="s">
        <v>1171</v>
      </c>
      <c r="I1242" t="s">
        <v>1072</v>
      </c>
      <c r="J1242" s="2">
        <v>46224</v>
      </c>
      <c r="K1242" s="1">
        <v>7.7777777777777779E-2</v>
      </c>
      <c r="L1242" s="10">
        <f t="shared" si="178"/>
        <v>-23</v>
      </c>
      <c r="M1242" s="1" t="str">
        <f t="shared" si="184"/>
        <v>Delayed</v>
      </c>
      <c r="N1242" s="27" t="str">
        <f t="shared" si="179"/>
        <v>GetJet Airlines</v>
      </c>
      <c r="O1242" s="3" t="s">
        <v>1318</v>
      </c>
      <c r="P1242" s="20">
        <f t="shared" si="180"/>
        <v>2</v>
      </c>
      <c r="Q1242" s="3" t="s">
        <v>1318</v>
      </c>
      <c r="R1242" s="23" t="str">
        <f t="shared" si="181"/>
        <v>Tuesday</v>
      </c>
      <c r="S1242" s="3" t="s">
        <v>1318</v>
      </c>
      <c r="T1242" s="23" t="s">
        <v>124</v>
      </c>
      <c r="U1242" s="3" t="s">
        <v>1318</v>
      </c>
      <c r="AO1242" s="15"/>
      <c r="AP1242" s="15"/>
      <c r="AQ1242" s="15"/>
      <c r="AR1242" s="23"/>
      <c r="AS1242" s="15"/>
      <c r="AT1242" s="15"/>
      <c r="AU1242" s="23"/>
      <c r="AV1242" s="23"/>
    </row>
    <row r="1243" spans="1:48" x14ac:dyDescent="0.25">
      <c r="A1243" t="s">
        <v>123</v>
      </c>
      <c r="B1243" t="s">
        <v>124</v>
      </c>
      <c r="D1243" t="s">
        <v>1172</v>
      </c>
      <c r="E1243" s="2">
        <f t="shared" si="183"/>
        <v>46224</v>
      </c>
      <c r="F1243" s="3">
        <f t="shared" si="182"/>
        <v>9.5138888888888884E-2</v>
      </c>
      <c r="G1243" t="s">
        <v>640</v>
      </c>
      <c r="H1243" t="s">
        <v>641</v>
      </c>
      <c r="I1243" t="s">
        <v>126</v>
      </c>
      <c r="J1243" s="2">
        <v>46224</v>
      </c>
      <c r="K1243" s="1">
        <v>9.5833333333333326E-2</v>
      </c>
      <c r="L1243" s="10">
        <f t="shared" si="178"/>
        <v>0.99999999999999645</v>
      </c>
      <c r="M1243" s="1" t="str">
        <f t="shared" si="184"/>
        <v>On Time</v>
      </c>
      <c r="N1243" s="27" t="str">
        <f t="shared" si="179"/>
        <v>GetJet Airlines</v>
      </c>
      <c r="O1243" s="3" t="s">
        <v>1385</v>
      </c>
      <c r="P1243" s="20">
        <f t="shared" si="180"/>
        <v>2</v>
      </c>
      <c r="Q1243" s="3" t="s">
        <v>1385</v>
      </c>
      <c r="R1243" s="23" t="str">
        <f t="shared" si="181"/>
        <v>Tuesday</v>
      </c>
      <c r="S1243" s="3" t="s">
        <v>1385</v>
      </c>
      <c r="T1243" s="23" t="s">
        <v>124</v>
      </c>
      <c r="U1243" s="3" t="s">
        <v>1385</v>
      </c>
      <c r="AO1243" s="15"/>
      <c r="AP1243" s="15"/>
      <c r="AQ1243" s="15"/>
      <c r="AR1243" s="23"/>
      <c r="AS1243" s="15"/>
      <c r="AT1243" s="15"/>
      <c r="AU1243" s="23"/>
      <c r="AV1243" s="23"/>
    </row>
    <row r="1244" spans="1:48" x14ac:dyDescent="0.25">
      <c r="A1244" t="s">
        <v>1173</v>
      </c>
      <c r="B1244" t="s">
        <v>7</v>
      </c>
      <c r="D1244" t="s">
        <v>1174</v>
      </c>
      <c r="E1244" s="2">
        <f t="shared" si="183"/>
        <v>46224</v>
      </c>
      <c r="F1244" s="3">
        <f t="shared" si="182"/>
        <v>0.31805555555555554</v>
      </c>
      <c r="G1244" t="s">
        <v>9</v>
      </c>
      <c r="H1244" t="s">
        <v>10</v>
      </c>
      <c r="I1244" t="s">
        <v>11</v>
      </c>
      <c r="J1244" s="2">
        <v>46224</v>
      </c>
      <c r="K1244" s="1">
        <v>0.31597222222222221</v>
      </c>
      <c r="L1244" s="10">
        <f t="shared" si="178"/>
        <v>-2.9999999999999893</v>
      </c>
      <c r="M1244" s="1" t="str">
        <f t="shared" si="184"/>
        <v>On Time</v>
      </c>
      <c r="N1244" s="27" t="str">
        <f t="shared" si="179"/>
        <v>airBaltic</v>
      </c>
      <c r="O1244" s="3" t="s">
        <v>1385</v>
      </c>
      <c r="P1244" s="20">
        <f t="shared" si="180"/>
        <v>7</v>
      </c>
      <c r="Q1244" s="3" t="s">
        <v>1385</v>
      </c>
      <c r="R1244" s="23" t="str">
        <f t="shared" si="181"/>
        <v>Tuesday</v>
      </c>
      <c r="S1244" s="3" t="s">
        <v>1385</v>
      </c>
      <c r="T1244" s="23" t="s">
        <v>7</v>
      </c>
      <c r="U1244" s="3" t="s">
        <v>1385</v>
      </c>
      <c r="AO1244" s="15"/>
      <c r="AP1244" s="15"/>
      <c r="AQ1244" s="15"/>
      <c r="AR1244" s="23"/>
      <c r="AS1244" s="15"/>
      <c r="AT1244" s="15"/>
      <c r="AU1244" s="23"/>
      <c r="AV1244" s="23"/>
    </row>
    <row r="1245" spans="1:48" x14ac:dyDescent="0.25">
      <c r="A1245" t="s">
        <v>54</v>
      </c>
      <c r="B1245" t="s">
        <v>55</v>
      </c>
      <c r="C1245" s="10">
        <v>-7</v>
      </c>
      <c r="D1245" t="s">
        <v>1174</v>
      </c>
      <c r="E1245" s="2">
        <f t="shared" si="183"/>
        <v>46224</v>
      </c>
      <c r="F1245" s="3">
        <f t="shared" si="182"/>
        <v>0.31805555555555554</v>
      </c>
      <c r="G1245" t="s">
        <v>57</v>
      </c>
      <c r="H1245" t="s">
        <v>58</v>
      </c>
      <c r="I1245" t="s">
        <v>59</v>
      </c>
      <c r="J1245" s="2">
        <v>46224</v>
      </c>
      <c r="K1245" s="1">
        <v>0.31736111111111115</v>
      </c>
      <c r="L1245" s="10">
        <f t="shared" si="178"/>
        <v>-0.99999999999991651</v>
      </c>
      <c r="M1245" s="1" t="str">
        <f t="shared" si="184"/>
        <v>On Time</v>
      </c>
      <c r="N1245" s="27" t="e">
        <f t="shared" si="179"/>
        <v>#N/A</v>
      </c>
      <c r="O1245" s="3" t="s">
        <v>1385</v>
      </c>
      <c r="P1245" s="20">
        <f t="shared" si="180"/>
        <v>7</v>
      </c>
      <c r="Q1245" s="3" t="s">
        <v>1385</v>
      </c>
      <c r="R1245" s="23" t="str">
        <f t="shared" si="181"/>
        <v>Tuesday</v>
      </c>
      <c r="S1245" s="3" t="s">
        <v>1385</v>
      </c>
      <c r="T1245" s="23" t="s">
        <v>55</v>
      </c>
      <c r="U1245" s="3" t="s">
        <v>1385</v>
      </c>
      <c r="AO1245" s="15"/>
      <c r="AP1245" s="15"/>
      <c r="AQ1245" s="15"/>
      <c r="AR1245" s="23"/>
      <c r="AS1245" s="15"/>
      <c r="AT1245" s="15"/>
      <c r="AU1245" s="23"/>
      <c r="AV1245" s="23"/>
    </row>
    <row r="1246" spans="1:48" x14ac:dyDescent="0.25">
      <c r="A1246" t="s">
        <v>60</v>
      </c>
      <c r="B1246" t="s">
        <v>7</v>
      </c>
      <c r="C1246" s="10">
        <v>-30</v>
      </c>
      <c r="D1246" t="s">
        <v>1175</v>
      </c>
      <c r="E1246" s="2">
        <f t="shared" si="183"/>
        <v>46224</v>
      </c>
      <c r="F1246" s="3">
        <f t="shared" si="182"/>
        <v>0.37361111111111112</v>
      </c>
      <c r="G1246" t="s">
        <v>9</v>
      </c>
      <c r="H1246" t="s">
        <v>10</v>
      </c>
      <c r="I1246" t="s">
        <v>11</v>
      </c>
      <c r="J1246" s="2">
        <v>46224</v>
      </c>
      <c r="K1246" s="1">
        <v>0.3611111111111111</v>
      </c>
      <c r="L1246" s="10">
        <f t="shared" si="178"/>
        <v>-18.000000000000014</v>
      </c>
      <c r="M1246" s="1" t="str">
        <f t="shared" si="184"/>
        <v>Delayed</v>
      </c>
      <c r="N1246" s="27" t="str">
        <f t="shared" si="179"/>
        <v>airBaltic</v>
      </c>
      <c r="O1246" s="3" t="s">
        <v>1318</v>
      </c>
      <c r="P1246" s="20">
        <f t="shared" si="180"/>
        <v>8</v>
      </c>
      <c r="Q1246" s="3" t="s">
        <v>1318</v>
      </c>
      <c r="R1246" s="23" t="str">
        <f t="shared" si="181"/>
        <v>Tuesday</v>
      </c>
      <c r="S1246" s="3" t="s">
        <v>1318</v>
      </c>
      <c r="T1246" s="23" t="s">
        <v>7</v>
      </c>
      <c r="U1246" s="3" t="s">
        <v>1318</v>
      </c>
      <c r="AO1246" s="15"/>
      <c r="AP1246" s="15"/>
      <c r="AQ1246" s="15"/>
      <c r="AR1246" s="23"/>
      <c r="AS1246" s="15"/>
      <c r="AT1246" s="15"/>
      <c r="AU1246" s="23"/>
      <c r="AV1246" s="23"/>
    </row>
    <row r="1247" spans="1:48" x14ac:dyDescent="0.25">
      <c r="A1247" t="s">
        <v>68</v>
      </c>
      <c r="B1247" t="s">
        <v>69</v>
      </c>
      <c r="C1247" s="10">
        <v>-3</v>
      </c>
      <c r="D1247" t="s">
        <v>1176</v>
      </c>
      <c r="E1247" s="2">
        <f t="shared" si="183"/>
        <v>46224</v>
      </c>
      <c r="F1247" s="3">
        <f t="shared" si="182"/>
        <v>0.38263888888888892</v>
      </c>
      <c r="G1247" t="s">
        <v>71</v>
      </c>
      <c r="H1247" t="s">
        <v>72</v>
      </c>
      <c r="I1247" t="s">
        <v>73</v>
      </c>
      <c r="J1247" s="2">
        <v>46224</v>
      </c>
      <c r="K1247" s="1">
        <v>0.3888888888888889</v>
      </c>
      <c r="L1247" s="10">
        <f t="shared" si="178"/>
        <v>8.999999999999968</v>
      </c>
      <c r="M1247" s="1" t="str">
        <f t="shared" si="184"/>
        <v>On Time</v>
      </c>
      <c r="N1247" s="27" t="str">
        <f t="shared" si="179"/>
        <v>Finnair</v>
      </c>
      <c r="O1247" s="3" t="s">
        <v>1385</v>
      </c>
      <c r="P1247" s="20">
        <f t="shared" si="180"/>
        <v>9</v>
      </c>
      <c r="Q1247" s="3" t="s">
        <v>1385</v>
      </c>
      <c r="R1247" s="23" t="str">
        <f t="shared" si="181"/>
        <v>Tuesday</v>
      </c>
      <c r="S1247" s="3" t="s">
        <v>1385</v>
      </c>
      <c r="T1247" s="23" t="s">
        <v>69</v>
      </c>
      <c r="U1247" s="3" t="s">
        <v>1385</v>
      </c>
      <c r="AO1247" s="15"/>
      <c r="AP1247" s="15"/>
      <c r="AQ1247" s="15"/>
      <c r="AR1247" s="23"/>
      <c r="AS1247" s="15"/>
      <c r="AT1247" s="15"/>
      <c r="AU1247" s="23"/>
      <c r="AV1247" s="23"/>
    </row>
    <row r="1248" spans="1:48" x14ac:dyDescent="0.25">
      <c r="A1248" t="s">
        <v>78</v>
      </c>
      <c r="B1248" t="s">
        <v>756</v>
      </c>
      <c r="C1248" s="10">
        <v>-278</v>
      </c>
      <c r="D1248" t="s">
        <v>1177</v>
      </c>
      <c r="E1248" s="2">
        <f t="shared" si="183"/>
        <v>46224</v>
      </c>
      <c r="F1248" s="3" t="e">
        <f t="shared" si="182"/>
        <v>#N/A</v>
      </c>
      <c r="G1248" t="s">
        <v>81</v>
      </c>
      <c r="H1248" t="s">
        <v>82</v>
      </c>
      <c r="I1248" t="s">
        <v>83</v>
      </c>
      <c r="J1248" s="2">
        <v>46224</v>
      </c>
      <c r="K1248" s="1">
        <v>0.40972222222222227</v>
      </c>
      <c r="L1248" s="10">
        <v>-252</v>
      </c>
      <c r="M1248" s="1" t="str">
        <f t="shared" si="184"/>
        <v>Delayed</v>
      </c>
      <c r="N1248" s="27" t="e">
        <f t="shared" si="179"/>
        <v>#N/A</v>
      </c>
      <c r="O1248" s="3" t="e">
        <v>#N/A</v>
      </c>
      <c r="P1248" s="20" t="e">
        <f t="shared" si="180"/>
        <v>#N/A</v>
      </c>
      <c r="Q1248" s="3" t="e">
        <v>#N/A</v>
      </c>
      <c r="R1248" s="23" t="str">
        <f t="shared" si="181"/>
        <v>Tuesday</v>
      </c>
      <c r="S1248" s="3" t="e">
        <v>#N/A</v>
      </c>
      <c r="T1248" s="23" t="s">
        <v>756</v>
      </c>
      <c r="AO1248" s="15"/>
      <c r="AP1248" s="15"/>
      <c r="AQ1248" s="15"/>
      <c r="AR1248" s="23"/>
      <c r="AS1248" s="15"/>
      <c r="AT1248" s="15"/>
      <c r="AU1248" s="23"/>
      <c r="AV1248" s="23"/>
    </row>
    <row r="1249" spans="1:48" x14ac:dyDescent="0.25">
      <c r="A1249" t="s">
        <v>90</v>
      </c>
      <c r="B1249" t="s">
        <v>19</v>
      </c>
      <c r="C1249" s="10">
        <v>-18</v>
      </c>
      <c r="D1249" t="s">
        <v>1179</v>
      </c>
      <c r="E1249" s="2">
        <f t="shared" si="183"/>
        <v>46224</v>
      </c>
      <c r="F1249" s="3">
        <f t="shared" si="182"/>
        <v>0.42430555555555555</v>
      </c>
      <c r="G1249" t="s">
        <v>21</v>
      </c>
      <c r="H1249" t="s">
        <v>22</v>
      </c>
      <c r="I1249" t="s">
        <v>92</v>
      </c>
      <c r="J1249" s="2">
        <v>46224</v>
      </c>
      <c r="K1249" s="1">
        <v>0.42708333333333331</v>
      </c>
      <c r="L1249" s="10">
        <f t="shared" si="178"/>
        <v>3.9999999999999858</v>
      </c>
      <c r="M1249" s="1" t="str">
        <f t="shared" si="184"/>
        <v>On Time</v>
      </c>
      <c r="N1249" s="27" t="str">
        <f t="shared" si="179"/>
        <v>LOT</v>
      </c>
      <c r="O1249" s="3" t="s">
        <v>1385</v>
      </c>
      <c r="P1249" s="20">
        <f t="shared" si="180"/>
        <v>10</v>
      </c>
      <c r="Q1249" s="3" t="s">
        <v>1385</v>
      </c>
      <c r="R1249" s="23" t="str">
        <f t="shared" si="181"/>
        <v>Tuesday</v>
      </c>
      <c r="S1249" s="3" t="s">
        <v>1385</v>
      </c>
      <c r="T1249" s="23" t="s">
        <v>19</v>
      </c>
      <c r="U1249" s="3" t="s">
        <v>1385</v>
      </c>
      <c r="AO1249" s="15"/>
      <c r="AP1249" s="15"/>
      <c r="AQ1249" s="15"/>
      <c r="AR1249" s="23"/>
      <c r="AS1249" s="15"/>
      <c r="AT1249" s="15"/>
      <c r="AU1249" s="23"/>
      <c r="AV1249" s="23"/>
    </row>
    <row r="1250" spans="1:48" x14ac:dyDescent="0.25">
      <c r="A1250" t="s">
        <v>261</v>
      </c>
      <c r="B1250" t="s">
        <v>85</v>
      </c>
      <c r="C1250" s="10">
        <v>-6</v>
      </c>
      <c r="D1250" t="s">
        <v>416</v>
      </c>
      <c r="E1250" s="2">
        <f t="shared" si="183"/>
        <v>46224</v>
      </c>
      <c r="F1250" s="3">
        <f t="shared" si="182"/>
        <v>0.41805555555555557</v>
      </c>
      <c r="G1250" t="s">
        <v>263</v>
      </c>
      <c r="H1250" t="s">
        <v>264</v>
      </c>
      <c r="I1250" t="s">
        <v>89</v>
      </c>
      <c r="J1250" s="2">
        <v>46224</v>
      </c>
      <c r="K1250" s="1">
        <v>0.43055555555555558</v>
      </c>
      <c r="L1250" s="10">
        <f t="shared" si="178"/>
        <v>18.000000000000014</v>
      </c>
      <c r="M1250" s="1" t="str">
        <f t="shared" si="184"/>
        <v>On Time</v>
      </c>
      <c r="N1250" s="27" t="str">
        <f t="shared" si="179"/>
        <v>Ryanair</v>
      </c>
      <c r="O1250" s="3" t="s">
        <v>1385</v>
      </c>
      <c r="P1250" s="20">
        <f t="shared" si="180"/>
        <v>10</v>
      </c>
      <c r="Q1250" s="3" t="s">
        <v>1385</v>
      </c>
      <c r="R1250" s="23" t="str">
        <f t="shared" si="181"/>
        <v>Tuesday</v>
      </c>
      <c r="S1250" s="3" t="s">
        <v>1385</v>
      </c>
      <c r="T1250" s="23" t="s">
        <v>85</v>
      </c>
      <c r="U1250" s="3" t="s">
        <v>1385</v>
      </c>
      <c r="AO1250" s="15"/>
      <c r="AP1250" s="15"/>
      <c r="AQ1250" s="15"/>
      <c r="AR1250" s="23"/>
      <c r="AS1250" s="15"/>
      <c r="AT1250" s="15"/>
      <c r="AU1250" s="23"/>
      <c r="AV1250" s="23"/>
    </row>
    <row r="1251" spans="1:48" x14ac:dyDescent="0.25">
      <c r="A1251" t="s">
        <v>95</v>
      </c>
      <c r="B1251" t="s">
        <v>96</v>
      </c>
      <c r="C1251" s="10">
        <v>-19</v>
      </c>
      <c r="D1251" t="s">
        <v>1180</v>
      </c>
      <c r="E1251" s="2">
        <f t="shared" si="183"/>
        <v>46224</v>
      </c>
      <c r="F1251" s="3">
        <f t="shared" si="182"/>
        <v>0.4375</v>
      </c>
      <c r="G1251" t="s">
        <v>98</v>
      </c>
      <c r="H1251" t="s">
        <v>99</v>
      </c>
      <c r="I1251" t="s">
        <v>17</v>
      </c>
      <c r="J1251" s="2">
        <v>46224</v>
      </c>
      <c r="K1251" s="1">
        <v>0.44791666666666669</v>
      </c>
      <c r="L1251" s="10">
        <f t="shared" si="178"/>
        <v>15.000000000000027</v>
      </c>
      <c r="M1251" s="1" t="str">
        <f t="shared" si="184"/>
        <v>On Time</v>
      </c>
      <c r="N1251" s="27" t="str">
        <f t="shared" si="179"/>
        <v>Turkish Airlines</v>
      </c>
      <c r="O1251" s="3" t="s">
        <v>1385</v>
      </c>
      <c r="P1251" s="20">
        <f t="shared" si="180"/>
        <v>10</v>
      </c>
      <c r="Q1251" s="3" t="s">
        <v>1385</v>
      </c>
      <c r="R1251" s="23" t="str">
        <f t="shared" si="181"/>
        <v>Tuesday</v>
      </c>
      <c r="S1251" s="3" t="s">
        <v>1385</v>
      </c>
      <c r="T1251" s="23" t="s">
        <v>96</v>
      </c>
      <c r="U1251" s="3" t="s">
        <v>1385</v>
      </c>
      <c r="AO1251" s="15"/>
      <c r="AP1251" s="15"/>
      <c r="AQ1251" s="15"/>
      <c r="AR1251" s="23"/>
      <c r="AS1251" s="15"/>
      <c r="AT1251" s="15"/>
      <c r="AU1251" s="23"/>
      <c r="AV1251" s="23"/>
    </row>
    <row r="1252" spans="1:48" x14ac:dyDescent="0.25">
      <c r="A1252" t="s">
        <v>463</v>
      </c>
      <c r="B1252" t="s">
        <v>239</v>
      </c>
      <c r="D1252" t="s">
        <v>764</v>
      </c>
      <c r="E1252" s="2">
        <f t="shared" si="183"/>
        <v>46224</v>
      </c>
      <c r="F1252" s="3">
        <f t="shared" si="182"/>
        <v>0.48194444444444445</v>
      </c>
      <c r="G1252" t="s">
        <v>247</v>
      </c>
      <c r="H1252" t="s">
        <v>248</v>
      </c>
      <c r="I1252" t="s">
        <v>83</v>
      </c>
      <c r="J1252" s="2">
        <v>46224</v>
      </c>
      <c r="K1252" s="1">
        <v>0.49652777777777773</v>
      </c>
      <c r="L1252" s="10">
        <f t="shared" si="178"/>
        <v>20.999999999999925</v>
      </c>
      <c r="M1252" s="1" t="str">
        <f t="shared" si="184"/>
        <v>On Time</v>
      </c>
      <c r="N1252" s="27" t="str">
        <f t="shared" si="179"/>
        <v>Eurowings</v>
      </c>
      <c r="O1252" s="3" t="s">
        <v>1385</v>
      </c>
      <c r="P1252" s="20">
        <f t="shared" si="180"/>
        <v>11</v>
      </c>
      <c r="Q1252" s="3" t="s">
        <v>1385</v>
      </c>
      <c r="R1252" s="23" t="str">
        <f t="shared" si="181"/>
        <v>Tuesday</v>
      </c>
      <c r="S1252" s="3" t="s">
        <v>1385</v>
      </c>
      <c r="T1252" s="23" t="s">
        <v>239</v>
      </c>
      <c r="U1252" s="3" t="s">
        <v>1385</v>
      </c>
      <c r="AO1252" s="15"/>
      <c r="AP1252" s="15"/>
      <c r="AQ1252" s="15"/>
      <c r="AR1252" s="23"/>
      <c r="AS1252" s="15"/>
      <c r="AT1252" s="15"/>
      <c r="AU1252" s="23"/>
      <c r="AV1252" s="23"/>
    </row>
    <row r="1253" spans="1:48" x14ac:dyDescent="0.25">
      <c r="A1253" t="s">
        <v>1181</v>
      </c>
      <c r="B1253" t="s">
        <v>1182</v>
      </c>
      <c r="D1253" t="s">
        <v>1183</v>
      </c>
      <c r="E1253" s="2">
        <f t="shared" si="183"/>
        <v>46224</v>
      </c>
      <c r="F1253" s="3">
        <f t="shared" si="182"/>
        <v>0.48472222222222222</v>
      </c>
      <c r="G1253" t="s">
        <v>71</v>
      </c>
      <c r="H1253" t="s">
        <v>72</v>
      </c>
      <c r="I1253" t="s">
        <v>361</v>
      </c>
      <c r="J1253" s="2">
        <v>46224</v>
      </c>
      <c r="K1253" s="1">
        <v>0.49861111111111112</v>
      </c>
      <c r="L1253" s="10">
        <f t="shared" si="178"/>
        <v>20.000000000000007</v>
      </c>
      <c r="M1253" s="1" t="str">
        <f t="shared" si="184"/>
        <v>On Time</v>
      </c>
      <c r="N1253" s="27" t="e">
        <f t="shared" si="179"/>
        <v>#N/A</v>
      </c>
      <c r="O1253" s="3" t="s">
        <v>1385</v>
      </c>
      <c r="P1253" s="20">
        <f t="shared" si="180"/>
        <v>11</v>
      </c>
      <c r="Q1253" s="3" t="s">
        <v>1385</v>
      </c>
      <c r="R1253" s="23" t="str">
        <f t="shared" si="181"/>
        <v>Tuesday</v>
      </c>
      <c r="S1253" s="3" t="s">
        <v>1385</v>
      </c>
      <c r="T1253" s="23" t="s">
        <v>1182</v>
      </c>
      <c r="U1253" s="3" t="s">
        <v>1385</v>
      </c>
      <c r="AO1253" s="15"/>
      <c r="AP1253" s="15"/>
      <c r="AQ1253" s="15"/>
      <c r="AR1253" s="23"/>
      <c r="AS1253" s="15"/>
      <c r="AT1253" s="15"/>
      <c r="AU1253" s="23"/>
      <c r="AV1253" s="23"/>
    </row>
    <row r="1254" spans="1:48" x14ac:dyDescent="0.25">
      <c r="A1254" t="s">
        <v>159</v>
      </c>
      <c r="B1254" t="s">
        <v>85</v>
      </c>
      <c r="C1254" s="10">
        <v>-7</v>
      </c>
      <c r="D1254" t="s">
        <v>499</v>
      </c>
      <c r="E1254" s="2">
        <f t="shared" si="183"/>
        <v>46224</v>
      </c>
      <c r="F1254" s="3">
        <f t="shared" si="182"/>
        <v>0.49791666666666662</v>
      </c>
      <c r="G1254" t="s">
        <v>34</v>
      </c>
      <c r="H1254" t="s">
        <v>161</v>
      </c>
      <c r="I1254" t="s">
        <v>89</v>
      </c>
      <c r="J1254" s="2">
        <v>46224</v>
      </c>
      <c r="K1254" s="1">
        <v>0.51041666666666663</v>
      </c>
      <c r="L1254" s="10">
        <f t="shared" si="178"/>
        <v>18.000000000000014</v>
      </c>
      <c r="M1254" s="1" t="str">
        <f t="shared" si="184"/>
        <v>On Time</v>
      </c>
      <c r="N1254" s="27" t="str">
        <f t="shared" si="179"/>
        <v>Ryanair</v>
      </c>
      <c r="O1254" s="3" t="s">
        <v>1385</v>
      </c>
      <c r="P1254" s="20">
        <f t="shared" si="180"/>
        <v>11</v>
      </c>
      <c r="Q1254" s="3" t="s">
        <v>1385</v>
      </c>
      <c r="R1254" s="23" t="str">
        <f t="shared" si="181"/>
        <v>Tuesday</v>
      </c>
      <c r="S1254" s="3" t="s">
        <v>1385</v>
      </c>
      <c r="T1254" s="23" t="s">
        <v>85</v>
      </c>
      <c r="U1254" s="3" t="s">
        <v>1385</v>
      </c>
      <c r="AO1254" s="15"/>
      <c r="AP1254" s="15"/>
      <c r="AQ1254" s="15"/>
      <c r="AR1254" s="23"/>
      <c r="AS1254" s="15"/>
      <c r="AT1254" s="15"/>
      <c r="AU1254" s="23"/>
      <c r="AV1254" s="23"/>
    </row>
    <row r="1255" spans="1:48" x14ac:dyDescent="0.25">
      <c r="A1255" t="s">
        <v>540</v>
      </c>
      <c r="B1255" t="s">
        <v>13</v>
      </c>
      <c r="C1255" s="10">
        <v>-16</v>
      </c>
      <c r="D1255" t="s">
        <v>1184</v>
      </c>
      <c r="E1255" s="2">
        <f t="shared" si="183"/>
        <v>46224</v>
      </c>
      <c r="F1255" s="3">
        <f t="shared" si="182"/>
        <v>0.50624999999999998</v>
      </c>
      <c r="G1255" t="s">
        <v>481</v>
      </c>
      <c r="H1255" t="s">
        <v>482</v>
      </c>
      <c r="I1255" t="s">
        <v>17</v>
      </c>
      <c r="J1255" s="2">
        <v>46224</v>
      </c>
      <c r="K1255" s="1">
        <v>0.51388888888888895</v>
      </c>
      <c r="L1255" s="10">
        <f t="shared" si="178"/>
        <v>11.000000000000121</v>
      </c>
      <c r="M1255" s="1" t="str">
        <f t="shared" si="184"/>
        <v>On Time</v>
      </c>
      <c r="N1255" s="27" t="str">
        <f t="shared" si="179"/>
        <v>Wizz Air</v>
      </c>
      <c r="O1255" s="3" t="s">
        <v>1385</v>
      </c>
      <c r="P1255" s="20">
        <f t="shared" si="180"/>
        <v>12</v>
      </c>
      <c r="Q1255" s="3" t="s">
        <v>1385</v>
      </c>
      <c r="R1255" s="23" t="str">
        <f t="shared" si="181"/>
        <v>Tuesday</v>
      </c>
      <c r="S1255" s="3" t="s">
        <v>1385</v>
      </c>
      <c r="T1255" s="23" t="s">
        <v>13</v>
      </c>
      <c r="U1255" s="3" t="s">
        <v>1385</v>
      </c>
      <c r="AO1255" s="15"/>
      <c r="AP1255" s="15"/>
      <c r="AQ1255" s="15"/>
      <c r="AR1255" s="23"/>
      <c r="AS1255" s="15"/>
      <c r="AT1255" s="15"/>
      <c r="AU1255" s="23"/>
      <c r="AV1255" s="23"/>
    </row>
    <row r="1256" spans="1:48" x14ac:dyDescent="0.25">
      <c r="A1256" t="s">
        <v>422</v>
      </c>
      <c r="B1256" t="s">
        <v>13</v>
      </c>
      <c r="C1256" s="10">
        <v>-49</v>
      </c>
      <c r="D1256" t="s">
        <v>316</v>
      </c>
      <c r="E1256" s="2">
        <f t="shared" si="183"/>
        <v>46224</v>
      </c>
      <c r="F1256" s="3">
        <f t="shared" si="182"/>
        <v>0.55694444444444446</v>
      </c>
      <c r="G1256" t="s">
        <v>424</v>
      </c>
      <c r="H1256" t="s">
        <v>425</v>
      </c>
      <c r="I1256" t="s">
        <v>17</v>
      </c>
      <c r="J1256" s="2">
        <v>46224</v>
      </c>
      <c r="K1256" s="1">
        <v>0.51736111111111105</v>
      </c>
      <c r="L1256" s="10">
        <f t="shared" si="178"/>
        <v>-57.000000000000114</v>
      </c>
      <c r="M1256" s="1" t="str">
        <f t="shared" si="184"/>
        <v>Delayed</v>
      </c>
      <c r="N1256" s="27" t="str">
        <f t="shared" si="179"/>
        <v>Wizz Air</v>
      </c>
      <c r="O1256" s="3" t="s">
        <v>1318</v>
      </c>
      <c r="P1256" s="20">
        <f t="shared" si="180"/>
        <v>13</v>
      </c>
      <c r="Q1256" s="3" t="s">
        <v>1318</v>
      </c>
      <c r="R1256" s="23" t="str">
        <f t="shared" si="181"/>
        <v>Tuesday</v>
      </c>
      <c r="S1256" s="3" t="s">
        <v>1318</v>
      </c>
      <c r="T1256" s="23" t="s">
        <v>13</v>
      </c>
      <c r="U1256" s="3" t="s">
        <v>1318</v>
      </c>
      <c r="AO1256" s="15"/>
      <c r="AP1256" s="15"/>
      <c r="AQ1256" s="15"/>
      <c r="AR1256" s="23"/>
      <c r="AS1256" s="15"/>
      <c r="AT1256" s="15"/>
      <c r="AU1256" s="23"/>
      <c r="AV1256" s="23"/>
    </row>
    <row r="1257" spans="1:48" x14ac:dyDescent="0.25">
      <c r="A1257" t="s">
        <v>651</v>
      </c>
      <c r="B1257" t="s">
        <v>117</v>
      </c>
      <c r="C1257" s="10" t="e">
        <f>NA()</f>
        <v>#N/A</v>
      </c>
      <c r="D1257" t="s">
        <v>1185</v>
      </c>
      <c r="E1257" s="2">
        <f t="shared" si="183"/>
        <v>46224</v>
      </c>
      <c r="F1257" s="3" t="e">
        <f t="shared" si="182"/>
        <v>#N/A</v>
      </c>
      <c r="G1257" t="s">
        <v>247</v>
      </c>
      <c r="H1257" t="s">
        <v>248</v>
      </c>
      <c r="I1257" t="s">
        <v>67</v>
      </c>
      <c r="J1257" s="2">
        <v>46224</v>
      </c>
      <c r="K1257" s="1">
        <v>0.52638888888888891</v>
      </c>
      <c r="L1257" s="10" t="e">
        <f t="shared" si="178"/>
        <v>#N/A</v>
      </c>
      <c r="M1257" s="1" t="e">
        <f t="shared" si="184"/>
        <v>#N/A</v>
      </c>
      <c r="N1257" s="27" t="str">
        <f t="shared" si="179"/>
        <v>Heston Airlines</v>
      </c>
      <c r="O1257" s="3" t="e">
        <v>#N/A</v>
      </c>
      <c r="P1257" s="20" t="e">
        <f t="shared" si="180"/>
        <v>#N/A</v>
      </c>
      <c r="Q1257" s="3" t="e">
        <v>#N/A</v>
      </c>
      <c r="R1257" s="23" t="str">
        <f t="shared" si="181"/>
        <v>Tuesday</v>
      </c>
      <c r="S1257" s="3" t="e">
        <v>#N/A</v>
      </c>
      <c r="T1257" s="23" t="s">
        <v>117</v>
      </c>
      <c r="AO1257" s="15"/>
      <c r="AP1257" s="15"/>
      <c r="AQ1257" s="15"/>
      <c r="AR1257" s="23"/>
      <c r="AS1257" s="15"/>
      <c r="AT1257" s="15"/>
      <c r="AU1257" s="23"/>
      <c r="AV1257" s="23"/>
    </row>
    <row r="1258" spans="1:48" x14ac:dyDescent="0.25">
      <c r="A1258" t="s">
        <v>100</v>
      </c>
      <c r="B1258" t="s">
        <v>85</v>
      </c>
      <c r="C1258" s="10">
        <v>-13</v>
      </c>
      <c r="D1258" t="s">
        <v>128</v>
      </c>
      <c r="E1258" s="2">
        <f t="shared" si="183"/>
        <v>46224</v>
      </c>
      <c r="F1258" s="3">
        <f t="shared" si="182"/>
        <v>0.54583333333333328</v>
      </c>
      <c r="G1258" t="s">
        <v>102</v>
      </c>
      <c r="H1258" t="s">
        <v>103</v>
      </c>
      <c r="I1258" t="s">
        <v>89</v>
      </c>
      <c r="J1258" s="2">
        <v>46224</v>
      </c>
      <c r="K1258" s="1">
        <v>0.52777777777777779</v>
      </c>
      <c r="L1258" s="10">
        <f t="shared" si="178"/>
        <v>-25.999999999999908</v>
      </c>
      <c r="M1258" s="1" t="str">
        <f t="shared" si="184"/>
        <v>Delayed</v>
      </c>
      <c r="N1258" s="27" t="str">
        <f t="shared" si="179"/>
        <v>Ryanair</v>
      </c>
      <c r="O1258" s="3" t="s">
        <v>1318</v>
      </c>
      <c r="P1258" s="20">
        <f t="shared" si="180"/>
        <v>13</v>
      </c>
      <c r="Q1258" s="3" t="s">
        <v>1318</v>
      </c>
      <c r="R1258" s="23" t="str">
        <f t="shared" si="181"/>
        <v>Tuesday</v>
      </c>
      <c r="S1258" s="3" t="s">
        <v>1318</v>
      </c>
      <c r="T1258" s="23" t="s">
        <v>85</v>
      </c>
      <c r="U1258" s="3" t="s">
        <v>1318</v>
      </c>
      <c r="AO1258" s="15"/>
      <c r="AP1258" s="15"/>
      <c r="AQ1258" s="15"/>
      <c r="AR1258" s="23"/>
      <c r="AS1258" s="15"/>
      <c r="AT1258" s="15"/>
      <c r="AU1258" s="23"/>
      <c r="AV1258" s="23"/>
    </row>
    <row r="1259" spans="1:48" x14ac:dyDescent="0.25">
      <c r="A1259" t="s">
        <v>108</v>
      </c>
      <c r="B1259" t="s">
        <v>190</v>
      </c>
      <c r="C1259" s="10" t="e">
        <f>NA()</f>
        <v>#N/A</v>
      </c>
      <c r="D1259" t="s">
        <v>1186</v>
      </c>
      <c r="E1259" s="2">
        <f t="shared" si="183"/>
        <v>46224</v>
      </c>
      <c r="F1259" s="3" t="e">
        <f t="shared" si="182"/>
        <v>#N/A</v>
      </c>
      <c r="G1259" t="s">
        <v>110</v>
      </c>
      <c r="H1259" t="s">
        <v>111</v>
      </c>
      <c r="I1259" t="s">
        <v>112</v>
      </c>
      <c r="J1259" s="2">
        <v>46224</v>
      </c>
      <c r="K1259" s="1">
        <v>0.52777777777777779</v>
      </c>
      <c r="L1259" s="10" t="e">
        <f t="shared" si="178"/>
        <v>#N/A</v>
      </c>
      <c r="M1259" s="1" t="e">
        <f t="shared" si="184"/>
        <v>#N/A</v>
      </c>
      <c r="N1259" s="27" t="str">
        <f t="shared" si="179"/>
        <v>Lufthansa</v>
      </c>
      <c r="O1259" s="3" t="e">
        <v>#N/A</v>
      </c>
      <c r="P1259" s="20" t="e">
        <f t="shared" si="180"/>
        <v>#N/A</v>
      </c>
      <c r="Q1259" s="3" t="e">
        <v>#N/A</v>
      </c>
      <c r="R1259" s="23" t="str">
        <f t="shared" si="181"/>
        <v>Tuesday</v>
      </c>
      <c r="S1259" s="3" t="e">
        <v>#N/A</v>
      </c>
      <c r="T1259" s="23" t="s">
        <v>190</v>
      </c>
      <c r="AO1259" s="15"/>
      <c r="AP1259" s="15"/>
      <c r="AQ1259" s="15"/>
      <c r="AR1259" s="23"/>
      <c r="AS1259" s="15"/>
      <c r="AT1259" s="15"/>
      <c r="AU1259" s="23"/>
      <c r="AV1259" s="23"/>
    </row>
    <row r="1260" spans="1:48" x14ac:dyDescent="0.25">
      <c r="A1260" t="s">
        <v>121</v>
      </c>
      <c r="B1260" t="s">
        <v>69</v>
      </c>
      <c r="C1260" s="10">
        <v>-4</v>
      </c>
      <c r="D1260" t="s">
        <v>825</v>
      </c>
      <c r="E1260" s="2">
        <f t="shared" si="183"/>
        <v>46224</v>
      </c>
      <c r="F1260" s="3">
        <f t="shared" si="182"/>
        <v>0.56527777777777777</v>
      </c>
      <c r="G1260" t="s">
        <v>71</v>
      </c>
      <c r="H1260" t="s">
        <v>72</v>
      </c>
      <c r="I1260" t="s">
        <v>73</v>
      </c>
      <c r="J1260" s="2">
        <v>46224</v>
      </c>
      <c r="K1260" s="1">
        <v>0.54166666666666663</v>
      </c>
      <c r="L1260" s="10">
        <f t="shared" si="178"/>
        <v>-34.000000000000043</v>
      </c>
      <c r="M1260" s="1" t="str">
        <f t="shared" si="184"/>
        <v>Delayed</v>
      </c>
      <c r="N1260" s="27" t="str">
        <f t="shared" si="179"/>
        <v>Finnair</v>
      </c>
      <c r="O1260" s="3" t="s">
        <v>1318</v>
      </c>
      <c r="P1260" s="20">
        <f t="shared" si="180"/>
        <v>13</v>
      </c>
      <c r="Q1260" s="3" t="s">
        <v>1318</v>
      </c>
      <c r="R1260" s="23" t="str">
        <f t="shared" si="181"/>
        <v>Tuesday</v>
      </c>
      <c r="S1260" s="3" t="s">
        <v>1318</v>
      </c>
      <c r="T1260" s="23" t="s">
        <v>69</v>
      </c>
      <c r="U1260" s="3" t="s">
        <v>1318</v>
      </c>
      <c r="AO1260" s="15"/>
      <c r="AP1260" s="15"/>
      <c r="AQ1260" s="15"/>
      <c r="AR1260" s="23"/>
      <c r="AS1260" s="15"/>
      <c r="AT1260" s="15"/>
      <c r="AU1260" s="23"/>
      <c r="AV1260" s="23"/>
    </row>
    <row r="1261" spans="1:48" x14ac:dyDescent="0.25">
      <c r="A1261" t="s">
        <v>1187</v>
      </c>
      <c r="B1261" t="s">
        <v>1188</v>
      </c>
      <c r="C1261" s="10" t="e">
        <f>NA()</f>
        <v>#N/A</v>
      </c>
      <c r="D1261" t="s">
        <v>242</v>
      </c>
      <c r="E1261" s="2">
        <f t="shared" si="183"/>
        <v>46224</v>
      </c>
      <c r="F1261" s="3" t="e">
        <f t="shared" si="182"/>
        <v>#N/A</v>
      </c>
      <c r="G1261" t="s">
        <v>81</v>
      </c>
      <c r="H1261" t="s">
        <v>82</v>
      </c>
      <c r="I1261" t="s">
        <v>67</v>
      </c>
      <c r="J1261" s="2">
        <v>46224</v>
      </c>
      <c r="K1261" s="1">
        <v>0.54166666666666663</v>
      </c>
      <c r="L1261" s="10" t="e">
        <f t="shared" si="178"/>
        <v>#N/A</v>
      </c>
      <c r="M1261" s="1" t="e">
        <f t="shared" si="184"/>
        <v>#N/A</v>
      </c>
      <c r="N1261" s="27" t="e">
        <f t="shared" si="179"/>
        <v>#N/A</v>
      </c>
      <c r="O1261" s="3" t="e">
        <v>#N/A</v>
      </c>
      <c r="P1261" s="20" t="e">
        <f t="shared" si="180"/>
        <v>#N/A</v>
      </c>
      <c r="Q1261" s="3" t="e">
        <v>#N/A</v>
      </c>
      <c r="R1261" s="23" t="str">
        <f t="shared" si="181"/>
        <v>Tuesday</v>
      </c>
      <c r="S1261" s="3" t="e">
        <v>#N/A</v>
      </c>
      <c r="T1261" s="23" t="s">
        <v>1188</v>
      </c>
      <c r="AO1261" s="15"/>
      <c r="AP1261" s="15"/>
      <c r="AQ1261" s="15"/>
      <c r="AR1261" s="23"/>
      <c r="AS1261" s="15"/>
      <c r="AT1261" s="15"/>
      <c r="AU1261" s="23"/>
      <c r="AV1261" s="23"/>
    </row>
    <row r="1262" spans="1:48" x14ac:dyDescent="0.25">
      <c r="A1262" t="s">
        <v>245</v>
      </c>
      <c r="B1262" t="s">
        <v>124</v>
      </c>
      <c r="C1262" s="10" t="e">
        <f>NA()</f>
        <v>#N/A</v>
      </c>
      <c r="D1262" t="s">
        <v>1185</v>
      </c>
      <c r="E1262" s="2">
        <f t="shared" si="183"/>
        <v>46224</v>
      </c>
      <c r="F1262" s="3" t="e">
        <f t="shared" si="182"/>
        <v>#N/A</v>
      </c>
      <c r="G1262" t="s">
        <v>247</v>
      </c>
      <c r="H1262" t="s">
        <v>248</v>
      </c>
      <c r="I1262" t="s">
        <v>249</v>
      </c>
      <c r="J1262" s="2">
        <v>46224</v>
      </c>
      <c r="K1262" s="1">
        <v>0.54861111111111105</v>
      </c>
      <c r="L1262" s="10" t="e">
        <f t="shared" si="178"/>
        <v>#N/A</v>
      </c>
      <c r="M1262" s="1" t="e">
        <f t="shared" si="184"/>
        <v>#N/A</v>
      </c>
      <c r="N1262" s="27" t="str">
        <f t="shared" si="179"/>
        <v>GetJet Airlines</v>
      </c>
      <c r="O1262" s="3" t="e">
        <v>#N/A</v>
      </c>
      <c r="P1262" s="20" t="e">
        <f t="shared" si="180"/>
        <v>#N/A</v>
      </c>
      <c r="Q1262" s="3" t="e">
        <v>#N/A</v>
      </c>
      <c r="R1262" s="23" t="str">
        <f t="shared" si="181"/>
        <v>Tuesday</v>
      </c>
      <c r="S1262" s="3" t="e">
        <v>#N/A</v>
      </c>
      <c r="T1262" s="23" t="s">
        <v>124</v>
      </c>
      <c r="AO1262" s="15"/>
      <c r="AP1262" s="15"/>
      <c r="AQ1262" s="15"/>
      <c r="AR1262" s="23"/>
      <c r="AS1262" s="15"/>
      <c r="AT1262" s="15"/>
      <c r="AU1262" s="23"/>
      <c r="AV1262" s="23"/>
    </row>
    <row r="1263" spans="1:48" x14ac:dyDescent="0.25">
      <c r="A1263" t="s">
        <v>133</v>
      </c>
      <c r="B1263" t="s">
        <v>7</v>
      </c>
      <c r="C1263" s="10">
        <v>-22</v>
      </c>
      <c r="D1263" t="s">
        <v>437</v>
      </c>
      <c r="E1263" s="2">
        <f t="shared" si="183"/>
        <v>46224</v>
      </c>
      <c r="F1263" s="3">
        <f t="shared" si="182"/>
        <v>0.56874999999999998</v>
      </c>
      <c r="G1263" t="s">
        <v>135</v>
      </c>
      <c r="H1263" t="s">
        <v>136</v>
      </c>
      <c r="I1263" t="s">
        <v>11</v>
      </c>
      <c r="J1263" s="2">
        <v>46224</v>
      </c>
      <c r="K1263" s="1">
        <v>0.55902777777777779</v>
      </c>
      <c r="L1263" s="10">
        <f t="shared" si="178"/>
        <v>-13.99999999999995</v>
      </c>
      <c r="M1263" s="1" t="str">
        <f t="shared" si="184"/>
        <v>On Time</v>
      </c>
      <c r="N1263" s="27" t="str">
        <f t="shared" si="179"/>
        <v>airBaltic</v>
      </c>
      <c r="O1263" s="3" t="s">
        <v>1385</v>
      </c>
      <c r="P1263" s="20">
        <f t="shared" si="180"/>
        <v>13</v>
      </c>
      <c r="Q1263" s="3" t="s">
        <v>1385</v>
      </c>
      <c r="R1263" s="23" t="str">
        <f t="shared" si="181"/>
        <v>Tuesday</v>
      </c>
      <c r="S1263" s="3" t="s">
        <v>1385</v>
      </c>
      <c r="T1263" s="23" t="s">
        <v>7</v>
      </c>
      <c r="U1263" s="3" t="s">
        <v>1385</v>
      </c>
      <c r="AO1263" s="15"/>
      <c r="AP1263" s="15"/>
      <c r="AQ1263" s="15"/>
      <c r="AR1263" s="23"/>
      <c r="AS1263" s="15"/>
      <c r="AT1263" s="15"/>
      <c r="AU1263" s="23"/>
      <c r="AV1263" s="23"/>
    </row>
    <row r="1264" spans="1:48" x14ac:dyDescent="0.25">
      <c r="A1264" t="s">
        <v>123</v>
      </c>
      <c r="B1264" t="s">
        <v>124</v>
      </c>
      <c r="D1264" t="s">
        <v>1121</v>
      </c>
      <c r="E1264" s="2">
        <f t="shared" si="183"/>
        <v>46224</v>
      </c>
      <c r="F1264" s="3">
        <f t="shared" si="182"/>
        <v>0.56319444444444444</v>
      </c>
      <c r="G1264" t="s">
        <v>119</v>
      </c>
      <c r="H1264" t="s">
        <v>120</v>
      </c>
      <c r="I1264" t="s">
        <v>126</v>
      </c>
      <c r="J1264" s="2">
        <v>46224</v>
      </c>
      <c r="K1264" s="1">
        <v>0.55902777777777779</v>
      </c>
      <c r="L1264" s="10">
        <f t="shared" si="178"/>
        <v>-5.9999999999999787</v>
      </c>
      <c r="M1264" s="1" t="str">
        <f t="shared" si="184"/>
        <v>On Time</v>
      </c>
      <c r="N1264" s="27" t="str">
        <f t="shared" si="179"/>
        <v>GetJet Airlines</v>
      </c>
      <c r="O1264" s="3" t="s">
        <v>1385</v>
      </c>
      <c r="P1264" s="20">
        <f t="shared" si="180"/>
        <v>13</v>
      </c>
      <c r="Q1264" s="3" t="s">
        <v>1385</v>
      </c>
      <c r="R1264" s="23" t="str">
        <f t="shared" si="181"/>
        <v>Tuesday</v>
      </c>
      <c r="S1264" s="3" t="s">
        <v>1385</v>
      </c>
      <c r="T1264" s="23" t="s">
        <v>124</v>
      </c>
      <c r="U1264" s="3" t="s">
        <v>1385</v>
      </c>
      <c r="AO1264" s="15"/>
      <c r="AP1264" s="15"/>
      <c r="AQ1264" s="15"/>
      <c r="AR1264" s="23"/>
      <c r="AS1264" s="15"/>
      <c r="AT1264" s="15"/>
      <c r="AU1264" s="23"/>
      <c r="AV1264" s="23"/>
    </row>
    <row r="1265" spans="1:48" x14ac:dyDescent="0.25">
      <c r="A1265" t="s">
        <v>141</v>
      </c>
      <c r="B1265" t="s">
        <v>19</v>
      </c>
      <c r="C1265" s="10">
        <v>-77</v>
      </c>
      <c r="D1265" t="s">
        <v>1189</v>
      </c>
      <c r="E1265" s="2">
        <f t="shared" si="183"/>
        <v>46224</v>
      </c>
      <c r="F1265" s="3">
        <f t="shared" si="182"/>
        <v>0.61597222222222225</v>
      </c>
      <c r="G1265" t="s">
        <v>21</v>
      </c>
      <c r="H1265" t="s">
        <v>22</v>
      </c>
      <c r="I1265" t="s">
        <v>92</v>
      </c>
      <c r="J1265" s="2">
        <v>46224</v>
      </c>
      <c r="K1265" s="1">
        <v>0.57638888888888895</v>
      </c>
      <c r="L1265" s="10">
        <f t="shared" si="178"/>
        <v>-56.999999999999957</v>
      </c>
      <c r="M1265" s="1" t="str">
        <f t="shared" si="184"/>
        <v>Delayed</v>
      </c>
      <c r="N1265" s="27" t="str">
        <f t="shared" si="179"/>
        <v>LOT</v>
      </c>
      <c r="O1265" s="3" t="s">
        <v>1318</v>
      </c>
      <c r="P1265" s="20">
        <f t="shared" si="180"/>
        <v>14</v>
      </c>
      <c r="Q1265" s="3" t="s">
        <v>1318</v>
      </c>
      <c r="R1265" s="23" t="str">
        <f t="shared" si="181"/>
        <v>Tuesday</v>
      </c>
      <c r="S1265" s="3" t="s">
        <v>1318</v>
      </c>
      <c r="T1265" s="23" t="s">
        <v>19</v>
      </c>
      <c r="U1265" s="3" t="s">
        <v>1318</v>
      </c>
      <c r="AO1265" s="15"/>
      <c r="AP1265" s="15"/>
      <c r="AQ1265" s="15"/>
      <c r="AR1265" s="23"/>
      <c r="AS1265" s="15"/>
      <c r="AT1265" s="15"/>
      <c r="AU1265" s="23"/>
      <c r="AV1265" s="23"/>
    </row>
    <row r="1266" spans="1:48" x14ac:dyDescent="0.25">
      <c r="A1266" t="s">
        <v>655</v>
      </c>
      <c r="B1266" t="s">
        <v>388</v>
      </c>
      <c r="C1266" s="10" t="e">
        <f>NA()</f>
        <v>#N/A</v>
      </c>
      <c r="D1266" t="s">
        <v>242</v>
      </c>
      <c r="E1266" s="2">
        <f t="shared" si="183"/>
        <v>46224</v>
      </c>
      <c r="F1266" s="3" t="e">
        <f t="shared" si="182"/>
        <v>#N/A</v>
      </c>
      <c r="G1266" t="s">
        <v>657</v>
      </c>
      <c r="H1266" t="s">
        <v>658</v>
      </c>
      <c r="I1266" t="s">
        <v>123</v>
      </c>
      <c r="J1266" s="2">
        <v>46224</v>
      </c>
      <c r="K1266" s="1">
        <v>0.57986111111111105</v>
      </c>
      <c r="L1266" s="10" t="e">
        <f t="shared" si="178"/>
        <v>#N/A</v>
      </c>
      <c r="M1266" s="1" t="e">
        <f t="shared" si="184"/>
        <v>#N/A</v>
      </c>
      <c r="N1266" s="27" t="e">
        <f t="shared" si="179"/>
        <v>#N/A</v>
      </c>
      <c r="O1266" s="3" t="e">
        <v>#N/A</v>
      </c>
      <c r="P1266" s="20" t="e">
        <f t="shared" si="180"/>
        <v>#N/A</v>
      </c>
      <c r="Q1266" s="3" t="e">
        <v>#N/A</v>
      </c>
      <c r="R1266" s="23" t="str">
        <f t="shared" si="181"/>
        <v>Tuesday</v>
      </c>
      <c r="S1266" s="3" t="e">
        <v>#N/A</v>
      </c>
      <c r="T1266" s="23" t="s">
        <v>388</v>
      </c>
      <c r="AO1266" s="15"/>
      <c r="AP1266" s="15"/>
      <c r="AQ1266" s="15"/>
      <c r="AR1266" s="23"/>
      <c r="AS1266" s="15"/>
      <c r="AT1266" s="15"/>
      <c r="AU1266" s="23"/>
      <c r="AV1266" s="23"/>
    </row>
    <row r="1267" spans="1:48" x14ac:dyDescent="0.25">
      <c r="A1267" t="s">
        <v>651</v>
      </c>
      <c r="B1267" t="s">
        <v>117</v>
      </c>
      <c r="D1267" t="s">
        <v>1190</v>
      </c>
      <c r="E1267" s="2">
        <f t="shared" si="183"/>
        <v>46224</v>
      </c>
      <c r="F1267" s="3">
        <f t="shared" si="182"/>
        <v>0.59513888888888888</v>
      </c>
      <c r="G1267" t="s">
        <v>1191</v>
      </c>
      <c r="H1267" t="s">
        <v>1192</v>
      </c>
      <c r="I1267" t="s">
        <v>67</v>
      </c>
      <c r="J1267" s="2">
        <v>46224</v>
      </c>
      <c r="K1267" s="1">
        <v>0.58888888888888891</v>
      </c>
      <c r="L1267" s="10">
        <f t="shared" si="178"/>
        <v>-8.999999999999968</v>
      </c>
      <c r="M1267" s="1" t="str">
        <f t="shared" si="184"/>
        <v>On Time</v>
      </c>
      <c r="N1267" s="27" t="str">
        <f t="shared" si="179"/>
        <v>Heston Airlines</v>
      </c>
      <c r="O1267" s="3" t="s">
        <v>1385</v>
      </c>
      <c r="P1267" s="20">
        <f t="shared" si="180"/>
        <v>14</v>
      </c>
      <c r="Q1267" s="3" t="s">
        <v>1385</v>
      </c>
      <c r="R1267" s="23" t="str">
        <f t="shared" si="181"/>
        <v>Tuesday</v>
      </c>
      <c r="S1267" s="3" t="s">
        <v>1385</v>
      </c>
      <c r="T1267" s="23" t="s">
        <v>117</v>
      </c>
      <c r="U1267" s="3" t="s">
        <v>1385</v>
      </c>
      <c r="AO1267" s="15"/>
      <c r="AP1267" s="15"/>
      <c r="AQ1267" s="15"/>
      <c r="AR1267" s="23"/>
      <c r="AS1267" s="15"/>
      <c r="AT1267" s="15"/>
      <c r="AU1267" s="23"/>
      <c r="AV1267" s="23"/>
    </row>
    <row r="1268" spans="1:48" x14ac:dyDescent="0.25">
      <c r="A1268" t="s">
        <v>148</v>
      </c>
      <c r="B1268" t="s">
        <v>7</v>
      </c>
      <c r="C1268" s="10">
        <v>-26</v>
      </c>
      <c r="D1268" t="s">
        <v>1193</v>
      </c>
      <c r="E1268" s="2">
        <f t="shared" si="183"/>
        <v>46224</v>
      </c>
      <c r="F1268" s="3">
        <f t="shared" si="182"/>
        <v>0.61805555555555558</v>
      </c>
      <c r="G1268" t="s">
        <v>9</v>
      </c>
      <c r="H1268" t="s">
        <v>10</v>
      </c>
      <c r="I1268" t="s">
        <v>11</v>
      </c>
      <c r="J1268" s="2">
        <v>46224</v>
      </c>
      <c r="K1268" s="1">
        <v>0.60763888888888895</v>
      </c>
      <c r="L1268" s="10">
        <f t="shared" si="178"/>
        <v>-14.999999999999947</v>
      </c>
      <c r="M1268" s="1" t="str">
        <f t="shared" si="184"/>
        <v>On Time</v>
      </c>
      <c r="N1268" s="27" t="str">
        <f t="shared" si="179"/>
        <v>airBaltic</v>
      </c>
      <c r="O1268" s="3" t="s">
        <v>1385</v>
      </c>
      <c r="P1268" s="20">
        <f t="shared" si="180"/>
        <v>14</v>
      </c>
      <c r="Q1268" s="3" t="s">
        <v>1385</v>
      </c>
      <c r="R1268" s="23" t="str">
        <f t="shared" si="181"/>
        <v>Tuesday</v>
      </c>
      <c r="S1268" s="3" t="s">
        <v>1385</v>
      </c>
      <c r="T1268" s="23" t="s">
        <v>7</v>
      </c>
      <c r="U1268" s="3" t="s">
        <v>1385</v>
      </c>
      <c r="AO1268" s="15"/>
      <c r="AP1268" s="15"/>
      <c r="AQ1268" s="15"/>
      <c r="AR1268" s="23"/>
      <c r="AS1268" s="15"/>
      <c r="AT1268" s="15"/>
      <c r="AU1268" s="23"/>
      <c r="AV1268" s="23"/>
    </row>
    <row r="1269" spans="1:48" x14ac:dyDescent="0.25">
      <c r="A1269" t="s">
        <v>108</v>
      </c>
      <c r="B1269" t="s">
        <v>190</v>
      </c>
      <c r="C1269" s="10">
        <v>-34</v>
      </c>
      <c r="D1269" t="s">
        <v>514</v>
      </c>
      <c r="E1269" s="2">
        <f t="shared" si="183"/>
        <v>46224</v>
      </c>
      <c r="F1269" s="3">
        <f t="shared" si="182"/>
        <v>0.62847222222222221</v>
      </c>
      <c r="G1269" t="s">
        <v>9</v>
      </c>
      <c r="H1269" t="s">
        <v>10</v>
      </c>
      <c r="I1269" t="s">
        <v>112</v>
      </c>
      <c r="J1269" s="2">
        <v>46224</v>
      </c>
      <c r="K1269" s="1">
        <v>0.61458333333333337</v>
      </c>
      <c r="L1269" s="10">
        <f t="shared" si="178"/>
        <v>-19.999999999999929</v>
      </c>
      <c r="M1269" s="1" t="str">
        <f t="shared" si="184"/>
        <v>Delayed</v>
      </c>
      <c r="N1269" s="27" t="str">
        <f t="shared" si="179"/>
        <v>Lufthansa</v>
      </c>
      <c r="O1269" s="3" t="s">
        <v>1318</v>
      </c>
      <c r="P1269" s="20">
        <f t="shared" si="180"/>
        <v>15</v>
      </c>
      <c r="Q1269" s="3" t="s">
        <v>1318</v>
      </c>
      <c r="R1269" s="23" t="str">
        <f t="shared" si="181"/>
        <v>Tuesday</v>
      </c>
      <c r="S1269" s="3" t="s">
        <v>1318</v>
      </c>
      <c r="T1269" s="23" t="s">
        <v>190</v>
      </c>
      <c r="U1269" s="3" t="s">
        <v>1318</v>
      </c>
      <c r="AO1269" s="15"/>
      <c r="AP1269" s="15"/>
      <c r="AQ1269" s="15"/>
      <c r="AR1269" s="23"/>
      <c r="AS1269" s="15"/>
      <c r="AT1269" s="15"/>
      <c r="AU1269" s="23"/>
      <c r="AV1269" s="23"/>
    </row>
    <row r="1270" spans="1:48" x14ac:dyDescent="0.25">
      <c r="A1270" t="s">
        <v>245</v>
      </c>
      <c r="B1270" t="s">
        <v>124</v>
      </c>
      <c r="D1270" t="s">
        <v>776</v>
      </c>
      <c r="E1270" s="2">
        <f t="shared" si="183"/>
        <v>46224</v>
      </c>
      <c r="F1270" s="3">
        <f t="shared" si="182"/>
        <v>0.63402777777777775</v>
      </c>
      <c r="G1270" t="s">
        <v>1191</v>
      </c>
      <c r="H1270" t="s">
        <v>1192</v>
      </c>
      <c r="I1270" t="s">
        <v>249</v>
      </c>
      <c r="J1270" s="2">
        <v>46224</v>
      </c>
      <c r="K1270" s="1">
        <v>0.61527777777777781</v>
      </c>
      <c r="L1270" s="10">
        <f t="shared" si="178"/>
        <v>-26.999999999999904</v>
      </c>
      <c r="M1270" s="1" t="str">
        <f t="shared" si="184"/>
        <v>Delayed</v>
      </c>
      <c r="N1270" s="27" t="str">
        <f t="shared" si="179"/>
        <v>GetJet Airlines</v>
      </c>
      <c r="O1270" s="3" t="s">
        <v>1318</v>
      </c>
      <c r="P1270" s="20">
        <f t="shared" si="180"/>
        <v>15</v>
      </c>
      <c r="Q1270" s="3" t="s">
        <v>1318</v>
      </c>
      <c r="R1270" s="23" t="str">
        <f t="shared" si="181"/>
        <v>Tuesday</v>
      </c>
      <c r="S1270" s="3" t="s">
        <v>1318</v>
      </c>
      <c r="T1270" s="23" t="s">
        <v>124</v>
      </c>
      <c r="U1270" s="3" t="s">
        <v>1318</v>
      </c>
      <c r="AO1270" s="15"/>
      <c r="AP1270" s="15"/>
      <c r="AQ1270" s="15"/>
      <c r="AR1270" s="23"/>
      <c r="AS1270" s="15"/>
      <c r="AT1270" s="15"/>
      <c r="AU1270" s="23"/>
      <c r="AV1270" s="23"/>
    </row>
    <row r="1271" spans="1:48" x14ac:dyDescent="0.25">
      <c r="A1271" t="s">
        <v>192</v>
      </c>
      <c r="B1271" t="s">
        <v>13</v>
      </c>
      <c r="C1271" s="10">
        <v>-34</v>
      </c>
      <c r="D1271" t="s">
        <v>1194</v>
      </c>
      <c r="E1271" s="2">
        <f t="shared" si="183"/>
        <v>46224</v>
      </c>
      <c r="F1271" s="3">
        <f t="shared" si="182"/>
        <v>0.60486111111111118</v>
      </c>
      <c r="G1271" t="s">
        <v>194</v>
      </c>
      <c r="H1271" t="s">
        <v>195</v>
      </c>
      <c r="I1271" t="s">
        <v>17</v>
      </c>
      <c r="J1271" s="2">
        <v>46224</v>
      </c>
      <c r="K1271" s="1">
        <v>0.61805555555555558</v>
      </c>
      <c r="L1271" s="10">
        <f t="shared" si="178"/>
        <v>18.999999999999932</v>
      </c>
      <c r="M1271" s="1" t="str">
        <f t="shared" si="184"/>
        <v>On Time</v>
      </c>
      <c r="N1271" s="27" t="str">
        <f t="shared" si="179"/>
        <v>Wizz Air</v>
      </c>
      <c r="O1271" s="3" t="s">
        <v>1385</v>
      </c>
      <c r="P1271" s="20">
        <f t="shared" si="180"/>
        <v>14</v>
      </c>
      <c r="Q1271" s="3" t="s">
        <v>1385</v>
      </c>
      <c r="R1271" s="23" t="str">
        <f t="shared" si="181"/>
        <v>Tuesday</v>
      </c>
      <c r="S1271" s="3" t="s">
        <v>1385</v>
      </c>
      <c r="T1271" s="23" t="s">
        <v>13</v>
      </c>
      <c r="U1271" s="3" t="s">
        <v>1385</v>
      </c>
      <c r="AO1271" s="15"/>
      <c r="AP1271" s="15"/>
      <c r="AQ1271" s="15"/>
      <c r="AR1271" s="23"/>
      <c r="AS1271" s="15"/>
      <c r="AT1271" s="15"/>
      <c r="AU1271" s="23"/>
      <c r="AV1271" s="23"/>
    </row>
    <row r="1272" spans="1:48" x14ac:dyDescent="0.25">
      <c r="A1272" t="s">
        <v>156</v>
      </c>
      <c r="B1272" t="s">
        <v>41</v>
      </c>
      <c r="C1272" s="10">
        <v>-9</v>
      </c>
      <c r="D1272" t="s">
        <v>157</v>
      </c>
      <c r="E1272" s="2">
        <f t="shared" si="183"/>
        <v>46224</v>
      </c>
      <c r="F1272" s="3">
        <f t="shared" si="182"/>
        <v>0.62986111111111109</v>
      </c>
      <c r="G1272" t="s">
        <v>43</v>
      </c>
      <c r="H1272" t="s">
        <v>44</v>
      </c>
      <c r="I1272" t="s">
        <v>158</v>
      </c>
      <c r="J1272" s="2">
        <v>46224</v>
      </c>
      <c r="K1272" s="1">
        <v>0.63541666666666663</v>
      </c>
      <c r="L1272" s="10">
        <f t="shared" si="178"/>
        <v>7.9999999999999716</v>
      </c>
      <c r="M1272" s="1" t="str">
        <f t="shared" si="184"/>
        <v>On Time</v>
      </c>
      <c r="N1272" s="27" t="str">
        <f t="shared" si="179"/>
        <v>SAS</v>
      </c>
      <c r="O1272" s="3" t="s">
        <v>1385</v>
      </c>
      <c r="P1272" s="20">
        <f t="shared" si="180"/>
        <v>15</v>
      </c>
      <c r="Q1272" s="3" t="s">
        <v>1385</v>
      </c>
      <c r="R1272" s="23" t="str">
        <f t="shared" si="181"/>
        <v>Tuesday</v>
      </c>
      <c r="S1272" s="3" t="s">
        <v>1385</v>
      </c>
      <c r="T1272" s="23" t="s">
        <v>41</v>
      </c>
      <c r="U1272" s="3" t="s">
        <v>1385</v>
      </c>
      <c r="AO1272" s="15"/>
      <c r="AP1272" s="15"/>
      <c r="AQ1272" s="15"/>
      <c r="AR1272" s="23"/>
      <c r="AS1272" s="15"/>
      <c r="AT1272" s="15"/>
      <c r="AU1272" s="23"/>
      <c r="AV1272" s="23"/>
    </row>
    <row r="1273" spans="1:48" x14ac:dyDescent="0.25">
      <c r="A1273" t="s">
        <v>213</v>
      </c>
      <c r="B1273" t="s">
        <v>85</v>
      </c>
      <c r="C1273" s="10">
        <v>-32</v>
      </c>
      <c r="D1273" t="s">
        <v>515</v>
      </c>
      <c r="E1273" s="2">
        <f t="shared" si="183"/>
        <v>46224</v>
      </c>
      <c r="F1273" s="3">
        <f t="shared" si="182"/>
        <v>0.65486111111111112</v>
      </c>
      <c r="G1273" t="s">
        <v>102</v>
      </c>
      <c r="H1273" t="s">
        <v>115</v>
      </c>
      <c r="I1273" t="s">
        <v>162</v>
      </c>
      <c r="J1273" s="2">
        <v>46224</v>
      </c>
      <c r="K1273" s="1">
        <v>0.64583333333333337</v>
      </c>
      <c r="L1273" s="10">
        <f t="shared" si="178"/>
        <v>-12.999999999999954</v>
      </c>
      <c r="M1273" s="1" t="str">
        <f t="shared" si="184"/>
        <v>On Time</v>
      </c>
      <c r="N1273" s="27" t="str">
        <f t="shared" si="179"/>
        <v>Ryanair</v>
      </c>
      <c r="O1273" s="3" t="s">
        <v>1385</v>
      </c>
      <c r="P1273" s="20">
        <f t="shared" si="180"/>
        <v>15</v>
      </c>
      <c r="Q1273" s="3" t="s">
        <v>1385</v>
      </c>
      <c r="R1273" s="23" t="str">
        <f t="shared" si="181"/>
        <v>Tuesday</v>
      </c>
      <c r="S1273" s="3" t="s">
        <v>1385</v>
      </c>
      <c r="T1273" s="23" t="s">
        <v>85</v>
      </c>
      <c r="U1273" s="3" t="s">
        <v>1385</v>
      </c>
      <c r="AO1273" s="15"/>
      <c r="AP1273" s="15"/>
      <c r="AQ1273" s="15"/>
      <c r="AR1273" s="23"/>
      <c r="AS1273" s="15"/>
      <c r="AT1273" s="15"/>
      <c r="AU1273" s="23"/>
      <c r="AV1273" s="23"/>
    </row>
    <row r="1274" spans="1:48" x14ac:dyDescent="0.25">
      <c r="A1274" t="s">
        <v>479</v>
      </c>
      <c r="B1274" t="s">
        <v>7</v>
      </c>
      <c r="C1274" s="10">
        <v>-28</v>
      </c>
      <c r="D1274" t="s">
        <v>1195</v>
      </c>
      <c r="E1274" s="2">
        <f t="shared" si="183"/>
        <v>46224</v>
      </c>
      <c r="F1274" s="3">
        <f t="shared" si="182"/>
        <v>0.66597222222222219</v>
      </c>
      <c r="G1274" t="s">
        <v>481</v>
      </c>
      <c r="H1274" t="s">
        <v>482</v>
      </c>
      <c r="I1274" t="s">
        <v>11</v>
      </c>
      <c r="J1274" s="2">
        <v>46224</v>
      </c>
      <c r="K1274" s="1">
        <v>0.66666666666666663</v>
      </c>
      <c r="L1274" s="10">
        <f t="shared" si="178"/>
        <v>0.99999999999999645</v>
      </c>
      <c r="M1274" s="1" t="str">
        <f t="shared" si="184"/>
        <v>On Time</v>
      </c>
      <c r="N1274" s="27" t="str">
        <f t="shared" si="179"/>
        <v>airBaltic</v>
      </c>
      <c r="O1274" s="3" t="s">
        <v>1385</v>
      </c>
      <c r="P1274" s="20">
        <f t="shared" si="180"/>
        <v>15</v>
      </c>
      <c r="Q1274" s="3" t="s">
        <v>1385</v>
      </c>
      <c r="R1274" s="23" t="str">
        <f t="shared" si="181"/>
        <v>Tuesday</v>
      </c>
      <c r="S1274" s="3" t="s">
        <v>1385</v>
      </c>
      <c r="T1274" s="23" t="s">
        <v>7</v>
      </c>
      <c r="U1274" s="3" t="s">
        <v>1385</v>
      </c>
      <c r="AO1274" s="15"/>
      <c r="AP1274" s="15"/>
      <c r="AQ1274" s="15"/>
      <c r="AR1274" s="23"/>
      <c r="AS1274" s="15"/>
      <c r="AT1274" s="15"/>
      <c r="AU1274" s="23"/>
      <c r="AV1274" s="23"/>
    </row>
    <row r="1275" spans="1:48" x14ac:dyDescent="0.25">
      <c r="A1275" t="s">
        <v>175</v>
      </c>
      <c r="B1275" t="s">
        <v>19</v>
      </c>
      <c r="C1275" s="10">
        <v>-22</v>
      </c>
      <c r="D1275" t="s">
        <v>1196</v>
      </c>
      <c r="E1275" s="2">
        <f t="shared" si="183"/>
        <v>46224</v>
      </c>
      <c r="F1275" s="3">
        <f t="shared" si="182"/>
        <v>0.68055555555555547</v>
      </c>
      <c r="G1275" t="s">
        <v>21</v>
      </c>
      <c r="H1275" t="s">
        <v>22</v>
      </c>
      <c r="I1275" t="s">
        <v>188</v>
      </c>
      <c r="J1275" s="2">
        <v>46224</v>
      </c>
      <c r="K1275" s="1">
        <v>0.68055555555555547</v>
      </c>
      <c r="L1275" s="10">
        <f t="shared" si="178"/>
        <v>0</v>
      </c>
      <c r="M1275" s="1" t="str">
        <f t="shared" si="184"/>
        <v>On Time</v>
      </c>
      <c r="N1275" s="27" t="str">
        <f t="shared" si="179"/>
        <v>LOT</v>
      </c>
      <c r="O1275" s="3" t="s">
        <v>1385</v>
      </c>
      <c r="P1275" s="20">
        <f t="shared" si="180"/>
        <v>16</v>
      </c>
      <c r="Q1275" s="3" t="s">
        <v>1385</v>
      </c>
      <c r="R1275" s="23" t="str">
        <f t="shared" si="181"/>
        <v>Tuesday</v>
      </c>
      <c r="S1275" s="3" t="s">
        <v>1385</v>
      </c>
      <c r="T1275" s="23" t="s">
        <v>19</v>
      </c>
      <c r="U1275" s="3" t="s">
        <v>1385</v>
      </c>
      <c r="AO1275" s="15"/>
      <c r="AP1275" s="15"/>
      <c r="AQ1275" s="15"/>
      <c r="AR1275" s="23"/>
      <c r="AS1275" s="15"/>
      <c r="AT1275" s="15"/>
      <c r="AU1275" s="23"/>
      <c r="AV1275" s="23"/>
    </row>
    <row r="1276" spans="1:48" x14ac:dyDescent="0.25">
      <c r="A1276" t="s">
        <v>224</v>
      </c>
      <c r="B1276" t="s">
        <v>151</v>
      </c>
      <c r="C1276" s="10">
        <v>-5</v>
      </c>
      <c r="D1276" t="s">
        <v>179</v>
      </c>
      <c r="E1276" s="2">
        <f t="shared" si="183"/>
        <v>46224</v>
      </c>
      <c r="F1276" s="3">
        <f t="shared" si="182"/>
        <v>0.69791666666666663</v>
      </c>
      <c r="G1276" t="s">
        <v>226</v>
      </c>
      <c r="H1276" t="s">
        <v>227</v>
      </c>
      <c r="I1276" t="s">
        <v>188</v>
      </c>
      <c r="J1276" s="2">
        <v>46224</v>
      </c>
      <c r="K1276" s="1">
        <v>0.69097222222222221</v>
      </c>
      <c r="L1276" s="10">
        <f t="shared" si="178"/>
        <v>-9.9999999999999645</v>
      </c>
      <c r="M1276" s="1" t="str">
        <f t="shared" si="184"/>
        <v>On Time</v>
      </c>
      <c r="N1276" s="27" t="e">
        <f t="shared" si="179"/>
        <v>#N/A</v>
      </c>
      <c r="O1276" s="3" t="s">
        <v>1385</v>
      </c>
      <c r="P1276" s="20">
        <f t="shared" si="180"/>
        <v>16</v>
      </c>
      <c r="Q1276" s="3" t="s">
        <v>1385</v>
      </c>
      <c r="R1276" s="23" t="str">
        <f t="shared" si="181"/>
        <v>Tuesday</v>
      </c>
      <c r="S1276" s="3" t="s">
        <v>1385</v>
      </c>
      <c r="T1276" s="23" t="s">
        <v>151</v>
      </c>
      <c r="U1276" s="3" t="s">
        <v>1385</v>
      </c>
      <c r="AO1276" s="15"/>
      <c r="AP1276" s="15"/>
      <c r="AQ1276" s="15"/>
      <c r="AR1276" s="23"/>
      <c r="AS1276" s="15"/>
      <c r="AT1276" s="15"/>
      <c r="AU1276" s="23"/>
      <c r="AV1276" s="23"/>
    </row>
    <row r="1277" spans="1:48" x14ac:dyDescent="0.25">
      <c r="A1277" t="s">
        <v>184</v>
      </c>
      <c r="B1277" t="s">
        <v>85</v>
      </c>
      <c r="C1277" s="10">
        <v>-11</v>
      </c>
      <c r="D1277" t="s">
        <v>168</v>
      </c>
      <c r="E1277" s="2">
        <f t="shared" si="183"/>
        <v>46224</v>
      </c>
      <c r="F1277" s="3">
        <f t="shared" si="182"/>
        <v>0.69236111111111109</v>
      </c>
      <c r="G1277" t="s">
        <v>153</v>
      </c>
      <c r="H1277" t="s">
        <v>154</v>
      </c>
      <c r="I1277" t="s">
        <v>89</v>
      </c>
      <c r="J1277" s="2">
        <v>46224</v>
      </c>
      <c r="K1277" s="1">
        <v>0.70138888888888884</v>
      </c>
      <c r="L1277" s="10">
        <f t="shared" si="178"/>
        <v>12.999999999999954</v>
      </c>
      <c r="M1277" s="1" t="str">
        <f t="shared" si="184"/>
        <v>On Time</v>
      </c>
      <c r="N1277" s="27" t="str">
        <f t="shared" si="179"/>
        <v>Ryanair</v>
      </c>
      <c r="O1277" s="3" t="s">
        <v>1385</v>
      </c>
      <c r="P1277" s="20">
        <f t="shared" si="180"/>
        <v>16</v>
      </c>
      <c r="Q1277" s="3" t="s">
        <v>1385</v>
      </c>
      <c r="R1277" s="23" t="str">
        <f t="shared" si="181"/>
        <v>Tuesday</v>
      </c>
      <c r="S1277" s="3" t="s">
        <v>1385</v>
      </c>
      <c r="T1277" s="23" t="s">
        <v>85</v>
      </c>
      <c r="U1277" s="3" t="s">
        <v>1385</v>
      </c>
      <c r="AO1277" s="15"/>
      <c r="AP1277" s="15"/>
      <c r="AQ1277" s="15"/>
      <c r="AR1277" s="23"/>
      <c r="AS1277" s="15"/>
      <c r="AT1277" s="15"/>
      <c r="AU1277" s="23"/>
      <c r="AV1277" s="23"/>
    </row>
    <row r="1278" spans="1:48" x14ac:dyDescent="0.25">
      <c r="A1278" t="s">
        <v>182</v>
      </c>
      <c r="B1278" t="s">
        <v>69</v>
      </c>
      <c r="C1278" s="10">
        <v>-18</v>
      </c>
      <c r="D1278" t="s">
        <v>1197</v>
      </c>
      <c r="E1278" s="2">
        <f t="shared" si="183"/>
        <v>46224</v>
      </c>
      <c r="F1278" s="3">
        <f t="shared" si="182"/>
        <v>0.74652777777777779</v>
      </c>
      <c r="G1278" t="s">
        <v>71</v>
      </c>
      <c r="H1278" t="s">
        <v>72</v>
      </c>
      <c r="I1278" t="s">
        <v>73</v>
      </c>
      <c r="J1278" s="2">
        <v>46224</v>
      </c>
      <c r="K1278" s="1">
        <v>0.74305555555555547</v>
      </c>
      <c r="L1278" s="10">
        <f t="shared" si="178"/>
        <v>-5.0000000000001421</v>
      </c>
      <c r="M1278" s="1" t="str">
        <f t="shared" si="184"/>
        <v>On Time</v>
      </c>
      <c r="N1278" s="27" t="str">
        <f t="shared" si="179"/>
        <v>Finnair</v>
      </c>
      <c r="O1278" s="3" t="s">
        <v>1385</v>
      </c>
      <c r="P1278" s="20">
        <f t="shared" si="180"/>
        <v>17</v>
      </c>
      <c r="Q1278" s="3" t="s">
        <v>1385</v>
      </c>
      <c r="R1278" s="23" t="str">
        <f t="shared" si="181"/>
        <v>Tuesday</v>
      </c>
      <c r="S1278" s="3" t="s">
        <v>1385</v>
      </c>
      <c r="T1278" s="23" t="s">
        <v>69</v>
      </c>
      <c r="U1278" s="3" t="s">
        <v>1385</v>
      </c>
      <c r="AO1278" s="15"/>
      <c r="AP1278" s="15"/>
      <c r="AQ1278" s="15"/>
      <c r="AR1278" s="23"/>
      <c r="AS1278" s="15"/>
      <c r="AT1278" s="15"/>
      <c r="AU1278" s="23"/>
      <c r="AV1278" s="23"/>
    </row>
    <row r="1279" spans="1:48" x14ac:dyDescent="0.25">
      <c r="A1279" t="s">
        <v>196</v>
      </c>
      <c r="B1279" t="s">
        <v>13</v>
      </c>
      <c r="C1279" s="10">
        <v>-7</v>
      </c>
      <c r="D1279" t="s">
        <v>364</v>
      </c>
      <c r="E1279" s="2">
        <f t="shared" si="183"/>
        <v>46224</v>
      </c>
      <c r="F1279" s="3">
        <f t="shared" si="182"/>
        <v>0.76250000000000007</v>
      </c>
      <c r="G1279" t="s">
        <v>198</v>
      </c>
      <c r="H1279" t="s">
        <v>199</v>
      </c>
      <c r="I1279" t="s">
        <v>17</v>
      </c>
      <c r="J1279" s="2">
        <v>46224</v>
      </c>
      <c r="K1279" s="1">
        <v>0.77083333333333337</v>
      </c>
      <c r="L1279" s="10">
        <f t="shared" si="178"/>
        <v>11.999999999999957</v>
      </c>
      <c r="M1279" s="1" t="str">
        <f t="shared" si="184"/>
        <v>On Time</v>
      </c>
      <c r="N1279" s="27" t="str">
        <f t="shared" si="179"/>
        <v>Wizz Air</v>
      </c>
      <c r="O1279" s="3" t="s">
        <v>1385</v>
      </c>
      <c r="P1279" s="20">
        <f t="shared" si="180"/>
        <v>18</v>
      </c>
      <c r="Q1279" s="3" t="s">
        <v>1385</v>
      </c>
      <c r="R1279" s="23" t="str">
        <f t="shared" si="181"/>
        <v>Tuesday</v>
      </c>
      <c r="S1279" s="3" t="s">
        <v>1385</v>
      </c>
      <c r="T1279" s="23" t="s">
        <v>13</v>
      </c>
      <c r="U1279" s="3" t="s">
        <v>1385</v>
      </c>
      <c r="AO1279" s="15"/>
      <c r="AP1279" s="15"/>
      <c r="AQ1279" s="15"/>
      <c r="AR1279" s="23"/>
      <c r="AS1279" s="15"/>
      <c r="AT1279" s="15"/>
      <c r="AU1279" s="23"/>
      <c r="AV1279" s="23"/>
    </row>
    <row r="1280" spans="1:48" x14ac:dyDescent="0.25">
      <c r="A1280" t="s">
        <v>186</v>
      </c>
      <c r="B1280" t="s">
        <v>19</v>
      </c>
      <c r="C1280" s="10">
        <v>-13</v>
      </c>
      <c r="D1280" t="s">
        <v>605</v>
      </c>
      <c r="E1280" s="2">
        <f t="shared" si="183"/>
        <v>46224</v>
      </c>
      <c r="F1280" s="3">
        <f t="shared" si="182"/>
        <v>0.77013888888888893</v>
      </c>
      <c r="G1280" t="s">
        <v>21</v>
      </c>
      <c r="H1280" t="s">
        <v>22</v>
      </c>
      <c r="I1280" t="s">
        <v>276</v>
      </c>
      <c r="J1280" s="2">
        <v>46224</v>
      </c>
      <c r="K1280" s="1">
        <v>0.77430555555555547</v>
      </c>
      <c r="L1280" s="10">
        <f t="shared" si="178"/>
        <v>5.9999999999998188</v>
      </c>
      <c r="M1280" s="1" t="str">
        <f t="shared" si="184"/>
        <v>On Time</v>
      </c>
      <c r="N1280" s="27" t="str">
        <f t="shared" si="179"/>
        <v>LOT</v>
      </c>
      <c r="O1280" s="3" t="s">
        <v>1385</v>
      </c>
      <c r="P1280" s="20">
        <f t="shared" si="180"/>
        <v>18</v>
      </c>
      <c r="Q1280" s="3" t="s">
        <v>1385</v>
      </c>
      <c r="R1280" s="23" t="str">
        <f t="shared" si="181"/>
        <v>Tuesday</v>
      </c>
      <c r="S1280" s="3" t="s">
        <v>1385</v>
      </c>
      <c r="T1280" s="23" t="s">
        <v>19</v>
      </c>
      <c r="U1280" s="3" t="s">
        <v>1385</v>
      </c>
      <c r="AO1280" s="15"/>
      <c r="AP1280" s="15"/>
      <c r="AQ1280" s="15"/>
      <c r="AR1280" s="23"/>
      <c r="AS1280" s="15"/>
      <c r="AT1280" s="15"/>
      <c r="AU1280" s="23"/>
      <c r="AV1280" s="23"/>
    </row>
    <row r="1281" spans="1:48" x14ac:dyDescent="0.25">
      <c r="A1281" t="s">
        <v>200</v>
      </c>
      <c r="B1281" t="s">
        <v>13</v>
      </c>
      <c r="C1281" s="10">
        <v>-31</v>
      </c>
      <c r="D1281" t="s">
        <v>1049</v>
      </c>
      <c r="E1281" s="2">
        <f t="shared" si="183"/>
        <v>46224</v>
      </c>
      <c r="F1281" s="3">
        <f t="shared" si="182"/>
        <v>0.78541666666666676</v>
      </c>
      <c r="G1281" t="s">
        <v>202</v>
      </c>
      <c r="H1281" t="s">
        <v>203</v>
      </c>
      <c r="I1281" t="s">
        <v>17</v>
      </c>
      <c r="J1281" s="2">
        <v>46224</v>
      </c>
      <c r="K1281" s="1">
        <v>0.78472222222222221</v>
      </c>
      <c r="L1281" s="10">
        <f t="shared" si="178"/>
        <v>-1.0000000000001563</v>
      </c>
      <c r="M1281" s="1" t="str">
        <f t="shared" si="184"/>
        <v>On Time</v>
      </c>
      <c r="N1281" s="27" t="str">
        <f t="shared" si="179"/>
        <v>Wizz Air</v>
      </c>
      <c r="O1281" s="3" t="s">
        <v>1385</v>
      </c>
      <c r="P1281" s="20">
        <f t="shared" si="180"/>
        <v>18</v>
      </c>
      <c r="Q1281" s="3" t="s">
        <v>1385</v>
      </c>
      <c r="R1281" s="23" t="str">
        <f t="shared" si="181"/>
        <v>Tuesday</v>
      </c>
      <c r="S1281" s="3" t="s">
        <v>1385</v>
      </c>
      <c r="T1281" s="23" t="s">
        <v>13</v>
      </c>
      <c r="U1281" s="3" t="s">
        <v>1385</v>
      </c>
      <c r="AO1281" s="15"/>
      <c r="AP1281" s="15"/>
      <c r="AQ1281" s="15"/>
      <c r="AR1281" s="23"/>
      <c r="AS1281" s="15"/>
      <c r="AT1281" s="15"/>
      <c r="AU1281" s="23"/>
      <c r="AV1281" s="23"/>
    </row>
    <row r="1282" spans="1:48" x14ac:dyDescent="0.25">
      <c r="A1282" t="s">
        <v>189</v>
      </c>
      <c r="B1282" t="s">
        <v>190</v>
      </c>
      <c r="C1282" s="10">
        <v>-13</v>
      </c>
      <c r="D1282" t="s">
        <v>527</v>
      </c>
      <c r="E1282" s="2">
        <f t="shared" si="183"/>
        <v>46224</v>
      </c>
      <c r="F1282" s="3">
        <f t="shared" si="182"/>
        <v>0.78125</v>
      </c>
      <c r="G1282" t="s">
        <v>110</v>
      </c>
      <c r="H1282" t="s">
        <v>111</v>
      </c>
      <c r="I1282" t="s">
        <v>67</v>
      </c>
      <c r="J1282" s="2">
        <v>46224</v>
      </c>
      <c r="K1282" s="1">
        <v>0.78819444444444453</v>
      </c>
      <c r="L1282" s="10">
        <f t="shared" ref="L1282:L1345" si="185">IF(J1282&gt;E1282,(K1282+1-F1282)*1440,IF(J1282&lt;E1282,-(F1282+1-K1282)*1440,(K1282-F1282)*1440))</f>
        <v>10.000000000000124</v>
      </c>
      <c r="M1282" s="1" t="str">
        <f t="shared" si="184"/>
        <v>On Time</v>
      </c>
      <c r="N1282" s="27" t="str">
        <f t="shared" ref="N1282:N1345" si="186">IF(COUNTIFS($B$2:$B$1553,B1282,$M$2:$M$1553,"&lt;&gt;#N/A")&gt;=30,B1282,NA())</f>
        <v>Lufthansa</v>
      </c>
      <c r="O1282" s="3" t="s">
        <v>1385</v>
      </c>
      <c r="P1282" s="20">
        <f t="shared" ref="P1282:P1345" si="187">HOUR(F1282)</f>
        <v>18</v>
      </c>
      <c r="Q1282" s="3" t="s">
        <v>1385</v>
      </c>
      <c r="R1282" s="23" t="str">
        <f t="shared" ref="R1282:R1345" si="188">TEXT(E1282, "dddd")</f>
        <v>Tuesday</v>
      </c>
      <c r="S1282" s="3" t="s">
        <v>1385</v>
      </c>
      <c r="T1282" s="23" t="s">
        <v>190</v>
      </c>
      <c r="U1282" s="3" t="s">
        <v>1385</v>
      </c>
      <c r="AO1282" s="15"/>
      <c r="AP1282" s="15"/>
      <c r="AQ1282" s="15"/>
      <c r="AR1282" s="23"/>
      <c r="AS1282" s="15"/>
      <c r="AT1282" s="15"/>
      <c r="AU1282" s="23"/>
      <c r="AV1282" s="23"/>
    </row>
    <row r="1283" spans="1:48" x14ac:dyDescent="0.25">
      <c r="A1283" t="s">
        <v>351</v>
      </c>
      <c r="B1283" t="s">
        <v>85</v>
      </c>
      <c r="C1283" s="10">
        <v>-44</v>
      </c>
      <c r="D1283" t="s">
        <v>1198</v>
      </c>
      <c r="E1283" s="2">
        <f t="shared" si="183"/>
        <v>46224</v>
      </c>
      <c r="F1283" s="3">
        <f t="shared" ref="F1283:F1346" si="189">IF(ISNUMBER(SEARCH("Landed", D1283)), TIMEVALUE(_xlfn.TEXTAFTER(D1283, " ")), NA())</f>
        <v>0.81458333333333333</v>
      </c>
      <c r="G1283" t="s">
        <v>252</v>
      </c>
      <c r="H1283" t="s">
        <v>352</v>
      </c>
      <c r="I1283" t="s">
        <v>89</v>
      </c>
      <c r="J1283" s="2">
        <v>46224</v>
      </c>
      <c r="K1283" s="1">
        <v>0.79861111111111116</v>
      </c>
      <c r="L1283" s="10">
        <f t="shared" si="185"/>
        <v>-22.999999999999918</v>
      </c>
      <c r="M1283" s="1" t="str">
        <f t="shared" si="184"/>
        <v>Delayed</v>
      </c>
      <c r="N1283" s="27" t="str">
        <f t="shared" si="186"/>
        <v>Ryanair</v>
      </c>
      <c r="O1283" s="3" t="s">
        <v>1318</v>
      </c>
      <c r="P1283" s="20">
        <f t="shared" si="187"/>
        <v>19</v>
      </c>
      <c r="Q1283" s="3" t="s">
        <v>1318</v>
      </c>
      <c r="R1283" s="23" t="str">
        <f t="shared" si="188"/>
        <v>Tuesday</v>
      </c>
      <c r="S1283" s="3" t="s">
        <v>1318</v>
      </c>
      <c r="T1283" s="23" t="s">
        <v>85</v>
      </c>
      <c r="U1283" s="3" t="s">
        <v>1318</v>
      </c>
      <c r="AO1283" s="15"/>
      <c r="AP1283" s="15"/>
      <c r="AQ1283" s="15"/>
      <c r="AR1283" s="23"/>
      <c r="AS1283" s="15"/>
      <c r="AT1283" s="15"/>
      <c r="AU1283" s="23"/>
      <c r="AV1283" s="23"/>
    </row>
    <row r="1284" spans="1:48" x14ac:dyDescent="0.25">
      <c r="A1284" t="s">
        <v>123</v>
      </c>
      <c r="B1284" t="s">
        <v>1199</v>
      </c>
      <c r="D1284" t="s">
        <v>1200</v>
      </c>
      <c r="E1284" s="2">
        <f t="shared" si="183"/>
        <v>46224</v>
      </c>
      <c r="F1284" s="3">
        <f t="shared" si="189"/>
        <v>0.82291666666666663</v>
      </c>
      <c r="G1284" t="s">
        <v>1201</v>
      </c>
      <c r="H1284" t="s">
        <v>1202</v>
      </c>
      <c r="I1284" t="s">
        <v>677</v>
      </c>
      <c r="J1284" s="2">
        <v>46224</v>
      </c>
      <c r="K1284" s="1">
        <v>0.81805555555555554</v>
      </c>
      <c r="L1284" s="10">
        <f t="shared" si="185"/>
        <v>-6.9999999999999751</v>
      </c>
      <c r="M1284" s="1" t="str">
        <f t="shared" si="184"/>
        <v>On Time</v>
      </c>
      <c r="N1284" s="27" t="e">
        <f t="shared" si="186"/>
        <v>#N/A</v>
      </c>
      <c r="O1284" s="3" t="s">
        <v>1385</v>
      </c>
      <c r="P1284" s="20">
        <f t="shared" si="187"/>
        <v>19</v>
      </c>
      <c r="Q1284" s="3" t="s">
        <v>1385</v>
      </c>
      <c r="R1284" s="23" t="str">
        <f t="shared" si="188"/>
        <v>Tuesday</v>
      </c>
      <c r="S1284" s="3" t="s">
        <v>1385</v>
      </c>
      <c r="T1284" s="23" t="s">
        <v>1199</v>
      </c>
      <c r="U1284" s="3" t="s">
        <v>1385</v>
      </c>
      <c r="AO1284" s="15"/>
      <c r="AP1284" s="15"/>
      <c r="AQ1284" s="15"/>
      <c r="AR1284" s="23"/>
      <c r="AS1284" s="15"/>
      <c r="AT1284" s="15"/>
      <c r="AU1284" s="23"/>
      <c r="AV1284" s="23"/>
    </row>
    <row r="1285" spans="1:48" x14ac:dyDescent="0.25">
      <c r="A1285" t="s">
        <v>211</v>
      </c>
      <c r="B1285" t="s">
        <v>7</v>
      </c>
      <c r="C1285" s="10">
        <v>-18</v>
      </c>
      <c r="D1285" t="s">
        <v>1203</v>
      </c>
      <c r="E1285" s="2">
        <f t="shared" si="183"/>
        <v>46224</v>
      </c>
      <c r="F1285" s="3">
        <f t="shared" si="189"/>
        <v>0.82500000000000007</v>
      </c>
      <c r="G1285" t="s">
        <v>135</v>
      </c>
      <c r="H1285" t="s">
        <v>136</v>
      </c>
      <c r="I1285" t="s">
        <v>11</v>
      </c>
      <c r="J1285" s="2">
        <v>46224</v>
      </c>
      <c r="K1285" s="1">
        <v>0.82638888888888884</v>
      </c>
      <c r="L1285" s="10">
        <f t="shared" si="185"/>
        <v>1.999999999999833</v>
      </c>
      <c r="M1285" s="1" t="str">
        <f t="shared" si="184"/>
        <v>On Time</v>
      </c>
      <c r="N1285" s="27" t="str">
        <f t="shared" si="186"/>
        <v>airBaltic</v>
      </c>
      <c r="O1285" s="3" t="s">
        <v>1385</v>
      </c>
      <c r="P1285" s="20">
        <f t="shared" si="187"/>
        <v>19</v>
      </c>
      <c r="Q1285" s="3" t="s">
        <v>1385</v>
      </c>
      <c r="R1285" s="23" t="str">
        <f t="shared" si="188"/>
        <v>Tuesday</v>
      </c>
      <c r="S1285" s="3" t="s">
        <v>1385</v>
      </c>
      <c r="T1285" s="23" t="s">
        <v>7</v>
      </c>
      <c r="U1285" s="3" t="s">
        <v>1385</v>
      </c>
      <c r="AO1285" s="15"/>
      <c r="AP1285" s="15"/>
      <c r="AQ1285" s="15"/>
      <c r="AR1285" s="23"/>
      <c r="AS1285" s="15"/>
      <c r="AT1285" s="15"/>
      <c r="AU1285" s="23"/>
      <c r="AV1285" s="23"/>
    </row>
    <row r="1286" spans="1:48" x14ac:dyDescent="0.25">
      <c r="A1286" t="s">
        <v>144</v>
      </c>
      <c r="B1286" t="s">
        <v>13</v>
      </c>
      <c r="C1286" s="10">
        <v>-9</v>
      </c>
      <c r="D1286" t="s">
        <v>909</v>
      </c>
      <c r="E1286" s="2">
        <f t="shared" si="183"/>
        <v>46224</v>
      </c>
      <c r="F1286" s="3">
        <f t="shared" si="189"/>
        <v>0.83472222222222225</v>
      </c>
      <c r="G1286" t="s">
        <v>146</v>
      </c>
      <c r="H1286" t="s">
        <v>147</v>
      </c>
      <c r="I1286" t="s">
        <v>17</v>
      </c>
      <c r="J1286" s="2">
        <v>46224</v>
      </c>
      <c r="K1286" s="1">
        <v>0.84027777777777779</v>
      </c>
      <c r="L1286" s="10">
        <f t="shared" si="185"/>
        <v>7.9999999999999716</v>
      </c>
      <c r="M1286" s="1" t="str">
        <f t="shared" si="184"/>
        <v>On Time</v>
      </c>
      <c r="N1286" s="27" t="str">
        <f t="shared" si="186"/>
        <v>Wizz Air</v>
      </c>
      <c r="O1286" s="3" t="s">
        <v>1385</v>
      </c>
      <c r="P1286" s="20">
        <f t="shared" si="187"/>
        <v>20</v>
      </c>
      <c r="Q1286" s="3" t="s">
        <v>1385</v>
      </c>
      <c r="R1286" s="23" t="str">
        <f t="shared" si="188"/>
        <v>Tuesday</v>
      </c>
      <c r="S1286" s="3" t="s">
        <v>1385</v>
      </c>
      <c r="T1286" s="23" t="s">
        <v>13</v>
      </c>
      <c r="U1286" s="3" t="s">
        <v>1385</v>
      </c>
      <c r="AO1286" s="15"/>
      <c r="AP1286" s="15"/>
      <c r="AQ1286" s="15"/>
      <c r="AR1286" s="23"/>
      <c r="AS1286" s="15"/>
      <c r="AT1286" s="15"/>
      <c r="AU1286" s="23"/>
      <c r="AV1286" s="23"/>
    </row>
    <row r="1287" spans="1:48" x14ac:dyDescent="0.25">
      <c r="A1287" t="s">
        <v>1204</v>
      </c>
      <c r="B1287" t="s">
        <v>124</v>
      </c>
      <c r="D1287" t="s">
        <v>803</v>
      </c>
      <c r="E1287" s="2">
        <f t="shared" si="183"/>
        <v>46224</v>
      </c>
      <c r="F1287" s="3">
        <f t="shared" si="189"/>
        <v>0.89722222222222225</v>
      </c>
      <c r="G1287" t="s">
        <v>243</v>
      </c>
      <c r="H1287" t="s">
        <v>244</v>
      </c>
      <c r="I1287" t="s">
        <v>282</v>
      </c>
      <c r="J1287" s="2">
        <v>46224</v>
      </c>
      <c r="K1287" s="1">
        <v>0.86111111111111116</v>
      </c>
      <c r="L1287" s="10">
        <f t="shared" si="185"/>
        <v>-51.999999999999972</v>
      </c>
      <c r="M1287" s="1" t="str">
        <f t="shared" si="184"/>
        <v>Delayed</v>
      </c>
      <c r="N1287" s="27" t="str">
        <f t="shared" si="186"/>
        <v>GetJet Airlines</v>
      </c>
      <c r="O1287" s="3" t="s">
        <v>1318</v>
      </c>
      <c r="P1287" s="20">
        <f t="shared" si="187"/>
        <v>21</v>
      </c>
      <c r="Q1287" s="3" t="s">
        <v>1318</v>
      </c>
      <c r="R1287" s="23" t="str">
        <f t="shared" si="188"/>
        <v>Tuesday</v>
      </c>
      <c r="S1287" s="3" t="s">
        <v>1318</v>
      </c>
      <c r="T1287" s="23" t="s">
        <v>124</v>
      </c>
      <c r="U1287" s="3" t="s">
        <v>1318</v>
      </c>
      <c r="AO1287" s="15"/>
      <c r="AP1287" s="15"/>
      <c r="AQ1287" s="15"/>
      <c r="AR1287" s="23"/>
      <c r="AS1287" s="15"/>
      <c r="AT1287" s="15"/>
      <c r="AU1287" s="23"/>
      <c r="AV1287" s="23"/>
    </row>
    <row r="1288" spans="1:48" x14ac:dyDescent="0.25">
      <c r="A1288" t="s">
        <v>219</v>
      </c>
      <c r="B1288" t="s">
        <v>7</v>
      </c>
      <c r="C1288" s="10">
        <v>-3</v>
      </c>
      <c r="D1288" t="s">
        <v>678</v>
      </c>
      <c r="E1288" s="2">
        <f t="shared" si="183"/>
        <v>46224</v>
      </c>
      <c r="F1288" s="3">
        <f t="shared" si="189"/>
        <v>0.8569444444444444</v>
      </c>
      <c r="G1288" t="s">
        <v>9</v>
      </c>
      <c r="H1288" t="s">
        <v>10</v>
      </c>
      <c r="I1288" t="s">
        <v>11</v>
      </c>
      <c r="J1288" s="2">
        <v>46224</v>
      </c>
      <c r="K1288" s="1">
        <v>0.86805555555555547</v>
      </c>
      <c r="L1288" s="10">
        <f t="shared" si="185"/>
        <v>15.999999999999943</v>
      </c>
      <c r="M1288" s="1" t="str">
        <f t="shared" si="184"/>
        <v>On Time</v>
      </c>
      <c r="N1288" s="27" t="str">
        <f t="shared" si="186"/>
        <v>airBaltic</v>
      </c>
      <c r="O1288" s="3" t="s">
        <v>1385</v>
      </c>
      <c r="P1288" s="20">
        <f t="shared" si="187"/>
        <v>20</v>
      </c>
      <c r="Q1288" s="3" t="s">
        <v>1385</v>
      </c>
      <c r="R1288" s="23" t="str">
        <f t="shared" si="188"/>
        <v>Tuesday</v>
      </c>
      <c r="S1288" s="3" t="s">
        <v>1385</v>
      </c>
      <c r="T1288" s="23" t="s">
        <v>7</v>
      </c>
      <c r="U1288" s="3" t="s">
        <v>1385</v>
      </c>
      <c r="AO1288" s="15"/>
      <c r="AP1288" s="15"/>
      <c r="AQ1288" s="15"/>
      <c r="AR1288" s="23"/>
      <c r="AS1288" s="15"/>
      <c r="AT1288" s="15"/>
      <c r="AU1288" s="23"/>
      <c r="AV1288" s="23"/>
    </row>
    <row r="1289" spans="1:48" x14ac:dyDescent="0.25">
      <c r="A1289" t="s">
        <v>123</v>
      </c>
      <c r="B1289" t="s">
        <v>124</v>
      </c>
      <c r="D1289" t="s">
        <v>1022</v>
      </c>
      <c r="E1289" s="2">
        <f t="shared" si="183"/>
        <v>46224</v>
      </c>
      <c r="F1289" s="3">
        <f t="shared" si="189"/>
        <v>0.91666666666666663</v>
      </c>
      <c r="G1289" t="s">
        <v>222</v>
      </c>
      <c r="H1289" t="s">
        <v>223</v>
      </c>
      <c r="I1289" t="s">
        <v>126</v>
      </c>
      <c r="J1289" s="2">
        <v>46224</v>
      </c>
      <c r="K1289" s="1">
        <v>0.87222222222222223</v>
      </c>
      <c r="L1289" s="10">
        <f t="shared" si="185"/>
        <v>-63.999999999999929</v>
      </c>
      <c r="M1289" s="1" t="str">
        <f t="shared" si="184"/>
        <v>Delayed</v>
      </c>
      <c r="N1289" s="27" t="str">
        <f t="shared" si="186"/>
        <v>GetJet Airlines</v>
      </c>
      <c r="O1289" s="3" t="s">
        <v>1318</v>
      </c>
      <c r="P1289" s="20">
        <f t="shared" si="187"/>
        <v>22</v>
      </c>
      <c r="Q1289" s="3" t="s">
        <v>1318</v>
      </c>
      <c r="R1289" s="23" t="str">
        <f t="shared" si="188"/>
        <v>Tuesday</v>
      </c>
      <c r="S1289" s="3" t="s">
        <v>1318</v>
      </c>
      <c r="T1289" s="23" t="s">
        <v>124</v>
      </c>
      <c r="U1289" s="3" t="s">
        <v>1318</v>
      </c>
      <c r="AO1289" s="15"/>
      <c r="AP1289" s="15"/>
      <c r="AQ1289" s="15"/>
      <c r="AR1289" s="23"/>
      <c r="AS1289" s="15"/>
      <c r="AT1289" s="15"/>
      <c r="AU1289" s="23"/>
      <c r="AV1289" s="23"/>
    </row>
    <row r="1290" spans="1:48" x14ac:dyDescent="0.25">
      <c r="A1290" t="s">
        <v>123</v>
      </c>
      <c r="B1290" t="s">
        <v>123</v>
      </c>
      <c r="D1290" t="s">
        <v>232</v>
      </c>
      <c r="E1290" s="2">
        <f t="shared" si="183"/>
        <v>46224</v>
      </c>
      <c r="F1290" s="3">
        <f t="shared" si="189"/>
        <v>0.88055555555555554</v>
      </c>
      <c r="G1290" t="s">
        <v>1205</v>
      </c>
      <c r="H1290" t="s">
        <v>1206</v>
      </c>
      <c r="I1290" t="s">
        <v>614</v>
      </c>
      <c r="J1290" s="2">
        <v>46224</v>
      </c>
      <c r="K1290" s="1">
        <v>0.87847222222222221</v>
      </c>
      <c r="L1290" s="10">
        <f t="shared" si="185"/>
        <v>-2.9999999999999893</v>
      </c>
      <c r="M1290" s="1" t="str">
        <f t="shared" si="184"/>
        <v>On Time</v>
      </c>
      <c r="N1290" s="27" t="e">
        <f t="shared" si="186"/>
        <v>#N/A</v>
      </c>
      <c r="O1290" s="3" t="s">
        <v>1385</v>
      </c>
      <c r="P1290" s="20">
        <f t="shared" si="187"/>
        <v>21</v>
      </c>
      <c r="Q1290" s="3" t="s">
        <v>1385</v>
      </c>
      <c r="R1290" s="23" t="str">
        <f t="shared" si="188"/>
        <v>Tuesday</v>
      </c>
      <c r="S1290" s="3" t="s">
        <v>1385</v>
      </c>
      <c r="T1290" s="23" t="s">
        <v>123</v>
      </c>
      <c r="U1290" s="3" t="s">
        <v>1385</v>
      </c>
      <c r="AO1290" s="15"/>
      <c r="AP1290" s="15"/>
      <c r="AQ1290" s="15"/>
      <c r="AR1290" s="23"/>
      <c r="AS1290" s="15"/>
      <c r="AT1290" s="15"/>
      <c r="AU1290" s="23"/>
      <c r="AV1290" s="23"/>
    </row>
    <row r="1291" spans="1:48" x14ac:dyDescent="0.25">
      <c r="A1291" t="s">
        <v>233</v>
      </c>
      <c r="B1291" t="s">
        <v>7</v>
      </c>
      <c r="C1291" s="10">
        <v>-13</v>
      </c>
      <c r="D1291" t="s">
        <v>1207</v>
      </c>
      <c r="E1291" s="2">
        <f t="shared" si="183"/>
        <v>46224</v>
      </c>
      <c r="F1291" s="3">
        <f t="shared" si="189"/>
        <v>0.90069444444444446</v>
      </c>
      <c r="G1291" t="s">
        <v>76</v>
      </c>
      <c r="H1291" t="s">
        <v>77</v>
      </c>
      <c r="I1291" t="s">
        <v>11</v>
      </c>
      <c r="J1291" s="2">
        <v>46224</v>
      </c>
      <c r="K1291" s="1">
        <v>0.90625</v>
      </c>
      <c r="L1291" s="10">
        <f t="shared" si="185"/>
        <v>7.9999999999999716</v>
      </c>
      <c r="M1291" s="1" t="str">
        <f t="shared" si="184"/>
        <v>On Time</v>
      </c>
      <c r="N1291" s="27" t="str">
        <f t="shared" si="186"/>
        <v>airBaltic</v>
      </c>
      <c r="O1291" s="3" t="s">
        <v>1385</v>
      </c>
      <c r="P1291" s="20">
        <f t="shared" si="187"/>
        <v>21</v>
      </c>
      <c r="Q1291" s="3" t="s">
        <v>1385</v>
      </c>
      <c r="R1291" s="23" t="str">
        <f t="shared" si="188"/>
        <v>Tuesday</v>
      </c>
      <c r="S1291" s="3" t="s">
        <v>1385</v>
      </c>
      <c r="T1291" s="23" t="s">
        <v>7</v>
      </c>
      <c r="U1291" s="3" t="s">
        <v>1385</v>
      </c>
      <c r="AO1291" s="15"/>
      <c r="AP1291" s="15"/>
      <c r="AQ1291" s="15"/>
      <c r="AR1291" s="23"/>
      <c r="AS1291" s="15"/>
      <c r="AT1291" s="15"/>
      <c r="AU1291" s="23"/>
      <c r="AV1291" s="23"/>
    </row>
    <row r="1292" spans="1:48" x14ac:dyDescent="0.25">
      <c r="A1292" t="s">
        <v>506</v>
      </c>
      <c r="B1292" t="s">
        <v>117</v>
      </c>
      <c r="C1292" s="10">
        <v>-56</v>
      </c>
      <c r="D1292" t="s">
        <v>1208</v>
      </c>
      <c r="E1292" s="2">
        <f t="shared" si="183"/>
        <v>46224</v>
      </c>
      <c r="F1292" s="3">
        <f t="shared" si="189"/>
        <v>0.9458333333333333</v>
      </c>
      <c r="G1292" t="s">
        <v>119</v>
      </c>
      <c r="H1292" t="s">
        <v>120</v>
      </c>
      <c r="I1292" t="s">
        <v>67</v>
      </c>
      <c r="J1292" s="2">
        <v>46224</v>
      </c>
      <c r="K1292" s="1">
        <v>0.9194444444444444</v>
      </c>
      <c r="L1292" s="10">
        <f t="shared" si="185"/>
        <v>-38.000000000000028</v>
      </c>
      <c r="M1292" s="1" t="str">
        <f t="shared" si="184"/>
        <v>Delayed</v>
      </c>
      <c r="N1292" s="27" t="str">
        <f t="shared" si="186"/>
        <v>Heston Airlines</v>
      </c>
      <c r="O1292" s="3" t="s">
        <v>1318</v>
      </c>
      <c r="P1292" s="20">
        <f t="shared" si="187"/>
        <v>22</v>
      </c>
      <c r="Q1292" s="3" t="s">
        <v>1318</v>
      </c>
      <c r="R1292" s="23" t="str">
        <f t="shared" si="188"/>
        <v>Tuesday</v>
      </c>
      <c r="S1292" s="3" t="s">
        <v>1318</v>
      </c>
      <c r="T1292" s="23" t="s">
        <v>117</v>
      </c>
      <c r="U1292" s="3" t="s">
        <v>1318</v>
      </c>
      <c r="AO1292" s="15"/>
      <c r="AP1292" s="15"/>
      <c r="AQ1292" s="15"/>
      <c r="AR1292" s="23"/>
      <c r="AS1292" s="15"/>
      <c r="AT1292" s="15"/>
      <c r="AU1292" s="23"/>
      <c r="AV1292" s="23"/>
    </row>
    <row r="1293" spans="1:48" x14ac:dyDescent="0.25">
      <c r="A1293" t="s">
        <v>235</v>
      </c>
      <c r="B1293" t="s">
        <v>19</v>
      </c>
      <c r="C1293" s="10">
        <v>-19</v>
      </c>
      <c r="D1293" t="s">
        <v>381</v>
      </c>
      <c r="E1293" s="2">
        <f t="shared" ref="E1293:E1356" si="190">J1293</f>
        <v>46224</v>
      </c>
      <c r="F1293" s="3">
        <f t="shared" si="189"/>
        <v>0.9291666666666667</v>
      </c>
      <c r="G1293" t="s">
        <v>21</v>
      </c>
      <c r="H1293" t="s">
        <v>22</v>
      </c>
      <c r="I1293" t="s">
        <v>237</v>
      </c>
      <c r="J1293" s="2">
        <v>46224</v>
      </c>
      <c r="K1293" s="1">
        <v>0.93055555555555547</v>
      </c>
      <c r="L1293" s="10">
        <f t="shared" si="185"/>
        <v>1.999999999999833</v>
      </c>
      <c r="M1293" s="1" t="str">
        <f t="shared" si="184"/>
        <v>On Time</v>
      </c>
      <c r="N1293" s="27" t="str">
        <f t="shared" si="186"/>
        <v>LOT</v>
      </c>
      <c r="O1293" s="3" t="s">
        <v>1385</v>
      </c>
      <c r="P1293" s="20">
        <f t="shared" si="187"/>
        <v>22</v>
      </c>
      <c r="Q1293" s="3" t="s">
        <v>1385</v>
      </c>
      <c r="R1293" s="23" t="str">
        <f t="shared" si="188"/>
        <v>Tuesday</v>
      </c>
      <c r="S1293" s="3" t="s">
        <v>1385</v>
      </c>
      <c r="T1293" s="23" t="s">
        <v>19</v>
      </c>
      <c r="U1293" s="3" t="s">
        <v>1385</v>
      </c>
      <c r="AO1293" s="15"/>
      <c r="AP1293" s="15"/>
      <c r="AQ1293" s="15"/>
      <c r="AR1293" s="23"/>
      <c r="AS1293" s="15"/>
      <c r="AT1293" s="15"/>
      <c r="AU1293" s="23"/>
      <c r="AV1293" s="23"/>
    </row>
    <row r="1294" spans="1:48" x14ac:dyDescent="0.25">
      <c r="A1294" t="s">
        <v>150</v>
      </c>
      <c r="B1294" t="s">
        <v>151</v>
      </c>
      <c r="C1294" s="10">
        <v>2</v>
      </c>
      <c r="D1294" t="s">
        <v>1209</v>
      </c>
      <c r="E1294" s="2">
        <f t="shared" si="190"/>
        <v>46224</v>
      </c>
      <c r="F1294" s="3">
        <f t="shared" si="189"/>
        <v>0.9145833333333333</v>
      </c>
      <c r="G1294" t="s">
        <v>153</v>
      </c>
      <c r="H1294" t="s">
        <v>154</v>
      </c>
      <c r="I1294" t="s">
        <v>155</v>
      </c>
      <c r="J1294" s="2">
        <v>46224</v>
      </c>
      <c r="K1294" s="1">
        <v>0.93402777777777779</v>
      </c>
      <c r="L1294" s="10">
        <f t="shared" si="185"/>
        <v>28.00000000000006</v>
      </c>
      <c r="M1294" s="1" t="str">
        <f t="shared" si="184"/>
        <v>On Time</v>
      </c>
      <c r="N1294" s="27" t="e">
        <f t="shared" si="186"/>
        <v>#N/A</v>
      </c>
      <c r="O1294" s="3" t="s">
        <v>1385</v>
      </c>
      <c r="P1294" s="20">
        <f t="shared" si="187"/>
        <v>21</v>
      </c>
      <c r="Q1294" s="3" t="s">
        <v>1385</v>
      </c>
      <c r="R1294" s="23" t="str">
        <f t="shared" si="188"/>
        <v>Tuesday</v>
      </c>
      <c r="S1294" s="3" t="s">
        <v>1385</v>
      </c>
      <c r="T1294" s="23" t="s">
        <v>151</v>
      </c>
      <c r="U1294" s="3" t="s">
        <v>1385</v>
      </c>
      <c r="AO1294" s="15"/>
      <c r="AP1294" s="15"/>
      <c r="AQ1294" s="15"/>
      <c r="AR1294" s="23"/>
      <c r="AS1294" s="15"/>
      <c r="AT1294" s="15"/>
      <c r="AU1294" s="23"/>
      <c r="AV1294" s="23"/>
    </row>
    <row r="1295" spans="1:48" x14ac:dyDescent="0.25">
      <c r="A1295" t="s">
        <v>483</v>
      </c>
      <c r="B1295" t="s">
        <v>7</v>
      </c>
      <c r="C1295" s="10">
        <v>-23</v>
      </c>
      <c r="D1295" t="s">
        <v>880</v>
      </c>
      <c r="E1295" s="2">
        <f t="shared" si="190"/>
        <v>46224</v>
      </c>
      <c r="F1295" s="3">
        <f t="shared" si="189"/>
        <v>0.94374999999999998</v>
      </c>
      <c r="G1295" t="s">
        <v>485</v>
      </c>
      <c r="H1295" t="s">
        <v>486</v>
      </c>
      <c r="I1295" t="s">
        <v>11</v>
      </c>
      <c r="J1295" s="2">
        <v>46224</v>
      </c>
      <c r="K1295" s="1">
        <v>0.94791666666666663</v>
      </c>
      <c r="L1295" s="10">
        <f t="shared" si="185"/>
        <v>5.9999999999999787</v>
      </c>
      <c r="M1295" s="1" t="str">
        <f t="shared" si="184"/>
        <v>On Time</v>
      </c>
      <c r="N1295" s="27" t="str">
        <f t="shared" si="186"/>
        <v>airBaltic</v>
      </c>
      <c r="O1295" s="3" t="s">
        <v>1385</v>
      </c>
      <c r="P1295" s="20">
        <f t="shared" si="187"/>
        <v>22</v>
      </c>
      <c r="Q1295" s="3" t="s">
        <v>1385</v>
      </c>
      <c r="R1295" s="23" t="str">
        <f t="shared" si="188"/>
        <v>Tuesday</v>
      </c>
      <c r="S1295" s="3" t="s">
        <v>1385</v>
      </c>
      <c r="T1295" s="23" t="s">
        <v>7</v>
      </c>
      <c r="U1295" s="3" t="s">
        <v>1385</v>
      </c>
      <c r="AO1295" s="15"/>
      <c r="AP1295" s="15"/>
      <c r="AQ1295" s="15"/>
      <c r="AR1295" s="23"/>
      <c r="AS1295" s="15"/>
      <c r="AT1295" s="15"/>
      <c r="AU1295" s="23"/>
      <c r="AV1295" s="23"/>
    </row>
    <row r="1296" spans="1:48" x14ac:dyDescent="0.25">
      <c r="A1296" t="s">
        <v>250</v>
      </c>
      <c r="B1296" t="s">
        <v>7</v>
      </c>
      <c r="C1296" s="10">
        <v>-18</v>
      </c>
      <c r="D1296" t="s">
        <v>797</v>
      </c>
      <c r="E1296" s="2">
        <f t="shared" si="190"/>
        <v>46224</v>
      </c>
      <c r="F1296" s="3">
        <f t="shared" si="189"/>
        <v>0.9590277777777777</v>
      </c>
      <c r="G1296" t="s">
        <v>252</v>
      </c>
      <c r="H1296" t="s">
        <v>253</v>
      </c>
      <c r="I1296" t="s">
        <v>11</v>
      </c>
      <c r="J1296" s="2">
        <v>46224</v>
      </c>
      <c r="K1296" s="1">
        <v>0.96180555555555547</v>
      </c>
      <c r="L1296" s="10">
        <f t="shared" si="185"/>
        <v>3.9999999999999858</v>
      </c>
      <c r="M1296" s="1" t="str">
        <f t="shared" si="184"/>
        <v>On Time</v>
      </c>
      <c r="N1296" s="27" t="str">
        <f t="shared" si="186"/>
        <v>airBaltic</v>
      </c>
      <c r="O1296" s="3" t="s">
        <v>1385</v>
      </c>
      <c r="P1296" s="20">
        <f t="shared" si="187"/>
        <v>23</v>
      </c>
      <c r="Q1296" s="3" t="s">
        <v>1385</v>
      </c>
      <c r="R1296" s="23" t="str">
        <f t="shared" si="188"/>
        <v>Tuesday</v>
      </c>
      <c r="S1296" s="3" t="s">
        <v>1385</v>
      </c>
      <c r="T1296" s="23" t="s">
        <v>7</v>
      </c>
      <c r="U1296" s="3" t="s">
        <v>1385</v>
      </c>
      <c r="AO1296" s="15"/>
      <c r="AP1296" s="15"/>
      <c r="AQ1296" s="15"/>
      <c r="AR1296" s="23"/>
      <c r="AS1296" s="15"/>
      <c r="AT1296" s="15"/>
      <c r="AU1296" s="23"/>
      <c r="AV1296" s="23"/>
    </row>
    <row r="1297" spans="1:48" x14ac:dyDescent="0.25">
      <c r="A1297" t="s">
        <v>685</v>
      </c>
      <c r="B1297" t="s">
        <v>231</v>
      </c>
      <c r="C1297" s="10">
        <v>-60</v>
      </c>
      <c r="D1297" t="s">
        <v>1210</v>
      </c>
      <c r="E1297" s="2">
        <f t="shared" si="190"/>
        <v>46224</v>
      </c>
      <c r="F1297" s="3">
        <f t="shared" si="189"/>
        <v>0.99097222222222225</v>
      </c>
      <c r="G1297" t="s">
        <v>81</v>
      </c>
      <c r="H1297" t="s">
        <v>82</v>
      </c>
      <c r="I1297" t="s">
        <v>83</v>
      </c>
      <c r="J1297" s="2">
        <v>46224</v>
      </c>
      <c r="K1297" s="1">
        <v>0.96875</v>
      </c>
      <c r="L1297" s="10">
        <f t="shared" si="185"/>
        <v>-32.000000000000043</v>
      </c>
      <c r="M1297" s="1" t="str">
        <f t="shared" si="184"/>
        <v>Delayed</v>
      </c>
      <c r="N1297" s="27" t="e">
        <f t="shared" si="186"/>
        <v>#N/A</v>
      </c>
      <c r="O1297" s="3" t="s">
        <v>1318</v>
      </c>
      <c r="P1297" s="20">
        <f t="shared" si="187"/>
        <v>23</v>
      </c>
      <c r="Q1297" s="3" t="s">
        <v>1318</v>
      </c>
      <c r="R1297" s="23" t="str">
        <f t="shared" si="188"/>
        <v>Tuesday</v>
      </c>
      <c r="S1297" s="3" t="s">
        <v>1318</v>
      </c>
      <c r="T1297" s="23" t="s">
        <v>231</v>
      </c>
      <c r="U1297" s="3" t="s">
        <v>1318</v>
      </c>
      <c r="AO1297" s="15"/>
      <c r="AP1297" s="15"/>
      <c r="AQ1297" s="15"/>
      <c r="AR1297" s="23"/>
      <c r="AS1297" s="15"/>
      <c r="AT1297" s="15"/>
      <c r="AU1297" s="23"/>
      <c r="AV1297" s="23"/>
    </row>
    <row r="1298" spans="1:48" x14ac:dyDescent="0.25">
      <c r="A1298" t="s">
        <v>387</v>
      </c>
      <c r="B1298" t="s">
        <v>388</v>
      </c>
      <c r="C1298" s="10">
        <v>-32</v>
      </c>
      <c r="D1298" t="s">
        <v>845</v>
      </c>
      <c r="E1298" s="2">
        <f t="shared" si="190"/>
        <v>46224</v>
      </c>
      <c r="F1298" s="3">
        <f t="shared" si="189"/>
        <v>0.97916666666666663</v>
      </c>
      <c r="G1298" t="s">
        <v>119</v>
      </c>
      <c r="H1298" t="s">
        <v>120</v>
      </c>
      <c r="I1298" t="s">
        <v>390</v>
      </c>
      <c r="J1298" s="2">
        <v>46224</v>
      </c>
      <c r="K1298" s="1">
        <v>0.97222222222222221</v>
      </c>
      <c r="L1298" s="10">
        <f t="shared" si="185"/>
        <v>-9.9999999999999645</v>
      </c>
      <c r="M1298" s="1" t="str">
        <f t="shared" si="184"/>
        <v>On Time</v>
      </c>
      <c r="N1298" s="27" t="e">
        <f t="shared" si="186"/>
        <v>#N/A</v>
      </c>
      <c r="O1298" s="3" t="s">
        <v>1385</v>
      </c>
      <c r="P1298" s="20">
        <f t="shared" si="187"/>
        <v>23</v>
      </c>
      <c r="Q1298" s="3" t="s">
        <v>1385</v>
      </c>
      <c r="R1298" s="23" t="str">
        <f t="shared" si="188"/>
        <v>Tuesday</v>
      </c>
      <c r="S1298" s="3" t="s">
        <v>1385</v>
      </c>
      <c r="T1298" s="23" t="s">
        <v>388</v>
      </c>
      <c r="U1298" s="3" t="s">
        <v>1385</v>
      </c>
      <c r="AO1298" s="15"/>
      <c r="AP1298" s="15"/>
      <c r="AQ1298" s="15"/>
      <c r="AR1298" s="23"/>
      <c r="AS1298" s="15"/>
      <c r="AT1298" s="15"/>
      <c r="AU1298" s="23"/>
      <c r="AV1298" s="23"/>
    </row>
    <row r="1299" spans="1:48" x14ac:dyDescent="0.25">
      <c r="A1299" t="s">
        <v>62</v>
      </c>
      <c r="B1299" t="s">
        <v>85</v>
      </c>
      <c r="C1299" s="10">
        <v>-34</v>
      </c>
      <c r="D1299" t="s">
        <v>688</v>
      </c>
      <c r="E1299" s="2">
        <f t="shared" si="190"/>
        <v>46224</v>
      </c>
      <c r="F1299" s="3">
        <f t="shared" si="189"/>
        <v>0.98749999999999993</v>
      </c>
      <c r="G1299" t="s">
        <v>65</v>
      </c>
      <c r="H1299" t="s">
        <v>66</v>
      </c>
      <c r="I1299" t="s">
        <v>89</v>
      </c>
      <c r="J1299" s="2">
        <v>46224</v>
      </c>
      <c r="K1299" s="1">
        <v>0.98611111111111116</v>
      </c>
      <c r="L1299" s="10">
        <f t="shared" si="185"/>
        <v>-1.999999999999833</v>
      </c>
      <c r="M1299" s="1" t="str">
        <f t="shared" ref="M1299:M1362" si="191">IF(L1299&gt;=-15, "On Time", "Delayed")</f>
        <v>On Time</v>
      </c>
      <c r="N1299" s="27" t="str">
        <f t="shared" si="186"/>
        <v>Ryanair</v>
      </c>
      <c r="O1299" s="3" t="s">
        <v>1385</v>
      </c>
      <c r="P1299" s="20">
        <f t="shared" si="187"/>
        <v>23</v>
      </c>
      <c r="Q1299" s="3" t="s">
        <v>1385</v>
      </c>
      <c r="R1299" s="23" t="str">
        <f t="shared" si="188"/>
        <v>Tuesday</v>
      </c>
      <c r="S1299" s="3" t="s">
        <v>1385</v>
      </c>
      <c r="T1299" s="23" t="s">
        <v>85</v>
      </c>
      <c r="U1299" s="3" t="s">
        <v>1385</v>
      </c>
      <c r="AO1299" s="15"/>
      <c r="AP1299" s="15"/>
      <c r="AQ1299" s="15"/>
      <c r="AR1299" s="23"/>
      <c r="AS1299" s="15"/>
      <c r="AT1299" s="15"/>
      <c r="AU1299" s="23"/>
      <c r="AV1299" s="23"/>
    </row>
    <row r="1300" spans="1:48" x14ac:dyDescent="0.25">
      <c r="A1300" t="s">
        <v>258</v>
      </c>
      <c r="B1300" t="s">
        <v>190</v>
      </c>
      <c r="C1300" s="10">
        <v>-14</v>
      </c>
      <c r="D1300" t="s">
        <v>688</v>
      </c>
      <c r="E1300" s="2">
        <f t="shared" si="190"/>
        <v>46224</v>
      </c>
      <c r="F1300" s="3">
        <f t="shared" si="189"/>
        <v>0.98749999999999993</v>
      </c>
      <c r="G1300" t="s">
        <v>110</v>
      </c>
      <c r="H1300" t="s">
        <v>111</v>
      </c>
      <c r="I1300" t="s">
        <v>260</v>
      </c>
      <c r="J1300" s="2">
        <v>46224</v>
      </c>
      <c r="K1300" s="1">
        <v>0.99305555555555547</v>
      </c>
      <c r="L1300" s="10">
        <f t="shared" si="185"/>
        <v>7.9999999999999716</v>
      </c>
      <c r="M1300" s="1" t="str">
        <f t="shared" si="191"/>
        <v>On Time</v>
      </c>
      <c r="N1300" s="27" t="str">
        <f t="shared" si="186"/>
        <v>Lufthansa</v>
      </c>
      <c r="O1300" s="3" t="s">
        <v>1385</v>
      </c>
      <c r="P1300" s="20">
        <f t="shared" si="187"/>
        <v>23</v>
      </c>
      <c r="Q1300" s="3" t="s">
        <v>1385</v>
      </c>
      <c r="R1300" s="23" t="str">
        <f t="shared" si="188"/>
        <v>Tuesday</v>
      </c>
      <c r="S1300" s="3" t="s">
        <v>1385</v>
      </c>
      <c r="T1300" s="23" t="s">
        <v>190</v>
      </c>
      <c r="U1300" s="3" t="s">
        <v>1385</v>
      </c>
      <c r="AO1300" s="15"/>
      <c r="AP1300" s="15"/>
      <c r="AQ1300" s="15"/>
      <c r="AR1300" s="23"/>
      <c r="AS1300" s="15"/>
      <c r="AT1300" s="15"/>
      <c r="AU1300" s="23"/>
      <c r="AV1300" s="23"/>
    </row>
    <row r="1301" spans="1:48" x14ac:dyDescent="0.25">
      <c r="A1301" t="s">
        <v>267</v>
      </c>
      <c r="B1301" t="s">
        <v>13</v>
      </c>
      <c r="C1301" s="10">
        <v>2</v>
      </c>
      <c r="D1301" t="s">
        <v>396</v>
      </c>
      <c r="E1301" s="2">
        <v>46224</v>
      </c>
      <c r="F1301" s="3">
        <f t="shared" si="189"/>
        <v>0.99305555555555547</v>
      </c>
      <c r="G1301" t="s">
        <v>269</v>
      </c>
      <c r="H1301" t="s">
        <v>270</v>
      </c>
      <c r="I1301" t="s">
        <v>17</v>
      </c>
      <c r="J1301" s="2">
        <v>46225</v>
      </c>
      <c r="K1301" s="1">
        <v>1.0416666666666666E-2</v>
      </c>
      <c r="L1301" s="10">
        <f t="shared" si="185"/>
        <v>25.000000000000231</v>
      </c>
      <c r="M1301" s="1" t="str">
        <f t="shared" si="191"/>
        <v>On Time</v>
      </c>
      <c r="N1301" s="27" t="str">
        <f t="shared" si="186"/>
        <v>Wizz Air</v>
      </c>
      <c r="O1301" s="3" t="s">
        <v>1385</v>
      </c>
      <c r="P1301" s="20">
        <f t="shared" si="187"/>
        <v>23</v>
      </c>
      <c r="Q1301" s="3" t="s">
        <v>1385</v>
      </c>
      <c r="R1301" s="23" t="str">
        <f t="shared" si="188"/>
        <v>Tuesday</v>
      </c>
      <c r="S1301" s="3" t="s">
        <v>1385</v>
      </c>
      <c r="T1301" s="23" t="s">
        <v>13</v>
      </c>
      <c r="U1301" s="3" t="s">
        <v>1385</v>
      </c>
      <c r="AO1301" s="15"/>
      <c r="AP1301" s="15"/>
      <c r="AQ1301" s="15"/>
      <c r="AR1301" s="23"/>
      <c r="AS1301" s="15"/>
      <c r="AT1301" s="15"/>
      <c r="AU1301" s="23"/>
      <c r="AV1301" s="23"/>
    </row>
    <row r="1302" spans="1:48" x14ac:dyDescent="0.25">
      <c r="A1302" t="s">
        <v>6</v>
      </c>
      <c r="B1302" t="s">
        <v>7</v>
      </c>
      <c r="C1302" s="10">
        <v>-53</v>
      </c>
      <c r="D1302" t="s">
        <v>966</v>
      </c>
      <c r="E1302" s="2">
        <f t="shared" si="190"/>
        <v>46225</v>
      </c>
      <c r="F1302" s="3">
        <f t="shared" si="189"/>
        <v>4.5138888888888888E-2</v>
      </c>
      <c r="G1302" t="s">
        <v>9</v>
      </c>
      <c r="H1302" t="s">
        <v>10</v>
      </c>
      <c r="I1302" t="s">
        <v>11</v>
      </c>
      <c r="J1302" s="2">
        <v>46225</v>
      </c>
      <c r="K1302" s="1">
        <v>2.0833333333333332E-2</v>
      </c>
      <c r="L1302" s="10">
        <f t="shared" si="185"/>
        <v>-35</v>
      </c>
      <c r="M1302" s="1" t="str">
        <f t="shared" si="191"/>
        <v>Delayed</v>
      </c>
      <c r="N1302" s="27" t="str">
        <f t="shared" si="186"/>
        <v>airBaltic</v>
      </c>
      <c r="O1302" s="3" t="s">
        <v>1318</v>
      </c>
      <c r="P1302" s="20">
        <f t="shared" si="187"/>
        <v>1</v>
      </c>
      <c r="Q1302" s="3" t="s">
        <v>1318</v>
      </c>
      <c r="R1302" s="23" t="str">
        <f t="shared" si="188"/>
        <v>Wednesday</v>
      </c>
      <c r="S1302" s="3" t="s">
        <v>1318</v>
      </c>
      <c r="T1302" s="23" t="s">
        <v>7</v>
      </c>
      <c r="U1302" s="3" t="s">
        <v>1318</v>
      </c>
      <c r="AO1302" s="15"/>
      <c r="AP1302" s="15"/>
      <c r="AQ1302" s="15"/>
      <c r="AR1302" s="23"/>
      <c r="AS1302" s="15"/>
      <c r="AT1302" s="15"/>
      <c r="AU1302" s="23"/>
      <c r="AV1302" s="23"/>
    </row>
    <row r="1303" spans="1:48" x14ac:dyDescent="0.25">
      <c r="A1303" t="s">
        <v>12</v>
      </c>
      <c r="B1303" t="s">
        <v>13</v>
      </c>
      <c r="C1303" s="10">
        <v>-59</v>
      </c>
      <c r="D1303" t="s">
        <v>692</v>
      </c>
      <c r="E1303" s="2">
        <f t="shared" si="190"/>
        <v>46225</v>
      </c>
      <c r="F1303" s="3">
        <f t="shared" si="189"/>
        <v>3.2638888888888891E-2</v>
      </c>
      <c r="G1303" t="s">
        <v>15</v>
      </c>
      <c r="H1303" t="s">
        <v>16</v>
      </c>
      <c r="I1303" t="s">
        <v>17</v>
      </c>
      <c r="J1303" s="2">
        <v>46225</v>
      </c>
      <c r="K1303" s="1">
        <v>2.0833333333333332E-2</v>
      </c>
      <c r="L1303" s="10">
        <f t="shared" si="185"/>
        <v>-17.000000000000004</v>
      </c>
      <c r="M1303" s="1" t="str">
        <f t="shared" si="191"/>
        <v>Delayed</v>
      </c>
      <c r="N1303" s="27" t="str">
        <f t="shared" si="186"/>
        <v>Wizz Air</v>
      </c>
      <c r="O1303" s="3" t="s">
        <v>1318</v>
      </c>
      <c r="P1303" s="20">
        <f t="shared" si="187"/>
        <v>0</v>
      </c>
      <c r="Q1303" s="3" t="s">
        <v>1318</v>
      </c>
      <c r="R1303" s="23" t="str">
        <f t="shared" si="188"/>
        <v>Wednesday</v>
      </c>
      <c r="S1303" s="3" t="s">
        <v>1318</v>
      </c>
      <c r="T1303" s="23" t="s">
        <v>13</v>
      </c>
      <c r="U1303" s="3" t="s">
        <v>1318</v>
      </c>
      <c r="AO1303" s="15"/>
      <c r="AP1303" s="15"/>
      <c r="AQ1303" s="15"/>
      <c r="AR1303" s="23"/>
      <c r="AS1303" s="15"/>
      <c r="AT1303" s="15"/>
      <c r="AU1303" s="23"/>
      <c r="AV1303" s="23"/>
    </row>
    <row r="1304" spans="1:48" x14ac:dyDescent="0.25">
      <c r="A1304" t="s">
        <v>18</v>
      </c>
      <c r="B1304" t="s">
        <v>19</v>
      </c>
      <c r="C1304" s="10">
        <v>-15</v>
      </c>
      <c r="D1304" t="s">
        <v>1211</v>
      </c>
      <c r="E1304" s="2">
        <f t="shared" si="190"/>
        <v>46225</v>
      </c>
      <c r="F1304" s="3">
        <f t="shared" si="189"/>
        <v>2.2222222222222223E-2</v>
      </c>
      <c r="G1304" t="s">
        <v>21</v>
      </c>
      <c r="H1304" t="s">
        <v>22</v>
      </c>
      <c r="I1304" t="s">
        <v>188</v>
      </c>
      <c r="J1304" s="2">
        <v>46225</v>
      </c>
      <c r="K1304" s="1">
        <v>2.7777777777777776E-2</v>
      </c>
      <c r="L1304" s="10">
        <f t="shared" si="185"/>
        <v>7.9999999999999964</v>
      </c>
      <c r="M1304" s="1" t="str">
        <f t="shared" si="191"/>
        <v>On Time</v>
      </c>
      <c r="N1304" s="27" t="str">
        <f t="shared" si="186"/>
        <v>LOT</v>
      </c>
      <c r="O1304" s="3" t="s">
        <v>1385</v>
      </c>
      <c r="P1304" s="20">
        <f t="shared" si="187"/>
        <v>0</v>
      </c>
      <c r="Q1304" s="3" t="s">
        <v>1385</v>
      </c>
      <c r="R1304" s="23" t="str">
        <f t="shared" si="188"/>
        <v>Wednesday</v>
      </c>
      <c r="S1304" s="3" t="s">
        <v>1385</v>
      </c>
      <c r="T1304" s="23" t="s">
        <v>19</v>
      </c>
      <c r="U1304" s="3" t="s">
        <v>1385</v>
      </c>
      <c r="AO1304" s="15"/>
      <c r="AP1304" s="15"/>
      <c r="AQ1304" s="15"/>
      <c r="AR1304" s="23"/>
      <c r="AS1304" s="15"/>
      <c r="AT1304" s="15"/>
      <c r="AU1304" s="23"/>
      <c r="AV1304" s="23"/>
    </row>
    <row r="1305" spans="1:48" x14ac:dyDescent="0.25">
      <c r="A1305" t="s">
        <v>470</v>
      </c>
      <c r="B1305" t="s">
        <v>13</v>
      </c>
      <c r="C1305" s="10">
        <v>-20</v>
      </c>
      <c r="D1305" t="s">
        <v>277</v>
      </c>
      <c r="E1305" s="2">
        <f t="shared" si="190"/>
        <v>46225</v>
      </c>
      <c r="F1305" s="3">
        <f t="shared" si="189"/>
        <v>2.4999999999999998E-2</v>
      </c>
      <c r="G1305" t="s">
        <v>280</v>
      </c>
      <c r="H1305" t="s">
        <v>281</v>
      </c>
      <c r="I1305" t="s">
        <v>17</v>
      </c>
      <c r="J1305" s="2">
        <v>46225</v>
      </c>
      <c r="K1305" s="1">
        <v>2.7777777777777776E-2</v>
      </c>
      <c r="L1305" s="10">
        <f t="shared" si="185"/>
        <v>4.0000000000000009</v>
      </c>
      <c r="M1305" s="1" t="str">
        <f t="shared" si="191"/>
        <v>On Time</v>
      </c>
      <c r="N1305" s="27" t="str">
        <f t="shared" si="186"/>
        <v>Wizz Air</v>
      </c>
      <c r="O1305" s="3" t="s">
        <v>1385</v>
      </c>
      <c r="P1305" s="20">
        <f t="shared" si="187"/>
        <v>0</v>
      </c>
      <c r="Q1305" s="3" t="s">
        <v>1385</v>
      </c>
      <c r="R1305" s="23" t="str">
        <f t="shared" si="188"/>
        <v>Wednesday</v>
      </c>
      <c r="S1305" s="3" t="s">
        <v>1385</v>
      </c>
      <c r="T1305" s="23" t="s">
        <v>13</v>
      </c>
      <c r="U1305" s="3" t="s">
        <v>1385</v>
      </c>
      <c r="AO1305" s="15"/>
      <c r="AP1305" s="15"/>
      <c r="AQ1305" s="15"/>
      <c r="AR1305" s="23"/>
      <c r="AS1305" s="15"/>
      <c r="AT1305" s="15"/>
      <c r="AU1305" s="23"/>
      <c r="AV1305" s="23"/>
    </row>
    <row r="1306" spans="1:48" x14ac:dyDescent="0.25">
      <c r="A1306" t="s">
        <v>693</v>
      </c>
      <c r="B1306" t="s">
        <v>85</v>
      </c>
      <c r="C1306" s="10">
        <v>-21</v>
      </c>
      <c r="D1306" t="s">
        <v>1212</v>
      </c>
      <c r="E1306" s="2">
        <f t="shared" si="190"/>
        <v>46225</v>
      </c>
      <c r="F1306" s="3">
        <f t="shared" si="189"/>
        <v>4.027777777777778E-2</v>
      </c>
      <c r="G1306" t="s">
        <v>15</v>
      </c>
      <c r="H1306" t="s">
        <v>16</v>
      </c>
      <c r="I1306" t="s">
        <v>89</v>
      </c>
      <c r="J1306" s="2">
        <v>46225</v>
      </c>
      <c r="K1306" s="1">
        <v>5.2083333333333336E-2</v>
      </c>
      <c r="L1306" s="10">
        <f t="shared" si="185"/>
        <v>17</v>
      </c>
      <c r="M1306" s="1" t="str">
        <f t="shared" si="191"/>
        <v>On Time</v>
      </c>
      <c r="N1306" s="27" t="str">
        <f t="shared" si="186"/>
        <v>Ryanair</v>
      </c>
      <c r="O1306" s="3" t="s">
        <v>1385</v>
      </c>
      <c r="P1306" s="20">
        <f t="shared" si="187"/>
        <v>0</v>
      </c>
      <c r="Q1306" s="3" t="s">
        <v>1385</v>
      </c>
      <c r="R1306" s="23" t="str">
        <f t="shared" si="188"/>
        <v>Wednesday</v>
      </c>
      <c r="S1306" s="3" t="s">
        <v>1385</v>
      </c>
      <c r="T1306" s="23" t="s">
        <v>85</v>
      </c>
      <c r="U1306" s="3" t="s">
        <v>1385</v>
      </c>
      <c r="AO1306" s="15"/>
      <c r="AP1306" s="15"/>
      <c r="AQ1306" s="15"/>
      <c r="AR1306" s="23"/>
      <c r="AS1306" s="15"/>
      <c r="AT1306" s="15"/>
      <c r="AU1306" s="23"/>
      <c r="AV1306" s="23"/>
    </row>
    <row r="1307" spans="1:48" x14ac:dyDescent="0.25">
      <c r="A1307" t="s">
        <v>36</v>
      </c>
      <c r="B1307" t="s">
        <v>7</v>
      </c>
      <c r="C1307" s="10">
        <v>-12</v>
      </c>
      <c r="D1307" t="s">
        <v>279</v>
      </c>
      <c r="E1307" s="2">
        <f t="shared" si="190"/>
        <v>46225</v>
      </c>
      <c r="F1307" s="3">
        <f t="shared" si="189"/>
        <v>4.7916666666666663E-2</v>
      </c>
      <c r="G1307" t="s">
        <v>38</v>
      </c>
      <c r="H1307" t="s">
        <v>39</v>
      </c>
      <c r="I1307" t="s">
        <v>11</v>
      </c>
      <c r="J1307" s="2">
        <v>46225</v>
      </c>
      <c r="K1307" s="1">
        <v>5.9027777777777783E-2</v>
      </c>
      <c r="L1307" s="10">
        <f t="shared" si="185"/>
        <v>16.000000000000014</v>
      </c>
      <c r="M1307" s="1" t="str">
        <f t="shared" si="191"/>
        <v>On Time</v>
      </c>
      <c r="N1307" s="27" t="str">
        <f t="shared" si="186"/>
        <v>airBaltic</v>
      </c>
      <c r="O1307" s="3" t="s">
        <v>1385</v>
      </c>
      <c r="P1307" s="20">
        <f t="shared" si="187"/>
        <v>1</v>
      </c>
      <c r="Q1307" s="3" t="s">
        <v>1385</v>
      </c>
      <c r="R1307" s="23" t="str">
        <f t="shared" si="188"/>
        <v>Wednesday</v>
      </c>
      <c r="S1307" s="3" t="s">
        <v>1385</v>
      </c>
      <c r="T1307" s="23" t="s">
        <v>7</v>
      </c>
      <c r="U1307" s="3" t="s">
        <v>1385</v>
      </c>
      <c r="AO1307" s="15"/>
      <c r="AP1307" s="15"/>
      <c r="AQ1307" s="15"/>
      <c r="AR1307" s="23"/>
      <c r="AS1307" s="15"/>
      <c r="AT1307" s="15"/>
      <c r="AU1307" s="23"/>
      <c r="AV1307" s="23"/>
    </row>
    <row r="1308" spans="1:48" x14ac:dyDescent="0.25">
      <c r="A1308" t="s">
        <v>40</v>
      </c>
      <c r="B1308" t="s">
        <v>41</v>
      </c>
      <c r="C1308" s="10">
        <v>-24</v>
      </c>
      <c r="D1308" t="s">
        <v>33</v>
      </c>
      <c r="E1308" s="2">
        <f t="shared" si="190"/>
        <v>46225</v>
      </c>
      <c r="F1308" s="3">
        <f t="shared" si="189"/>
        <v>6.3888888888888884E-2</v>
      </c>
      <c r="G1308" t="s">
        <v>43</v>
      </c>
      <c r="H1308" t="s">
        <v>44</v>
      </c>
      <c r="I1308" t="s">
        <v>158</v>
      </c>
      <c r="J1308" s="2">
        <v>46225</v>
      </c>
      <c r="K1308" s="1">
        <v>5.9027777777777783E-2</v>
      </c>
      <c r="L1308" s="10">
        <f t="shared" si="185"/>
        <v>-6.9999999999999849</v>
      </c>
      <c r="M1308" s="1" t="str">
        <f t="shared" si="191"/>
        <v>On Time</v>
      </c>
      <c r="N1308" s="27" t="str">
        <f t="shared" si="186"/>
        <v>SAS</v>
      </c>
      <c r="O1308" s="3" t="s">
        <v>1385</v>
      </c>
      <c r="P1308" s="20">
        <f t="shared" si="187"/>
        <v>1</v>
      </c>
      <c r="Q1308" s="3" t="s">
        <v>1385</v>
      </c>
      <c r="R1308" s="23" t="str">
        <f t="shared" si="188"/>
        <v>Wednesday</v>
      </c>
      <c r="S1308" s="3" t="s">
        <v>1385</v>
      </c>
      <c r="T1308" s="23" t="s">
        <v>41</v>
      </c>
      <c r="U1308" s="3" t="s">
        <v>1385</v>
      </c>
      <c r="AO1308" s="15"/>
      <c r="AP1308" s="15"/>
      <c r="AQ1308" s="15"/>
      <c r="AR1308" s="23"/>
      <c r="AS1308" s="15"/>
      <c r="AT1308" s="15"/>
      <c r="AU1308" s="23"/>
      <c r="AV1308" s="23"/>
    </row>
    <row r="1309" spans="1:48" x14ac:dyDescent="0.25">
      <c r="A1309" t="s">
        <v>476</v>
      </c>
      <c r="B1309" t="s">
        <v>477</v>
      </c>
      <c r="C1309" s="10">
        <v>-17</v>
      </c>
      <c r="D1309" t="s">
        <v>1213</v>
      </c>
      <c r="E1309" s="2">
        <f t="shared" si="190"/>
        <v>46225</v>
      </c>
      <c r="F1309" s="3">
        <f t="shared" si="189"/>
        <v>8.7500000000000008E-2</v>
      </c>
      <c r="G1309" t="s">
        <v>106</v>
      </c>
      <c r="H1309" t="s">
        <v>107</v>
      </c>
      <c r="I1309" t="s">
        <v>83</v>
      </c>
      <c r="J1309" s="2">
        <v>46225</v>
      </c>
      <c r="K1309" s="1">
        <v>9.0277777777777776E-2</v>
      </c>
      <c r="L1309" s="10">
        <f t="shared" si="185"/>
        <v>3.9999999999999858</v>
      </c>
      <c r="M1309" s="1" t="str">
        <f t="shared" si="191"/>
        <v>On Time</v>
      </c>
      <c r="N1309" s="27" t="e">
        <f t="shared" si="186"/>
        <v>#N/A</v>
      </c>
      <c r="O1309" s="3" t="s">
        <v>1385</v>
      </c>
      <c r="P1309" s="20">
        <f t="shared" si="187"/>
        <v>2</v>
      </c>
      <c r="Q1309" s="3" t="s">
        <v>1385</v>
      </c>
      <c r="R1309" s="23" t="str">
        <f t="shared" si="188"/>
        <v>Wednesday</v>
      </c>
      <c r="S1309" s="3" t="s">
        <v>1385</v>
      </c>
      <c r="T1309" s="23" t="s">
        <v>477</v>
      </c>
      <c r="U1309" s="3" t="s">
        <v>1385</v>
      </c>
      <c r="AO1309" s="15"/>
      <c r="AP1309" s="15"/>
      <c r="AQ1309" s="15"/>
      <c r="AR1309" s="23"/>
      <c r="AS1309" s="15"/>
      <c r="AT1309" s="15"/>
      <c r="AU1309" s="23"/>
      <c r="AV1309" s="23"/>
    </row>
    <row r="1310" spans="1:48" x14ac:dyDescent="0.25">
      <c r="A1310" t="s">
        <v>54</v>
      </c>
      <c r="B1310" t="s">
        <v>55</v>
      </c>
      <c r="C1310" s="10">
        <v>-11</v>
      </c>
      <c r="D1310" t="s">
        <v>1214</v>
      </c>
      <c r="E1310" s="2">
        <f t="shared" si="190"/>
        <v>46225</v>
      </c>
      <c r="F1310" s="3">
        <f t="shared" si="189"/>
        <v>0.31944444444444448</v>
      </c>
      <c r="G1310" t="s">
        <v>57</v>
      </c>
      <c r="H1310" t="s">
        <v>58</v>
      </c>
      <c r="I1310" t="s">
        <v>59</v>
      </c>
      <c r="J1310" s="2">
        <v>46225</v>
      </c>
      <c r="K1310" s="1">
        <v>0.31805555555555554</v>
      </c>
      <c r="L1310" s="10">
        <f t="shared" si="185"/>
        <v>-2.0000000000000728</v>
      </c>
      <c r="M1310" s="1" t="str">
        <f t="shared" si="191"/>
        <v>On Time</v>
      </c>
      <c r="N1310" s="27" t="e">
        <f t="shared" si="186"/>
        <v>#N/A</v>
      </c>
      <c r="O1310" s="3" t="s">
        <v>1385</v>
      </c>
      <c r="P1310" s="20">
        <f t="shared" si="187"/>
        <v>7</v>
      </c>
      <c r="Q1310" s="3" t="s">
        <v>1385</v>
      </c>
      <c r="R1310" s="23" t="str">
        <f t="shared" si="188"/>
        <v>Wednesday</v>
      </c>
      <c r="S1310" s="3" t="s">
        <v>1385</v>
      </c>
      <c r="T1310" s="23" t="s">
        <v>55</v>
      </c>
      <c r="U1310" s="3" t="s">
        <v>1385</v>
      </c>
      <c r="AO1310" s="15"/>
      <c r="AP1310" s="15"/>
      <c r="AQ1310" s="15"/>
      <c r="AR1310" s="23"/>
      <c r="AS1310" s="15"/>
      <c r="AT1310" s="15"/>
      <c r="AU1310" s="23"/>
      <c r="AV1310" s="23"/>
    </row>
    <row r="1311" spans="1:48" x14ac:dyDescent="0.25">
      <c r="A1311" t="s">
        <v>1215</v>
      </c>
      <c r="B1311" t="s">
        <v>117</v>
      </c>
      <c r="C1311" s="10">
        <v>3</v>
      </c>
      <c r="D1311" t="s">
        <v>1216</v>
      </c>
      <c r="E1311" s="2">
        <f t="shared" si="190"/>
        <v>46225</v>
      </c>
      <c r="F1311" s="3">
        <f t="shared" si="189"/>
        <v>0.32361111111111113</v>
      </c>
      <c r="G1311" t="s">
        <v>76</v>
      </c>
      <c r="H1311" t="s">
        <v>77</v>
      </c>
      <c r="I1311" t="s">
        <v>83</v>
      </c>
      <c r="J1311" s="2">
        <v>46225</v>
      </c>
      <c r="K1311" s="1">
        <v>0.33124999999999999</v>
      </c>
      <c r="L1311" s="10">
        <f t="shared" si="185"/>
        <v>10.999999999999961</v>
      </c>
      <c r="M1311" s="1" t="str">
        <f t="shared" si="191"/>
        <v>On Time</v>
      </c>
      <c r="N1311" s="27" t="str">
        <f t="shared" si="186"/>
        <v>Heston Airlines</v>
      </c>
      <c r="O1311" s="3" t="s">
        <v>1385</v>
      </c>
      <c r="P1311" s="20">
        <f t="shared" si="187"/>
        <v>7</v>
      </c>
      <c r="Q1311" s="3" t="s">
        <v>1385</v>
      </c>
      <c r="R1311" s="23" t="str">
        <f t="shared" si="188"/>
        <v>Wednesday</v>
      </c>
      <c r="S1311" s="3" t="s">
        <v>1385</v>
      </c>
      <c r="T1311" s="23" t="s">
        <v>117</v>
      </c>
      <c r="U1311" s="3" t="s">
        <v>1385</v>
      </c>
      <c r="AO1311" s="15"/>
      <c r="AP1311" s="15"/>
      <c r="AQ1311" s="15"/>
      <c r="AR1311" s="23"/>
      <c r="AS1311" s="15"/>
      <c r="AT1311" s="15"/>
      <c r="AU1311" s="23"/>
      <c r="AV1311" s="23"/>
    </row>
    <row r="1312" spans="1:48" x14ac:dyDescent="0.25">
      <c r="A1312" t="s">
        <v>60</v>
      </c>
      <c r="B1312" t="s">
        <v>7</v>
      </c>
      <c r="C1312" s="10">
        <v>-592</v>
      </c>
      <c r="D1312" t="s">
        <v>358</v>
      </c>
      <c r="E1312" s="2">
        <f t="shared" si="190"/>
        <v>46225</v>
      </c>
      <c r="F1312" s="3">
        <f t="shared" si="189"/>
        <v>0.75902777777777775</v>
      </c>
      <c r="G1312" t="s">
        <v>9</v>
      </c>
      <c r="H1312" t="s">
        <v>10</v>
      </c>
      <c r="I1312" t="s">
        <v>11</v>
      </c>
      <c r="J1312" s="2">
        <v>46225</v>
      </c>
      <c r="K1312" s="1">
        <v>0.3611111111111111</v>
      </c>
      <c r="L1312" s="10">
        <f t="shared" si="185"/>
        <v>-573</v>
      </c>
      <c r="M1312" s="1" t="str">
        <f t="shared" si="191"/>
        <v>Delayed</v>
      </c>
      <c r="N1312" s="27" t="str">
        <f t="shared" si="186"/>
        <v>airBaltic</v>
      </c>
      <c r="O1312" s="3" t="s">
        <v>1318</v>
      </c>
      <c r="P1312" s="20">
        <f t="shared" si="187"/>
        <v>18</v>
      </c>
      <c r="Q1312" s="3" t="s">
        <v>1318</v>
      </c>
      <c r="R1312" s="23" t="str">
        <f t="shared" si="188"/>
        <v>Wednesday</v>
      </c>
      <c r="S1312" s="3" t="s">
        <v>1318</v>
      </c>
      <c r="T1312" s="23" t="s">
        <v>7</v>
      </c>
      <c r="U1312" s="3" t="s">
        <v>1318</v>
      </c>
      <c r="AO1312" s="15"/>
      <c r="AP1312" s="15"/>
      <c r="AQ1312" s="15"/>
      <c r="AR1312" s="23"/>
      <c r="AS1312" s="15"/>
      <c r="AT1312" s="15"/>
      <c r="AU1312" s="23"/>
      <c r="AV1312" s="23"/>
    </row>
    <row r="1313" spans="1:48" x14ac:dyDescent="0.25">
      <c r="A1313" t="s">
        <v>291</v>
      </c>
      <c r="B1313" t="s">
        <v>13</v>
      </c>
      <c r="C1313" s="10" t="e">
        <f>NA()</f>
        <v>#N/A</v>
      </c>
      <c r="D1313" t="s">
        <v>377</v>
      </c>
      <c r="E1313" s="2">
        <f t="shared" si="190"/>
        <v>46225</v>
      </c>
      <c r="F1313" s="3" t="e">
        <f t="shared" si="189"/>
        <v>#N/A</v>
      </c>
      <c r="G1313" t="s">
        <v>293</v>
      </c>
      <c r="H1313" t="s">
        <v>294</v>
      </c>
      <c r="I1313" t="s">
        <v>123</v>
      </c>
      <c r="J1313" s="2">
        <v>46225</v>
      </c>
      <c r="K1313" s="1">
        <v>0.36805555555555558</v>
      </c>
      <c r="L1313" s="10" t="e">
        <f t="shared" si="185"/>
        <v>#N/A</v>
      </c>
      <c r="M1313" s="1" t="e">
        <f t="shared" si="191"/>
        <v>#N/A</v>
      </c>
      <c r="N1313" s="27" t="str">
        <f t="shared" si="186"/>
        <v>Wizz Air</v>
      </c>
      <c r="O1313" s="3" t="e">
        <v>#N/A</v>
      </c>
      <c r="P1313" s="20" t="e">
        <f t="shared" si="187"/>
        <v>#N/A</v>
      </c>
      <c r="Q1313" s="3" t="e">
        <v>#N/A</v>
      </c>
      <c r="R1313" s="23" t="str">
        <f t="shared" si="188"/>
        <v>Wednesday</v>
      </c>
      <c r="S1313" s="3" t="e">
        <v>#N/A</v>
      </c>
      <c r="T1313" s="23" t="s">
        <v>13</v>
      </c>
      <c r="AO1313" s="15"/>
      <c r="AP1313" s="15"/>
      <c r="AQ1313" s="15"/>
      <c r="AR1313" s="23"/>
      <c r="AS1313" s="15"/>
      <c r="AT1313" s="15"/>
      <c r="AU1313" s="23"/>
      <c r="AV1313" s="23"/>
    </row>
    <row r="1314" spans="1:48" x14ac:dyDescent="0.25">
      <c r="A1314" t="s">
        <v>68</v>
      </c>
      <c r="B1314" t="s">
        <v>69</v>
      </c>
      <c r="C1314" s="10">
        <v>0</v>
      </c>
      <c r="D1314" t="s">
        <v>895</v>
      </c>
      <c r="E1314" s="2">
        <f t="shared" si="190"/>
        <v>46225</v>
      </c>
      <c r="F1314" s="3">
        <f t="shared" si="189"/>
        <v>0.37291666666666662</v>
      </c>
      <c r="G1314" t="s">
        <v>71</v>
      </c>
      <c r="H1314" t="s">
        <v>72</v>
      </c>
      <c r="I1314" t="s">
        <v>73</v>
      </c>
      <c r="J1314" s="2">
        <v>46225</v>
      </c>
      <c r="K1314" s="1">
        <v>0.38541666666666669</v>
      </c>
      <c r="L1314" s="10">
        <f t="shared" si="185"/>
        <v>18.000000000000096</v>
      </c>
      <c r="M1314" s="1" t="str">
        <f t="shared" si="191"/>
        <v>On Time</v>
      </c>
      <c r="N1314" s="27" t="str">
        <f t="shared" si="186"/>
        <v>Finnair</v>
      </c>
      <c r="O1314" s="3" t="s">
        <v>1385</v>
      </c>
      <c r="P1314" s="20">
        <f t="shared" si="187"/>
        <v>8</v>
      </c>
      <c r="Q1314" s="3" t="s">
        <v>1385</v>
      </c>
      <c r="R1314" s="23" t="str">
        <f t="shared" si="188"/>
        <v>Wednesday</v>
      </c>
      <c r="S1314" s="3" t="s">
        <v>1385</v>
      </c>
      <c r="T1314" s="23" t="s">
        <v>69</v>
      </c>
      <c r="U1314" s="3" t="s">
        <v>1385</v>
      </c>
      <c r="AO1314" s="15"/>
      <c r="AP1314" s="15"/>
      <c r="AQ1314" s="15"/>
      <c r="AR1314" s="23"/>
      <c r="AS1314" s="15"/>
      <c r="AT1314" s="15"/>
      <c r="AU1314" s="23"/>
      <c r="AV1314" s="23"/>
    </row>
    <row r="1315" spans="1:48" x14ac:dyDescent="0.25">
      <c r="A1315" t="s">
        <v>74</v>
      </c>
      <c r="B1315" t="s">
        <v>13</v>
      </c>
      <c r="C1315" s="10">
        <v>7</v>
      </c>
      <c r="D1315" t="s">
        <v>1217</v>
      </c>
      <c r="E1315" s="2">
        <f t="shared" si="190"/>
        <v>46225</v>
      </c>
      <c r="F1315" s="3">
        <f t="shared" si="189"/>
        <v>0.36736111111111108</v>
      </c>
      <c r="G1315" t="s">
        <v>76</v>
      </c>
      <c r="H1315" t="s">
        <v>77</v>
      </c>
      <c r="I1315" t="s">
        <v>17</v>
      </c>
      <c r="J1315" s="2">
        <v>46225</v>
      </c>
      <c r="K1315" s="1">
        <v>0.3888888888888889</v>
      </c>
      <c r="L1315" s="10">
        <f t="shared" si="185"/>
        <v>31.00000000000005</v>
      </c>
      <c r="M1315" s="1" t="str">
        <f t="shared" si="191"/>
        <v>On Time</v>
      </c>
      <c r="N1315" s="27" t="str">
        <f t="shared" si="186"/>
        <v>Wizz Air</v>
      </c>
      <c r="O1315" s="3" t="s">
        <v>1385</v>
      </c>
      <c r="P1315" s="20">
        <f t="shared" si="187"/>
        <v>8</v>
      </c>
      <c r="Q1315" s="3" t="s">
        <v>1385</v>
      </c>
      <c r="R1315" s="23" t="str">
        <f t="shared" si="188"/>
        <v>Wednesday</v>
      </c>
      <c r="S1315" s="3" t="s">
        <v>1385</v>
      </c>
      <c r="T1315" s="23" t="s">
        <v>13</v>
      </c>
      <c r="U1315" s="3" t="s">
        <v>1385</v>
      </c>
      <c r="AO1315" s="15"/>
      <c r="AP1315" s="15"/>
      <c r="AQ1315" s="15"/>
      <c r="AR1315" s="23"/>
      <c r="AS1315" s="15"/>
      <c r="AT1315" s="15"/>
      <c r="AU1315" s="23"/>
      <c r="AV1315" s="23"/>
    </row>
    <row r="1316" spans="1:48" x14ac:dyDescent="0.25">
      <c r="A1316" t="s">
        <v>93</v>
      </c>
      <c r="B1316" t="s">
        <v>7</v>
      </c>
      <c r="C1316" s="10">
        <v>-7</v>
      </c>
      <c r="D1316" t="s">
        <v>410</v>
      </c>
      <c r="E1316" s="2">
        <f t="shared" si="190"/>
        <v>46225</v>
      </c>
      <c r="F1316" s="3">
        <f t="shared" si="189"/>
        <v>0.40763888888888888</v>
      </c>
      <c r="G1316" t="s">
        <v>76</v>
      </c>
      <c r="H1316" t="s">
        <v>77</v>
      </c>
      <c r="I1316" t="s">
        <v>11</v>
      </c>
      <c r="J1316" s="2">
        <v>46225</v>
      </c>
      <c r="K1316" s="1">
        <v>0.41666666666666669</v>
      </c>
      <c r="L1316" s="10">
        <f t="shared" si="185"/>
        <v>13.000000000000034</v>
      </c>
      <c r="M1316" s="1" t="str">
        <f t="shared" si="191"/>
        <v>On Time</v>
      </c>
      <c r="N1316" s="27" t="str">
        <f t="shared" si="186"/>
        <v>airBaltic</v>
      </c>
      <c r="O1316" s="3" t="s">
        <v>1385</v>
      </c>
      <c r="P1316" s="20">
        <f t="shared" si="187"/>
        <v>9</v>
      </c>
      <c r="Q1316" s="3" t="s">
        <v>1385</v>
      </c>
      <c r="R1316" s="23" t="str">
        <f t="shared" si="188"/>
        <v>Wednesday</v>
      </c>
      <c r="S1316" s="3" t="s">
        <v>1385</v>
      </c>
      <c r="T1316" s="23" t="s">
        <v>7</v>
      </c>
      <c r="U1316" s="3" t="s">
        <v>1385</v>
      </c>
      <c r="AO1316" s="15"/>
      <c r="AP1316" s="15"/>
      <c r="AQ1316" s="15"/>
      <c r="AR1316" s="23"/>
      <c r="AS1316" s="15"/>
      <c r="AT1316" s="15"/>
      <c r="AU1316" s="23"/>
      <c r="AV1316" s="23"/>
    </row>
    <row r="1317" spans="1:48" x14ac:dyDescent="0.25">
      <c r="A1317" t="s">
        <v>90</v>
      </c>
      <c r="B1317" t="s">
        <v>19</v>
      </c>
      <c r="C1317" s="10">
        <v>-20</v>
      </c>
      <c r="D1317" t="s">
        <v>416</v>
      </c>
      <c r="E1317" s="2">
        <f t="shared" si="190"/>
        <v>46225</v>
      </c>
      <c r="F1317" s="3">
        <f t="shared" si="189"/>
        <v>0.41805555555555557</v>
      </c>
      <c r="G1317" t="s">
        <v>21</v>
      </c>
      <c r="H1317" t="s">
        <v>22</v>
      </c>
      <c r="I1317" t="s">
        <v>143</v>
      </c>
      <c r="J1317" s="2">
        <v>46225</v>
      </c>
      <c r="K1317" s="1">
        <v>0.4201388888888889</v>
      </c>
      <c r="L1317" s="10">
        <f t="shared" si="185"/>
        <v>2.9999999999999893</v>
      </c>
      <c r="M1317" s="1" t="str">
        <f t="shared" si="191"/>
        <v>On Time</v>
      </c>
      <c r="N1317" s="27" t="str">
        <f t="shared" si="186"/>
        <v>LOT</v>
      </c>
      <c r="O1317" s="3" t="s">
        <v>1385</v>
      </c>
      <c r="P1317" s="20">
        <f t="shared" si="187"/>
        <v>10</v>
      </c>
      <c r="Q1317" s="3" t="s">
        <v>1385</v>
      </c>
      <c r="R1317" s="23" t="str">
        <f t="shared" si="188"/>
        <v>Wednesday</v>
      </c>
      <c r="S1317" s="3" t="s">
        <v>1385</v>
      </c>
      <c r="T1317" s="23" t="s">
        <v>19</v>
      </c>
      <c r="U1317" s="3" t="s">
        <v>1385</v>
      </c>
      <c r="AO1317" s="15"/>
      <c r="AP1317" s="15"/>
      <c r="AQ1317" s="15"/>
      <c r="AR1317" s="23"/>
      <c r="AS1317" s="15"/>
      <c r="AT1317" s="15"/>
      <c r="AU1317" s="23"/>
      <c r="AV1317" s="23"/>
    </row>
    <row r="1318" spans="1:48" x14ac:dyDescent="0.25">
      <c r="A1318" t="s">
        <v>95</v>
      </c>
      <c r="B1318" t="s">
        <v>96</v>
      </c>
      <c r="C1318" s="10">
        <v>-27</v>
      </c>
      <c r="D1318" t="s">
        <v>417</v>
      </c>
      <c r="E1318" s="2">
        <f t="shared" si="190"/>
        <v>46225</v>
      </c>
      <c r="F1318" s="3">
        <f t="shared" si="189"/>
        <v>0.44236111111111115</v>
      </c>
      <c r="G1318" t="s">
        <v>98</v>
      </c>
      <c r="H1318" t="s">
        <v>99</v>
      </c>
      <c r="I1318" t="s">
        <v>188</v>
      </c>
      <c r="J1318" s="2">
        <v>46225</v>
      </c>
      <c r="K1318" s="1">
        <v>0.44791666666666669</v>
      </c>
      <c r="L1318" s="10">
        <f t="shared" si="185"/>
        <v>7.9999999999999716</v>
      </c>
      <c r="M1318" s="1" t="str">
        <f t="shared" si="191"/>
        <v>On Time</v>
      </c>
      <c r="N1318" s="27" t="str">
        <f t="shared" si="186"/>
        <v>Turkish Airlines</v>
      </c>
      <c r="O1318" s="3" t="s">
        <v>1385</v>
      </c>
      <c r="P1318" s="20">
        <f t="shared" si="187"/>
        <v>10</v>
      </c>
      <c r="Q1318" s="3" t="s">
        <v>1385</v>
      </c>
      <c r="R1318" s="23" t="str">
        <f t="shared" si="188"/>
        <v>Wednesday</v>
      </c>
      <c r="S1318" s="3" t="s">
        <v>1385</v>
      </c>
      <c r="T1318" s="23" t="s">
        <v>96</v>
      </c>
      <c r="U1318" s="3" t="s">
        <v>1385</v>
      </c>
      <c r="AO1318" s="15"/>
      <c r="AP1318" s="15"/>
      <c r="AQ1318" s="15"/>
      <c r="AR1318" s="23"/>
      <c r="AS1318" s="15"/>
      <c r="AT1318" s="15"/>
      <c r="AU1318" s="23"/>
      <c r="AV1318" s="23"/>
    </row>
    <row r="1319" spans="1:48" x14ac:dyDescent="0.25">
      <c r="A1319" t="s">
        <v>306</v>
      </c>
      <c r="B1319" t="s">
        <v>239</v>
      </c>
      <c r="D1319" t="s">
        <v>696</v>
      </c>
      <c r="E1319" s="2">
        <f t="shared" si="190"/>
        <v>46225</v>
      </c>
      <c r="F1319" s="3">
        <f t="shared" si="189"/>
        <v>0.46180555555555558</v>
      </c>
      <c r="G1319" t="s">
        <v>308</v>
      </c>
      <c r="H1319" t="s">
        <v>309</v>
      </c>
      <c r="I1319" t="s">
        <v>83</v>
      </c>
      <c r="J1319" s="2">
        <v>46225</v>
      </c>
      <c r="K1319" s="1">
        <v>0.45833333333333331</v>
      </c>
      <c r="L1319" s="10">
        <f t="shared" si="185"/>
        <v>-5.0000000000000622</v>
      </c>
      <c r="M1319" s="1" t="str">
        <f t="shared" si="191"/>
        <v>On Time</v>
      </c>
      <c r="N1319" s="27" t="str">
        <f t="shared" si="186"/>
        <v>Eurowings</v>
      </c>
      <c r="O1319" s="3" t="s">
        <v>1385</v>
      </c>
      <c r="P1319" s="20">
        <f t="shared" si="187"/>
        <v>11</v>
      </c>
      <c r="Q1319" s="3" t="s">
        <v>1385</v>
      </c>
      <c r="R1319" s="23" t="str">
        <f t="shared" si="188"/>
        <v>Wednesday</v>
      </c>
      <c r="S1319" s="3" t="s">
        <v>1385</v>
      </c>
      <c r="T1319" s="23" t="s">
        <v>239</v>
      </c>
      <c r="U1319" s="3" t="s">
        <v>1385</v>
      </c>
      <c r="AO1319" s="15"/>
      <c r="AP1319" s="15"/>
      <c r="AQ1319" s="15"/>
      <c r="AR1319" s="23"/>
      <c r="AS1319" s="15"/>
      <c r="AT1319" s="15"/>
      <c r="AU1319" s="23"/>
      <c r="AV1319" s="23"/>
    </row>
    <row r="1320" spans="1:48" x14ac:dyDescent="0.25">
      <c r="A1320" t="s">
        <v>100</v>
      </c>
      <c r="B1320" t="s">
        <v>85</v>
      </c>
      <c r="C1320" s="10">
        <v>-22</v>
      </c>
      <c r="D1320" t="s">
        <v>496</v>
      </c>
      <c r="E1320" s="2">
        <f t="shared" si="190"/>
        <v>46225</v>
      </c>
      <c r="F1320" s="3">
        <f t="shared" si="189"/>
        <v>0.46111111111111108</v>
      </c>
      <c r="G1320" t="s">
        <v>102</v>
      </c>
      <c r="H1320" t="s">
        <v>103</v>
      </c>
      <c r="I1320" t="s">
        <v>162</v>
      </c>
      <c r="J1320" s="2">
        <v>46225</v>
      </c>
      <c r="K1320" s="1">
        <v>0.46527777777777773</v>
      </c>
      <c r="L1320" s="10">
        <f t="shared" si="185"/>
        <v>5.9999999999999787</v>
      </c>
      <c r="M1320" s="1" t="str">
        <f t="shared" si="191"/>
        <v>On Time</v>
      </c>
      <c r="N1320" s="27" t="str">
        <f t="shared" si="186"/>
        <v>Ryanair</v>
      </c>
      <c r="O1320" s="3" t="s">
        <v>1385</v>
      </c>
      <c r="P1320" s="20">
        <f t="shared" si="187"/>
        <v>11</v>
      </c>
      <c r="Q1320" s="3" t="s">
        <v>1385</v>
      </c>
      <c r="R1320" s="23" t="str">
        <f t="shared" si="188"/>
        <v>Wednesday</v>
      </c>
      <c r="S1320" s="3" t="s">
        <v>1385</v>
      </c>
      <c r="T1320" s="23" t="s">
        <v>85</v>
      </c>
      <c r="U1320" s="3" t="s">
        <v>1385</v>
      </c>
      <c r="AO1320" s="15"/>
      <c r="AP1320" s="15"/>
      <c r="AQ1320" s="15"/>
      <c r="AR1320" s="23"/>
      <c r="AS1320" s="15"/>
      <c r="AT1320" s="15"/>
      <c r="AU1320" s="23"/>
      <c r="AV1320" s="23"/>
    </row>
    <row r="1321" spans="1:48" x14ac:dyDescent="0.25">
      <c r="A1321" t="s">
        <v>418</v>
      </c>
      <c r="B1321" t="s">
        <v>85</v>
      </c>
      <c r="C1321" s="10">
        <v>-5</v>
      </c>
      <c r="D1321" t="s">
        <v>859</v>
      </c>
      <c r="E1321" s="2">
        <f t="shared" si="190"/>
        <v>46225</v>
      </c>
      <c r="F1321" s="3">
        <f t="shared" si="189"/>
        <v>0.47152777777777777</v>
      </c>
      <c r="G1321" t="s">
        <v>419</v>
      </c>
      <c r="H1321" t="s">
        <v>420</v>
      </c>
      <c r="I1321" t="s">
        <v>89</v>
      </c>
      <c r="J1321" s="2">
        <v>46225</v>
      </c>
      <c r="K1321" s="1">
        <v>0.4826388888888889</v>
      </c>
      <c r="L1321" s="10">
        <f t="shared" si="185"/>
        <v>16.000000000000021</v>
      </c>
      <c r="M1321" s="1" t="str">
        <f t="shared" si="191"/>
        <v>On Time</v>
      </c>
      <c r="N1321" s="27" t="str">
        <f t="shared" si="186"/>
        <v>Ryanair</v>
      </c>
      <c r="O1321" s="3" t="s">
        <v>1385</v>
      </c>
      <c r="P1321" s="20">
        <f t="shared" si="187"/>
        <v>11</v>
      </c>
      <c r="Q1321" s="3" t="s">
        <v>1385</v>
      </c>
      <c r="R1321" s="23" t="str">
        <f t="shared" si="188"/>
        <v>Wednesday</v>
      </c>
      <c r="S1321" s="3" t="s">
        <v>1385</v>
      </c>
      <c r="T1321" s="23" t="s">
        <v>85</v>
      </c>
      <c r="U1321" s="3" t="s">
        <v>1385</v>
      </c>
      <c r="AO1321" s="15"/>
      <c r="AP1321" s="15"/>
      <c r="AQ1321" s="15"/>
      <c r="AR1321" s="23"/>
      <c r="AS1321" s="15"/>
      <c r="AT1321" s="15"/>
      <c r="AU1321" s="23"/>
      <c r="AV1321" s="23"/>
    </row>
    <row r="1322" spans="1:48" x14ac:dyDescent="0.25">
      <c r="A1322" t="s">
        <v>213</v>
      </c>
      <c r="B1322" t="s">
        <v>85</v>
      </c>
      <c r="C1322" s="10">
        <v>-19</v>
      </c>
      <c r="D1322" t="s">
        <v>998</v>
      </c>
      <c r="E1322" s="2">
        <f t="shared" si="190"/>
        <v>46225</v>
      </c>
      <c r="F1322" s="3">
        <f t="shared" si="189"/>
        <v>0.4909722222222222</v>
      </c>
      <c r="G1322" t="s">
        <v>102</v>
      </c>
      <c r="H1322" t="s">
        <v>115</v>
      </c>
      <c r="I1322" t="s">
        <v>162</v>
      </c>
      <c r="J1322" s="2">
        <v>46225</v>
      </c>
      <c r="K1322" s="1">
        <v>0.49652777777777773</v>
      </c>
      <c r="L1322" s="10">
        <f t="shared" si="185"/>
        <v>7.9999999999999716</v>
      </c>
      <c r="M1322" s="1" t="str">
        <f t="shared" si="191"/>
        <v>On Time</v>
      </c>
      <c r="N1322" s="27" t="str">
        <f t="shared" si="186"/>
        <v>Ryanair</v>
      </c>
      <c r="O1322" s="3" t="s">
        <v>1385</v>
      </c>
      <c r="P1322" s="20">
        <f t="shared" si="187"/>
        <v>11</v>
      </c>
      <c r="Q1322" s="3" t="s">
        <v>1385</v>
      </c>
      <c r="R1322" s="23" t="str">
        <f t="shared" si="188"/>
        <v>Wednesday</v>
      </c>
      <c r="S1322" s="3" t="s">
        <v>1385</v>
      </c>
      <c r="T1322" s="23" t="s">
        <v>85</v>
      </c>
      <c r="U1322" s="3" t="s">
        <v>1385</v>
      </c>
      <c r="AO1322" s="15"/>
      <c r="AP1322" s="15"/>
      <c r="AQ1322" s="15"/>
      <c r="AR1322" s="23"/>
      <c r="AS1322" s="15"/>
      <c r="AT1322" s="15"/>
      <c r="AU1322" s="23"/>
      <c r="AV1322" s="23"/>
    </row>
    <row r="1323" spans="1:48" x14ac:dyDescent="0.25">
      <c r="A1323" t="s">
        <v>319</v>
      </c>
      <c r="B1323" t="s">
        <v>85</v>
      </c>
      <c r="C1323" s="10">
        <v>-27</v>
      </c>
      <c r="D1323" t="s">
        <v>656</v>
      </c>
      <c r="E1323" s="2">
        <f t="shared" si="190"/>
        <v>46225</v>
      </c>
      <c r="F1323" s="3">
        <f t="shared" si="189"/>
        <v>0.49374999999999997</v>
      </c>
      <c r="G1323" t="s">
        <v>15</v>
      </c>
      <c r="H1323" t="s">
        <v>16</v>
      </c>
      <c r="I1323" t="s">
        <v>89</v>
      </c>
      <c r="J1323" s="2">
        <v>46225</v>
      </c>
      <c r="K1323" s="1">
        <v>0.5</v>
      </c>
      <c r="L1323" s="10">
        <f t="shared" si="185"/>
        <v>9.000000000000048</v>
      </c>
      <c r="M1323" s="1" t="str">
        <f t="shared" si="191"/>
        <v>On Time</v>
      </c>
      <c r="N1323" s="27" t="str">
        <f t="shared" si="186"/>
        <v>Ryanair</v>
      </c>
      <c r="O1323" s="3" t="s">
        <v>1385</v>
      </c>
      <c r="P1323" s="20">
        <f t="shared" si="187"/>
        <v>11</v>
      </c>
      <c r="Q1323" s="3" t="s">
        <v>1385</v>
      </c>
      <c r="R1323" s="23" t="str">
        <f t="shared" si="188"/>
        <v>Wednesday</v>
      </c>
      <c r="S1323" s="3" t="s">
        <v>1385</v>
      </c>
      <c r="T1323" s="23" t="s">
        <v>85</v>
      </c>
      <c r="U1323" s="3" t="s">
        <v>1385</v>
      </c>
      <c r="AO1323" s="15"/>
      <c r="AP1323" s="15"/>
      <c r="AQ1323" s="15"/>
      <c r="AR1323" s="23"/>
      <c r="AS1323" s="15"/>
      <c r="AT1323" s="15"/>
      <c r="AU1323" s="23"/>
      <c r="AV1323" s="23"/>
    </row>
    <row r="1324" spans="1:48" x14ac:dyDescent="0.25">
      <c r="A1324" t="s">
        <v>108</v>
      </c>
      <c r="B1324" t="s">
        <v>190</v>
      </c>
      <c r="C1324" s="10">
        <v>-26</v>
      </c>
      <c r="D1324" t="s">
        <v>901</v>
      </c>
      <c r="E1324" s="2">
        <f t="shared" si="190"/>
        <v>46225</v>
      </c>
      <c r="F1324" s="3">
        <f t="shared" si="189"/>
        <v>0.52847222222222223</v>
      </c>
      <c r="G1324" t="s">
        <v>110</v>
      </c>
      <c r="H1324" t="s">
        <v>111</v>
      </c>
      <c r="I1324" t="s">
        <v>67</v>
      </c>
      <c r="J1324" s="2">
        <v>46225</v>
      </c>
      <c r="K1324" s="1">
        <v>0.52777777777777779</v>
      </c>
      <c r="L1324" s="10">
        <f t="shared" si="185"/>
        <v>-0.99999999999999645</v>
      </c>
      <c r="M1324" s="1" t="str">
        <f t="shared" si="191"/>
        <v>On Time</v>
      </c>
      <c r="N1324" s="27" t="str">
        <f t="shared" si="186"/>
        <v>Lufthansa</v>
      </c>
      <c r="O1324" s="3" t="s">
        <v>1385</v>
      </c>
      <c r="P1324" s="20">
        <f t="shared" si="187"/>
        <v>12</v>
      </c>
      <c r="Q1324" s="3" t="s">
        <v>1385</v>
      </c>
      <c r="R1324" s="23" t="str">
        <f t="shared" si="188"/>
        <v>Wednesday</v>
      </c>
      <c r="S1324" s="3" t="s">
        <v>1385</v>
      </c>
      <c r="T1324" s="23" t="s">
        <v>190</v>
      </c>
      <c r="U1324" s="3" t="s">
        <v>1385</v>
      </c>
      <c r="AO1324" s="15"/>
      <c r="AP1324" s="15"/>
      <c r="AQ1324" s="15"/>
      <c r="AR1324" s="23"/>
      <c r="AS1324" s="15"/>
      <c r="AT1324" s="15"/>
      <c r="AU1324" s="23"/>
      <c r="AV1324" s="23"/>
    </row>
    <row r="1325" spans="1:48" x14ac:dyDescent="0.25">
      <c r="A1325" t="s">
        <v>113</v>
      </c>
      <c r="B1325" t="s">
        <v>13</v>
      </c>
      <c r="C1325" s="10" t="e">
        <f>NA()</f>
        <v>#N/A</v>
      </c>
      <c r="D1325" t="s">
        <v>377</v>
      </c>
      <c r="E1325" s="2">
        <f t="shared" si="190"/>
        <v>46225</v>
      </c>
      <c r="F1325" s="3" t="e">
        <f t="shared" si="189"/>
        <v>#N/A</v>
      </c>
      <c r="G1325" t="s">
        <v>102</v>
      </c>
      <c r="H1325" t="s">
        <v>115</v>
      </c>
      <c r="I1325" t="s">
        <v>123</v>
      </c>
      <c r="J1325" s="2">
        <v>46225</v>
      </c>
      <c r="K1325" s="1">
        <v>0.53472222222222221</v>
      </c>
      <c r="L1325" s="10" t="e">
        <f t="shared" si="185"/>
        <v>#N/A</v>
      </c>
      <c r="M1325" s="1" t="e">
        <f t="shared" si="191"/>
        <v>#N/A</v>
      </c>
      <c r="N1325" s="27" t="str">
        <f t="shared" si="186"/>
        <v>Wizz Air</v>
      </c>
      <c r="O1325" s="3" t="e">
        <v>#N/A</v>
      </c>
      <c r="P1325" s="20" t="e">
        <f t="shared" si="187"/>
        <v>#N/A</v>
      </c>
      <c r="Q1325" s="3" t="e">
        <v>#N/A</v>
      </c>
      <c r="R1325" s="23" t="str">
        <f t="shared" si="188"/>
        <v>Wednesday</v>
      </c>
      <c r="S1325" s="3" t="e">
        <v>#N/A</v>
      </c>
      <c r="T1325" s="23" t="s">
        <v>13</v>
      </c>
      <c r="AO1325" s="15"/>
      <c r="AP1325" s="15"/>
      <c r="AQ1325" s="15"/>
      <c r="AR1325" s="23"/>
      <c r="AS1325" s="15"/>
      <c r="AT1325" s="15"/>
      <c r="AU1325" s="23"/>
      <c r="AV1325" s="23"/>
    </row>
    <row r="1326" spans="1:48" x14ac:dyDescent="0.25">
      <c r="A1326" t="s">
        <v>121</v>
      </c>
      <c r="B1326" t="s">
        <v>69</v>
      </c>
      <c r="C1326" s="10">
        <v>-6</v>
      </c>
      <c r="D1326" t="s">
        <v>1218</v>
      </c>
      <c r="E1326" s="2">
        <f t="shared" si="190"/>
        <v>46225</v>
      </c>
      <c r="F1326" s="3">
        <f t="shared" si="189"/>
        <v>0.53611111111111109</v>
      </c>
      <c r="G1326" t="s">
        <v>71</v>
      </c>
      <c r="H1326" t="s">
        <v>72</v>
      </c>
      <c r="I1326" t="s">
        <v>73</v>
      </c>
      <c r="J1326" s="2">
        <v>46225</v>
      </c>
      <c r="K1326" s="1">
        <v>0.54166666666666663</v>
      </c>
      <c r="L1326" s="10">
        <f t="shared" si="185"/>
        <v>7.9999999999999716</v>
      </c>
      <c r="M1326" s="1" t="str">
        <f t="shared" si="191"/>
        <v>On Time</v>
      </c>
      <c r="N1326" s="27" t="str">
        <f t="shared" si="186"/>
        <v>Finnair</v>
      </c>
      <c r="O1326" s="3" t="s">
        <v>1385</v>
      </c>
      <c r="P1326" s="20">
        <f t="shared" si="187"/>
        <v>12</v>
      </c>
      <c r="Q1326" s="3" t="s">
        <v>1385</v>
      </c>
      <c r="R1326" s="23" t="str">
        <f t="shared" si="188"/>
        <v>Wednesday</v>
      </c>
      <c r="S1326" s="3" t="s">
        <v>1385</v>
      </c>
      <c r="T1326" s="23" t="s">
        <v>69</v>
      </c>
      <c r="U1326" s="3" t="s">
        <v>1385</v>
      </c>
      <c r="AO1326" s="15"/>
      <c r="AP1326" s="15"/>
      <c r="AQ1326" s="15"/>
      <c r="AR1326" s="23"/>
      <c r="AS1326" s="15"/>
      <c r="AT1326" s="15"/>
      <c r="AU1326" s="23"/>
      <c r="AV1326" s="23"/>
    </row>
    <row r="1327" spans="1:48" x14ac:dyDescent="0.25">
      <c r="A1327" t="s">
        <v>427</v>
      </c>
      <c r="B1327" t="s">
        <v>117</v>
      </c>
      <c r="C1327" s="10">
        <v>-12</v>
      </c>
      <c r="D1327" t="s">
        <v>900</v>
      </c>
      <c r="E1327" s="2">
        <f t="shared" si="190"/>
        <v>46225</v>
      </c>
      <c r="F1327" s="3">
        <f t="shared" si="189"/>
        <v>0.53749999999999998</v>
      </c>
      <c r="G1327" t="s">
        <v>119</v>
      </c>
      <c r="H1327" t="s">
        <v>120</v>
      </c>
      <c r="I1327" t="s">
        <v>67</v>
      </c>
      <c r="J1327" s="2">
        <v>46225</v>
      </c>
      <c r="K1327" s="1">
        <v>0.54722222222222217</v>
      </c>
      <c r="L1327" s="10">
        <f t="shared" si="185"/>
        <v>13.99999999999995</v>
      </c>
      <c r="M1327" s="1" t="str">
        <f t="shared" si="191"/>
        <v>On Time</v>
      </c>
      <c r="N1327" s="27" t="str">
        <f t="shared" si="186"/>
        <v>Heston Airlines</v>
      </c>
      <c r="O1327" s="3" t="s">
        <v>1385</v>
      </c>
      <c r="P1327" s="20">
        <f t="shared" si="187"/>
        <v>12</v>
      </c>
      <c r="Q1327" s="3" t="s">
        <v>1385</v>
      </c>
      <c r="R1327" s="23" t="str">
        <f t="shared" si="188"/>
        <v>Wednesday</v>
      </c>
      <c r="S1327" s="3" t="s">
        <v>1385</v>
      </c>
      <c r="T1327" s="23" t="s">
        <v>117</v>
      </c>
      <c r="U1327" s="3" t="s">
        <v>1385</v>
      </c>
      <c r="AO1327" s="15"/>
      <c r="AP1327" s="15"/>
      <c r="AQ1327" s="15"/>
      <c r="AR1327" s="23"/>
      <c r="AS1327" s="15"/>
      <c r="AT1327" s="15"/>
      <c r="AU1327" s="23"/>
      <c r="AV1327" s="23"/>
    </row>
    <row r="1328" spans="1:48" x14ac:dyDescent="0.25">
      <c r="A1328" t="s">
        <v>372</v>
      </c>
      <c r="B1328" t="s">
        <v>85</v>
      </c>
      <c r="C1328" s="10">
        <v>-10</v>
      </c>
      <c r="D1328" t="s">
        <v>652</v>
      </c>
      <c r="E1328" s="2">
        <f t="shared" si="190"/>
        <v>46225</v>
      </c>
      <c r="F1328" s="3">
        <f t="shared" si="189"/>
        <v>0.53888888888888886</v>
      </c>
      <c r="G1328" t="s">
        <v>368</v>
      </c>
      <c r="H1328" t="s">
        <v>369</v>
      </c>
      <c r="I1328" t="s">
        <v>89</v>
      </c>
      <c r="J1328" s="2">
        <v>46225</v>
      </c>
      <c r="K1328" s="1">
        <v>0.54861111111111105</v>
      </c>
      <c r="L1328" s="10">
        <f t="shared" si="185"/>
        <v>13.99999999999995</v>
      </c>
      <c r="M1328" s="1" t="str">
        <f t="shared" si="191"/>
        <v>On Time</v>
      </c>
      <c r="N1328" s="27" t="str">
        <f t="shared" si="186"/>
        <v>Ryanair</v>
      </c>
      <c r="O1328" s="3" t="s">
        <v>1385</v>
      </c>
      <c r="P1328" s="20">
        <f t="shared" si="187"/>
        <v>12</v>
      </c>
      <c r="Q1328" s="3" t="s">
        <v>1385</v>
      </c>
      <c r="R1328" s="23" t="str">
        <f t="shared" si="188"/>
        <v>Wednesday</v>
      </c>
      <c r="S1328" s="3" t="s">
        <v>1385</v>
      </c>
      <c r="T1328" s="23" t="s">
        <v>85</v>
      </c>
      <c r="U1328" s="3" t="s">
        <v>1385</v>
      </c>
      <c r="AO1328" s="15"/>
      <c r="AP1328" s="15"/>
      <c r="AQ1328" s="15"/>
      <c r="AR1328" s="23"/>
      <c r="AS1328" s="15"/>
      <c r="AT1328" s="15"/>
      <c r="AU1328" s="23"/>
      <c r="AV1328" s="23"/>
    </row>
    <row r="1329" spans="1:48" x14ac:dyDescent="0.25">
      <c r="A1329" t="s">
        <v>133</v>
      </c>
      <c r="B1329" t="s">
        <v>7</v>
      </c>
      <c r="C1329" s="10">
        <v>-34</v>
      </c>
      <c r="D1329" t="s">
        <v>1121</v>
      </c>
      <c r="E1329" s="2">
        <f t="shared" si="190"/>
        <v>46225</v>
      </c>
      <c r="F1329" s="3">
        <f t="shared" si="189"/>
        <v>0.56319444444444444</v>
      </c>
      <c r="G1329" t="s">
        <v>135</v>
      </c>
      <c r="H1329" t="s">
        <v>136</v>
      </c>
      <c r="I1329" t="s">
        <v>11</v>
      </c>
      <c r="J1329" s="2">
        <v>46225</v>
      </c>
      <c r="K1329" s="1">
        <v>0.55902777777777779</v>
      </c>
      <c r="L1329" s="10">
        <f t="shared" si="185"/>
        <v>-5.9999999999999787</v>
      </c>
      <c r="M1329" s="1" t="str">
        <f t="shared" si="191"/>
        <v>On Time</v>
      </c>
      <c r="N1329" s="27" t="str">
        <f t="shared" si="186"/>
        <v>airBaltic</v>
      </c>
      <c r="O1329" s="3" t="s">
        <v>1385</v>
      </c>
      <c r="P1329" s="20">
        <f t="shared" si="187"/>
        <v>13</v>
      </c>
      <c r="Q1329" s="3" t="s">
        <v>1385</v>
      </c>
      <c r="R1329" s="23" t="str">
        <f t="shared" si="188"/>
        <v>Wednesday</v>
      </c>
      <c r="S1329" s="3" t="s">
        <v>1385</v>
      </c>
      <c r="T1329" s="23" t="s">
        <v>7</v>
      </c>
      <c r="U1329" s="3" t="s">
        <v>1385</v>
      </c>
      <c r="AO1329" s="15"/>
      <c r="AP1329" s="15"/>
      <c r="AQ1329" s="15"/>
      <c r="AR1329" s="23"/>
      <c r="AS1329" s="15"/>
      <c r="AT1329" s="15"/>
      <c r="AU1329" s="23"/>
      <c r="AV1329" s="23"/>
    </row>
    <row r="1330" spans="1:48" x14ac:dyDescent="0.25">
      <c r="A1330" t="s">
        <v>123</v>
      </c>
      <c r="B1330" t="s">
        <v>124</v>
      </c>
      <c r="D1330" t="s">
        <v>322</v>
      </c>
      <c r="E1330" s="2">
        <f t="shared" si="190"/>
        <v>46225</v>
      </c>
      <c r="F1330" s="3">
        <f t="shared" si="189"/>
        <v>0.54375000000000007</v>
      </c>
      <c r="G1330" t="s">
        <v>119</v>
      </c>
      <c r="H1330" t="s">
        <v>120</v>
      </c>
      <c r="I1330" t="s">
        <v>126</v>
      </c>
      <c r="J1330" s="2">
        <v>46225</v>
      </c>
      <c r="K1330" s="1">
        <v>0.55972222222222223</v>
      </c>
      <c r="L1330" s="10">
        <f t="shared" si="185"/>
        <v>22.999999999999918</v>
      </c>
      <c r="M1330" s="1" t="str">
        <f t="shared" si="191"/>
        <v>On Time</v>
      </c>
      <c r="N1330" s="27" t="str">
        <f t="shared" si="186"/>
        <v>GetJet Airlines</v>
      </c>
      <c r="O1330" s="3" t="s">
        <v>1385</v>
      </c>
      <c r="P1330" s="20">
        <f t="shared" si="187"/>
        <v>13</v>
      </c>
      <c r="Q1330" s="3" t="s">
        <v>1385</v>
      </c>
      <c r="R1330" s="23" t="str">
        <f t="shared" si="188"/>
        <v>Wednesday</v>
      </c>
      <c r="S1330" s="3" t="s">
        <v>1385</v>
      </c>
      <c r="T1330" s="23" t="s">
        <v>124</v>
      </c>
      <c r="U1330" s="3" t="s">
        <v>1385</v>
      </c>
      <c r="AO1330" s="15"/>
      <c r="AP1330" s="15"/>
      <c r="AQ1330" s="15"/>
      <c r="AR1330" s="23"/>
      <c r="AS1330" s="15"/>
      <c r="AT1330" s="15"/>
      <c r="AU1330" s="23"/>
      <c r="AV1330" s="23"/>
    </row>
    <row r="1331" spans="1:48" x14ac:dyDescent="0.25">
      <c r="A1331" t="s">
        <v>245</v>
      </c>
      <c r="B1331" t="s">
        <v>124</v>
      </c>
      <c r="D1331" t="s">
        <v>710</v>
      </c>
      <c r="E1331" s="2">
        <f t="shared" si="190"/>
        <v>46225</v>
      </c>
      <c r="F1331" s="3">
        <f t="shared" si="189"/>
        <v>0.55833333333333335</v>
      </c>
      <c r="G1331" t="s">
        <v>247</v>
      </c>
      <c r="H1331" t="s">
        <v>248</v>
      </c>
      <c r="I1331" t="s">
        <v>1072</v>
      </c>
      <c r="J1331" s="2">
        <v>46225</v>
      </c>
      <c r="K1331" s="1">
        <v>0.56388888888888888</v>
      </c>
      <c r="L1331" s="10">
        <f t="shared" si="185"/>
        <v>7.9999999999999716</v>
      </c>
      <c r="M1331" s="1" t="str">
        <f t="shared" si="191"/>
        <v>On Time</v>
      </c>
      <c r="N1331" s="27" t="str">
        <f t="shared" si="186"/>
        <v>GetJet Airlines</v>
      </c>
      <c r="O1331" s="3" t="s">
        <v>1385</v>
      </c>
      <c r="P1331" s="20">
        <f t="shared" si="187"/>
        <v>13</v>
      </c>
      <c r="Q1331" s="3" t="s">
        <v>1385</v>
      </c>
      <c r="R1331" s="23" t="str">
        <f t="shared" si="188"/>
        <v>Wednesday</v>
      </c>
      <c r="S1331" s="3" t="s">
        <v>1385</v>
      </c>
      <c r="T1331" s="23" t="s">
        <v>124</v>
      </c>
      <c r="U1331" s="3" t="s">
        <v>1385</v>
      </c>
      <c r="AO1331" s="15"/>
      <c r="AP1331" s="15"/>
      <c r="AQ1331" s="15"/>
      <c r="AR1331" s="23"/>
      <c r="AS1331" s="15"/>
      <c r="AT1331" s="15"/>
      <c r="AU1331" s="23"/>
      <c r="AV1331" s="23"/>
    </row>
    <row r="1332" spans="1:48" x14ac:dyDescent="0.25">
      <c r="A1332" t="s">
        <v>254</v>
      </c>
      <c r="B1332" t="s">
        <v>85</v>
      </c>
      <c r="C1332" s="10">
        <v>-19</v>
      </c>
      <c r="D1332" t="s">
        <v>1146</v>
      </c>
      <c r="E1332" s="2">
        <f t="shared" si="190"/>
        <v>46225</v>
      </c>
      <c r="F1332" s="3">
        <f t="shared" si="189"/>
        <v>0.57013888888888886</v>
      </c>
      <c r="G1332" t="s">
        <v>256</v>
      </c>
      <c r="H1332" t="s">
        <v>257</v>
      </c>
      <c r="I1332" t="s">
        <v>89</v>
      </c>
      <c r="J1332" s="2">
        <v>46225</v>
      </c>
      <c r="K1332" s="1">
        <v>0.57638888888888895</v>
      </c>
      <c r="L1332" s="10">
        <f t="shared" si="185"/>
        <v>9.0000000000001279</v>
      </c>
      <c r="M1332" s="1" t="str">
        <f t="shared" si="191"/>
        <v>On Time</v>
      </c>
      <c r="N1332" s="27" t="str">
        <f t="shared" si="186"/>
        <v>Ryanair</v>
      </c>
      <c r="O1332" s="3" t="s">
        <v>1385</v>
      </c>
      <c r="P1332" s="20">
        <f t="shared" si="187"/>
        <v>13</v>
      </c>
      <c r="Q1332" s="3" t="s">
        <v>1385</v>
      </c>
      <c r="R1332" s="23" t="str">
        <f t="shared" si="188"/>
        <v>Wednesday</v>
      </c>
      <c r="S1332" s="3" t="s">
        <v>1385</v>
      </c>
      <c r="T1332" s="23" t="s">
        <v>85</v>
      </c>
      <c r="U1332" s="3" t="s">
        <v>1385</v>
      </c>
      <c r="AO1332" s="15"/>
      <c r="AP1332" s="15"/>
      <c r="AQ1332" s="15"/>
      <c r="AR1332" s="23"/>
      <c r="AS1332" s="15"/>
      <c r="AT1332" s="15"/>
      <c r="AU1332" s="23"/>
      <c r="AV1332" s="23"/>
    </row>
    <row r="1333" spans="1:48" x14ac:dyDescent="0.25">
      <c r="A1333" t="s">
        <v>141</v>
      </c>
      <c r="B1333" t="s">
        <v>19</v>
      </c>
      <c r="C1333" s="10">
        <v>-21</v>
      </c>
      <c r="D1333" t="s">
        <v>328</v>
      </c>
      <c r="E1333" s="2">
        <f t="shared" si="190"/>
        <v>46225</v>
      </c>
      <c r="F1333" s="3">
        <f t="shared" si="189"/>
        <v>0.57430555555555551</v>
      </c>
      <c r="G1333" t="s">
        <v>21</v>
      </c>
      <c r="H1333" t="s">
        <v>22</v>
      </c>
      <c r="I1333" t="s">
        <v>303</v>
      </c>
      <c r="J1333" s="2">
        <v>46225</v>
      </c>
      <c r="K1333" s="1">
        <v>0.57638888888888895</v>
      </c>
      <c r="L1333" s="10">
        <f t="shared" si="185"/>
        <v>3.0000000000001492</v>
      </c>
      <c r="M1333" s="1" t="str">
        <f t="shared" si="191"/>
        <v>On Time</v>
      </c>
      <c r="N1333" s="27" t="str">
        <f t="shared" si="186"/>
        <v>LOT</v>
      </c>
      <c r="O1333" s="3" t="s">
        <v>1385</v>
      </c>
      <c r="P1333" s="20">
        <f t="shared" si="187"/>
        <v>13</v>
      </c>
      <c r="Q1333" s="3" t="s">
        <v>1385</v>
      </c>
      <c r="R1333" s="23" t="str">
        <f t="shared" si="188"/>
        <v>Wednesday</v>
      </c>
      <c r="S1333" s="3" t="s">
        <v>1385</v>
      </c>
      <c r="T1333" s="23" t="s">
        <v>19</v>
      </c>
      <c r="U1333" s="3" t="s">
        <v>1385</v>
      </c>
      <c r="AO1333" s="15"/>
      <c r="AP1333" s="15"/>
      <c r="AQ1333" s="15"/>
      <c r="AR1333" s="23"/>
      <c r="AS1333" s="15"/>
      <c r="AT1333" s="15"/>
      <c r="AU1333" s="23"/>
      <c r="AV1333" s="23"/>
    </row>
    <row r="1334" spans="1:48" x14ac:dyDescent="0.25">
      <c r="A1334" t="s">
        <v>178</v>
      </c>
      <c r="B1334" t="s">
        <v>85</v>
      </c>
      <c r="C1334" s="10">
        <v>-122</v>
      </c>
      <c r="D1334" t="s">
        <v>1219</v>
      </c>
      <c r="E1334" s="2">
        <f t="shared" si="190"/>
        <v>46225</v>
      </c>
      <c r="F1334" s="3">
        <f t="shared" si="189"/>
        <v>0.65694444444444444</v>
      </c>
      <c r="G1334" t="s">
        <v>180</v>
      </c>
      <c r="H1334" t="s">
        <v>181</v>
      </c>
      <c r="I1334" t="s">
        <v>89</v>
      </c>
      <c r="J1334" s="2">
        <v>46225</v>
      </c>
      <c r="K1334" s="1">
        <v>0.58680555555555558</v>
      </c>
      <c r="L1334" s="10">
        <f t="shared" si="185"/>
        <v>-100.99999999999996</v>
      </c>
      <c r="M1334" s="1" t="str">
        <f t="shared" si="191"/>
        <v>Delayed</v>
      </c>
      <c r="N1334" s="27" t="str">
        <f t="shared" si="186"/>
        <v>Ryanair</v>
      </c>
      <c r="O1334" s="3" t="s">
        <v>1318</v>
      </c>
      <c r="P1334" s="20">
        <f t="shared" si="187"/>
        <v>15</v>
      </c>
      <c r="Q1334" s="3" t="s">
        <v>1318</v>
      </c>
      <c r="R1334" s="23" t="str">
        <f t="shared" si="188"/>
        <v>Wednesday</v>
      </c>
      <c r="S1334" s="3" t="s">
        <v>1318</v>
      </c>
      <c r="T1334" s="23" t="s">
        <v>85</v>
      </c>
      <c r="U1334" s="3" t="s">
        <v>1318</v>
      </c>
      <c r="AO1334" s="15"/>
      <c r="AP1334" s="15"/>
      <c r="AQ1334" s="15"/>
      <c r="AR1334" s="23"/>
      <c r="AS1334" s="15"/>
      <c r="AT1334" s="15"/>
      <c r="AU1334" s="23"/>
      <c r="AV1334" s="23"/>
    </row>
    <row r="1335" spans="1:48" x14ac:dyDescent="0.25">
      <c r="A1335" t="s">
        <v>327</v>
      </c>
      <c r="B1335" t="s">
        <v>13</v>
      </c>
      <c r="C1335" s="10">
        <v>-10</v>
      </c>
      <c r="D1335" t="s">
        <v>326</v>
      </c>
      <c r="E1335" s="2">
        <f t="shared" si="190"/>
        <v>46225</v>
      </c>
      <c r="F1335" s="3">
        <f t="shared" si="189"/>
        <v>0.57986111111111105</v>
      </c>
      <c r="G1335" t="s">
        <v>329</v>
      </c>
      <c r="H1335" t="s">
        <v>330</v>
      </c>
      <c r="I1335" t="s">
        <v>17</v>
      </c>
      <c r="J1335" s="2">
        <v>46225</v>
      </c>
      <c r="K1335" s="1">
        <v>0.59027777777777779</v>
      </c>
      <c r="L1335" s="10">
        <f t="shared" si="185"/>
        <v>15.000000000000107</v>
      </c>
      <c r="M1335" s="1" t="str">
        <f t="shared" si="191"/>
        <v>On Time</v>
      </c>
      <c r="N1335" s="27" t="str">
        <f t="shared" si="186"/>
        <v>Wizz Air</v>
      </c>
      <c r="O1335" s="3" t="s">
        <v>1385</v>
      </c>
      <c r="P1335" s="20">
        <f t="shared" si="187"/>
        <v>13</v>
      </c>
      <c r="Q1335" s="3" t="s">
        <v>1385</v>
      </c>
      <c r="R1335" s="23" t="str">
        <f t="shared" si="188"/>
        <v>Wednesday</v>
      </c>
      <c r="S1335" s="3" t="s">
        <v>1385</v>
      </c>
      <c r="T1335" s="23" t="s">
        <v>13</v>
      </c>
      <c r="U1335" s="3" t="s">
        <v>1385</v>
      </c>
      <c r="AO1335" s="15"/>
      <c r="AP1335" s="15"/>
      <c r="AQ1335" s="15"/>
      <c r="AR1335" s="23"/>
      <c r="AS1335" s="15"/>
      <c r="AT1335" s="15"/>
      <c r="AU1335" s="23"/>
      <c r="AV1335" s="23"/>
    </row>
    <row r="1336" spans="1:48" x14ac:dyDescent="0.25">
      <c r="A1336" t="s">
        <v>148</v>
      </c>
      <c r="B1336" t="s">
        <v>7</v>
      </c>
      <c r="C1336" s="10">
        <v>-31</v>
      </c>
      <c r="D1336" t="s">
        <v>1007</v>
      </c>
      <c r="E1336" s="2">
        <f t="shared" si="190"/>
        <v>46225</v>
      </c>
      <c r="F1336" s="3">
        <f t="shared" si="189"/>
        <v>0.6166666666666667</v>
      </c>
      <c r="G1336" t="s">
        <v>9</v>
      </c>
      <c r="H1336" t="s">
        <v>10</v>
      </c>
      <c r="I1336" t="s">
        <v>11</v>
      </c>
      <c r="J1336" s="2">
        <v>46225</v>
      </c>
      <c r="K1336" s="1">
        <v>0.60763888888888895</v>
      </c>
      <c r="L1336" s="10">
        <f t="shared" si="185"/>
        <v>-12.999999999999954</v>
      </c>
      <c r="M1336" s="1" t="str">
        <f t="shared" si="191"/>
        <v>On Time</v>
      </c>
      <c r="N1336" s="27" t="str">
        <f t="shared" si="186"/>
        <v>airBaltic</v>
      </c>
      <c r="O1336" s="3" t="s">
        <v>1385</v>
      </c>
      <c r="P1336" s="20">
        <f t="shared" si="187"/>
        <v>14</v>
      </c>
      <c r="Q1336" s="3" t="s">
        <v>1385</v>
      </c>
      <c r="R1336" s="23" t="str">
        <f t="shared" si="188"/>
        <v>Wednesday</v>
      </c>
      <c r="S1336" s="3" t="s">
        <v>1385</v>
      </c>
      <c r="T1336" s="23" t="s">
        <v>7</v>
      </c>
      <c r="U1336" s="3" t="s">
        <v>1385</v>
      </c>
      <c r="AO1336" s="15"/>
      <c r="AP1336" s="15"/>
      <c r="AQ1336" s="15"/>
      <c r="AR1336" s="23"/>
      <c r="AS1336" s="15"/>
      <c r="AT1336" s="15"/>
      <c r="AU1336" s="23"/>
      <c r="AV1336" s="23"/>
    </row>
    <row r="1337" spans="1:48" x14ac:dyDescent="0.25">
      <c r="A1337" t="s">
        <v>123</v>
      </c>
      <c r="B1337" t="s">
        <v>123</v>
      </c>
      <c r="D1337" t="s">
        <v>332</v>
      </c>
      <c r="E1337" s="2">
        <f t="shared" si="190"/>
        <v>46225</v>
      </c>
      <c r="F1337" s="3">
        <f t="shared" si="189"/>
        <v>0.62013888888888891</v>
      </c>
      <c r="G1337" t="s">
        <v>299</v>
      </c>
      <c r="H1337" t="s">
        <v>300</v>
      </c>
      <c r="I1337" t="s">
        <v>614</v>
      </c>
      <c r="J1337" s="2">
        <v>46225</v>
      </c>
      <c r="K1337" s="1">
        <v>0.61875000000000002</v>
      </c>
      <c r="L1337" s="10">
        <f t="shared" si="185"/>
        <v>-1.9999999999999929</v>
      </c>
      <c r="M1337" s="1" t="str">
        <f t="shared" si="191"/>
        <v>On Time</v>
      </c>
      <c r="N1337" s="27" t="e">
        <f t="shared" si="186"/>
        <v>#N/A</v>
      </c>
      <c r="O1337" s="3" t="s">
        <v>1385</v>
      </c>
      <c r="P1337" s="20">
        <f t="shared" si="187"/>
        <v>14</v>
      </c>
      <c r="Q1337" s="3" t="s">
        <v>1385</v>
      </c>
      <c r="R1337" s="23" t="str">
        <f t="shared" si="188"/>
        <v>Wednesday</v>
      </c>
      <c r="S1337" s="3" t="s">
        <v>1385</v>
      </c>
      <c r="T1337" s="23" t="s">
        <v>123</v>
      </c>
      <c r="U1337" s="3" t="s">
        <v>1385</v>
      </c>
      <c r="AO1337" s="15"/>
      <c r="AP1337" s="15"/>
      <c r="AQ1337" s="15"/>
      <c r="AR1337" s="23"/>
      <c r="AS1337" s="15"/>
      <c r="AT1337" s="15"/>
      <c r="AU1337" s="23"/>
      <c r="AV1337" s="23"/>
    </row>
    <row r="1338" spans="1:48" x14ac:dyDescent="0.25">
      <c r="A1338" t="s">
        <v>512</v>
      </c>
      <c r="B1338" t="s">
        <v>7</v>
      </c>
      <c r="C1338" s="10">
        <v>-22</v>
      </c>
      <c r="D1338" t="s">
        <v>340</v>
      </c>
      <c r="E1338" s="2">
        <f t="shared" si="190"/>
        <v>46225</v>
      </c>
      <c r="F1338" s="3">
        <f t="shared" si="189"/>
        <v>0.63541666666666663</v>
      </c>
      <c r="G1338" t="s">
        <v>65</v>
      </c>
      <c r="H1338" t="s">
        <v>66</v>
      </c>
      <c r="I1338" t="s">
        <v>11</v>
      </c>
      <c r="J1338" s="2">
        <v>46225</v>
      </c>
      <c r="K1338" s="1">
        <v>0.63194444444444442</v>
      </c>
      <c r="L1338" s="10">
        <f t="shared" si="185"/>
        <v>-4.9999999999999822</v>
      </c>
      <c r="M1338" s="1" t="str">
        <f t="shared" si="191"/>
        <v>On Time</v>
      </c>
      <c r="N1338" s="27" t="str">
        <f t="shared" si="186"/>
        <v>airBaltic</v>
      </c>
      <c r="O1338" s="3" t="s">
        <v>1385</v>
      </c>
      <c r="P1338" s="20">
        <f t="shared" si="187"/>
        <v>15</v>
      </c>
      <c r="Q1338" s="3" t="s">
        <v>1385</v>
      </c>
      <c r="R1338" s="23" t="str">
        <f t="shared" si="188"/>
        <v>Wednesday</v>
      </c>
      <c r="S1338" s="3" t="s">
        <v>1385</v>
      </c>
      <c r="T1338" s="23" t="s">
        <v>7</v>
      </c>
      <c r="U1338" s="3" t="s">
        <v>1385</v>
      </c>
      <c r="AO1338" s="15"/>
      <c r="AP1338" s="15"/>
      <c r="AQ1338" s="15"/>
      <c r="AR1338" s="23"/>
      <c r="AS1338" s="15"/>
      <c r="AT1338" s="15"/>
      <c r="AU1338" s="23"/>
      <c r="AV1338" s="23"/>
    </row>
    <row r="1339" spans="1:48" x14ac:dyDescent="0.25">
      <c r="A1339" t="s">
        <v>156</v>
      </c>
      <c r="B1339" t="s">
        <v>41</v>
      </c>
      <c r="C1339" s="10">
        <v>-5</v>
      </c>
      <c r="D1339" t="s">
        <v>1039</v>
      </c>
      <c r="E1339" s="2">
        <f t="shared" si="190"/>
        <v>46225</v>
      </c>
      <c r="F1339" s="3">
        <f t="shared" si="189"/>
        <v>0.62569444444444444</v>
      </c>
      <c r="G1339" t="s">
        <v>43</v>
      </c>
      <c r="H1339" t="s">
        <v>44</v>
      </c>
      <c r="I1339" t="s">
        <v>158</v>
      </c>
      <c r="J1339" s="2">
        <v>46225</v>
      </c>
      <c r="K1339" s="1">
        <v>0.63541666666666663</v>
      </c>
      <c r="L1339" s="10">
        <f t="shared" si="185"/>
        <v>13.99999999999995</v>
      </c>
      <c r="M1339" s="1" t="str">
        <f t="shared" si="191"/>
        <v>On Time</v>
      </c>
      <c r="N1339" s="27" t="str">
        <f t="shared" si="186"/>
        <v>SAS</v>
      </c>
      <c r="O1339" s="3" t="s">
        <v>1385</v>
      </c>
      <c r="P1339" s="20">
        <f t="shared" si="187"/>
        <v>15</v>
      </c>
      <c r="Q1339" s="3" t="s">
        <v>1385</v>
      </c>
      <c r="R1339" s="23" t="str">
        <f t="shared" si="188"/>
        <v>Wednesday</v>
      </c>
      <c r="S1339" s="3" t="s">
        <v>1385</v>
      </c>
      <c r="T1339" s="23" t="s">
        <v>41</v>
      </c>
      <c r="U1339" s="3" t="s">
        <v>1385</v>
      </c>
      <c r="AO1339" s="15"/>
      <c r="AP1339" s="15"/>
      <c r="AQ1339" s="15"/>
      <c r="AR1339" s="23"/>
      <c r="AS1339" s="15"/>
      <c r="AT1339" s="15"/>
      <c r="AU1339" s="23"/>
      <c r="AV1339" s="23"/>
    </row>
    <row r="1340" spans="1:48" x14ac:dyDescent="0.25">
      <c r="A1340" t="s">
        <v>674</v>
      </c>
      <c r="B1340" t="s">
        <v>675</v>
      </c>
      <c r="D1340" t="s">
        <v>1065</v>
      </c>
      <c r="E1340" s="2">
        <f t="shared" si="190"/>
        <v>46225</v>
      </c>
      <c r="F1340" s="3">
        <f t="shared" si="189"/>
        <v>0.64444444444444449</v>
      </c>
      <c r="G1340" t="s">
        <v>226</v>
      </c>
      <c r="H1340" t="s">
        <v>227</v>
      </c>
      <c r="I1340" t="s">
        <v>677</v>
      </c>
      <c r="J1340" s="2">
        <v>46225</v>
      </c>
      <c r="K1340" s="1">
        <v>0.63958333333333328</v>
      </c>
      <c r="L1340" s="10">
        <f t="shared" si="185"/>
        <v>-7.000000000000135</v>
      </c>
      <c r="M1340" s="1" t="str">
        <f t="shared" si="191"/>
        <v>On Time</v>
      </c>
      <c r="N1340" s="27" t="e">
        <f t="shared" si="186"/>
        <v>#N/A</v>
      </c>
      <c r="O1340" s="3" t="s">
        <v>1385</v>
      </c>
      <c r="P1340" s="20">
        <f t="shared" si="187"/>
        <v>15</v>
      </c>
      <c r="Q1340" s="3" t="s">
        <v>1385</v>
      </c>
      <c r="R1340" s="23" t="str">
        <f t="shared" si="188"/>
        <v>Wednesday</v>
      </c>
      <c r="S1340" s="3" t="s">
        <v>1385</v>
      </c>
      <c r="T1340" s="23" t="s">
        <v>675</v>
      </c>
      <c r="U1340" s="3" t="s">
        <v>1385</v>
      </c>
      <c r="AO1340" s="15"/>
      <c r="AP1340" s="15"/>
      <c r="AQ1340" s="15"/>
      <c r="AR1340" s="23"/>
      <c r="AS1340" s="15"/>
      <c r="AT1340" s="15"/>
      <c r="AU1340" s="23"/>
      <c r="AV1340" s="23"/>
    </row>
    <row r="1341" spans="1:48" x14ac:dyDescent="0.25">
      <c r="A1341" t="s">
        <v>348</v>
      </c>
      <c r="B1341" t="s">
        <v>13</v>
      </c>
      <c r="C1341" s="10">
        <v>-13</v>
      </c>
      <c r="D1341" t="s">
        <v>1220</v>
      </c>
      <c r="E1341" s="2">
        <f t="shared" si="190"/>
        <v>46225</v>
      </c>
      <c r="F1341" s="3">
        <f t="shared" si="189"/>
        <v>0.64027777777777783</v>
      </c>
      <c r="G1341" t="s">
        <v>349</v>
      </c>
      <c r="H1341" t="s">
        <v>350</v>
      </c>
      <c r="I1341" t="s">
        <v>17</v>
      </c>
      <c r="J1341" s="2">
        <v>46225</v>
      </c>
      <c r="K1341" s="1">
        <v>0.64930555555555558</v>
      </c>
      <c r="L1341" s="10">
        <f t="shared" si="185"/>
        <v>12.999999999999954</v>
      </c>
      <c r="M1341" s="1" t="str">
        <f t="shared" si="191"/>
        <v>On Time</v>
      </c>
      <c r="N1341" s="27" t="str">
        <f t="shared" si="186"/>
        <v>Wizz Air</v>
      </c>
      <c r="O1341" s="3" t="s">
        <v>1385</v>
      </c>
      <c r="P1341" s="20">
        <f t="shared" si="187"/>
        <v>15</v>
      </c>
      <c r="Q1341" s="3" t="s">
        <v>1385</v>
      </c>
      <c r="R1341" s="23" t="str">
        <f t="shared" si="188"/>
        <v>Wednesday</v>
      </c>
      <c r="S1341" s="3" t="s">
        <v>1385</v>
      </c>
      <c r="T1341" s="23" t="s">
        <v>13</v>
      </c>
      <c r="U1341" s="3" t="s">
        <v>1385</v>
      </c>
      <c r="AO1341" s="15"/>
      <c r="AP1341" s="15"/>
      <c r="AQ1341" s="15"/>
      <c r="AR1341" s="23"/>
      <c r="AS1341" s="15"/>
      <c r="AT1341" s="15"/>
      <c r="AU1341" s="23"/>
      <c r="AV1341" s="23"/>
    </row>
    <row r="1342" spans="1:48" x14ac:dyDescent="0.25">
      <c r="A1342" t="s">
        <v>123</v>
      </c>
      <c r="B1342" t="s">
        <v>123</v>
      </c>
      <c r="D1342" t="s">
        <v>1067</v>
      </c>
      <c r="E1342" s="2">
        <f t="shared" si="190"/>
        <v>46225</v>
      </c>
      <c r="F1342" s="3">
        <f t="shared" si="189"/>
        <v>0.71736111111111101</v>
      </c>
      <c r="G1342" t="s">
        <v>1191</v>
      </c>
      <c r="H1342" t="s">
        <v>1221</v>
      </c>
      <c r="I1342" t="s">
        <v>614</v>
      </c>
      <c r="J1342" s="2">
        <v>46225</v>
      </c>
      <c r="K1342" s="1">
        <v>0.65138888888888891</v>
      </c>
      <c r="L1342" s="10">
        <f t="shared" si="185"/>
        <v>-94.999999999999829</v>
      </c>
      <c r="M1342" s="1" t="str">
        <f t="shared" si="191"/>
        <v>Delayed</v>
      </c>
      <c r="N1342" s="27" t="e">
        <f t="shared" si="186"/>
        <v>#N/A</v>
      </c>
      <c r="O1342" s="3" t="s">
        <v>1318</v>
      </c>
      <c r="P1342" s="20">
        <f t="shared" si="187"/>
        <v>17</v>
      </c>
      <c r="Q1342" s="3" t="s">
        <v>1318</v>
      </c>
      <c r="R1342" s="23" t="str">
        <f t="shared" si="188"/>
        <v>Wednesday</v>
      </c>
      <c r="S1342" s="3" t="s">
        <v>1318</v>
      </c>
      <c r="T1342" s="23" t="s">
        <v>123</v>
      </c>
      <c r="U1342" s="3" t="s">
        <v>1318</v>
      </c>
      <c r="AO1342" s="15"/>
      <c r="AP1342" s="15"/>
      <c r="AQ1342" s="15"/>
      <c r="AR1342" s="23"/>
      <c r="AS1342" s="15"/>
      <c r="AT1342" s="15"/>
      <c r="AU1342" s="23"/>
      <c r="AV1342" s="23"/>
    </row>
    <row r="1343" spans="1:48" x14ac:dyDescent="0.25">
      <c r="A1343" t="s">
        <v>175</v>
      </c>
      <c r="B1343" t="s">
        <v>19</v>
      </c>
      <c r="C1343" s="10">
        <v>-29</v>
      </c>
      <c r="D1343" t="s">
        <v>868</v>
      </c>
      <c r="E1343" s="2">
        <f t="shared" si="190"/>
        <v>46225</v>
      </c>
      <c r="F1343" s="3">
        <f t="shared" si="189"/>
        <v>0.68888888888888899</v>
      </c>
      <c r="G1343" t="s">
        <v>21</v>
      </c>
      <c r="H1343" t="s">
        <v>22</v>
      </c>
      <c r="I1343" t="s">
        <v>188</v>
      </c>
      <c r="J1343" s="2">
        <v>46225</v>
      </c>
      <c r="K1343" s="1">
        <v>0.68402777777777779</v>
      </c>
      <c r="L1343" s="10">
        <f t="shared" si="185"/>
        <v>-7.000000000000135</v>
      </c>
      <c r="M1343" s="1" t="str">
        <f t="shared" si="191"/>
        <v>On Time</v>
      </c>
      <c r="N1343" s="27" t="str">
        <f t="shared" si="186"/>
        <v>LOT</v>
      </c>
      <c r="O1343" s="3" t="s">
        <v>1385</v>
      </c>
      <c r="P1343" s="20">
        <f t="shared" si="187"/>
        <v>16</v>
      </c>
      <c r="Q1343" s="3" t="s">
        <v>1385</v>
      </c>
      <c r="R1343" s="23" t="str">
        <f t="shared" si="188"/>
        <v>Wednesday</v>
      </c>
      <c r="S1343" s="3" t="s">
        <v>1385</v>
      </c>
      <c r="T1343" s="23" t="s">
        <v>19</v>
      </c>
      <c r="U1343" s="3" t="s">
        <v>1385</v>
      </c>
      <c r="AO1343" s="15"/>
      <c r="AP1343" s="15"/>
      <c r="AQ1343" s="15"/>
      <c r="AR1343" s="23"/>
      <c r="AS1343" s="15"/>
      <c r="AT1343" s="15"/>
      <c r="AU1343" s="23"/>
      <c r="AV1343" s="23"/>
    </row>
    <row r="1344" spans="1:48" x14ac:dyDescent="0.25">
      <c r="A1344" t="s">
        <v>182</v>
      </c>
      <c r="B1344" t="s">
        <v>69</v>
      </c>
      <c r="C1344" s="10">
        <v>-17</v>
      </c>
      <c r="D1344" t="s">
        <v>1222</v>
      </c>
      <c r="E1344" s="2">
        <f t="shared" si="190"/>
        <v>46225</v>
      </c>
      <c r="F1344" s="3">
        <f t="shared" si="189"/>
        <v>0.71319444444444446</v>
      </c>
      <c r="G1344" t="s">
        <v>71</v>
      </c>
      <c r="H1344" t="s">
        <v>72</v>
      </c>
      <c r="I1344" t="s">
        <v>295</v>
      </c>
      <c r="J1344" s="2">
        <v>46225</v>
      </c>
      <c r="K1344" s="1">
        <v>0.71527777777777779</v>
      </c>
      <c r="L1344" s="10">
        <f t="shared" si="185"/>
        <v>2.9999999999999893</v>
      </c>
      <c r="M1344" s="1" t="str">
        <f t="shared" si="191"/>
        <v>On Time</v>
      </c>
      <c r="N1344" s="27" t="str">
        <f t="shared" si="186"/>
        <v>Finnair</v>
      </c>
      <c r="O1344" s="3" t="s">
        <v>1385</v>
      </c>
      <c r="P1344" s="20">
        <f t="shared" si="187"/>
        <v>17</v>
      </c>
      <c r="Q1344" s="3" t="s">
        <v>1385</v>
      </c>
      <c r="R1344" s="23" t="str">
        <f t="shared" si="188"/>
        <v>Wednesday</v>
      </c>
      <c r="S1344" s="3" t="s">
        <v>1385</v>
      </c>
      <c r="T1344" s="23" t="s">
        <v>69</v>
      </c>
      <c r="U1344" s="3" t="s">
        <v>1385</v>
      </c>
      <c r="AO1344" s="15"/>
      <c r="AP1344" s="15"/>
      <c r="AQ1344" s="15"/>
      <c r="AR1344" s="23"/>
      <c r="AS1344" s="15"/>
      <c r="AT1344" s="15"/>
      <c r="AU1344" s="23"/>
      <c r="AV1344" s="23"/>
    </row>
    <row r="1345" spans="1:48" x14ac:dyDescent="0.25">
      <c r="A1345" t="s">
        <v>1223</v>
      </c>
      <c r="B1345" t="s">
        <v>124</v>
      </c>
      <c r="C1345" s="10">
        <v>-16</v>
      </c>
      <c r="D1345" t="s">
        <v>667</v>
      </c>
      <c r="E1345" s="2">
        <f t="shared" si="190"/>
        <v>46225</v>
      </c>
      <c r="F1345" s="3">
        <f t="shared" si="189"/>
        <v>0.70486111111111116</v>
      </c>
      <c r="G1345" t="s">
        <v>1224</v>
      </c>
      <c r="H1345" t="s">
        <v>1225</v>
      </c>
      <c r="I1345" t="s">
        <v>67</v>
      </c>
      <c r="J1345" s="2">
        <v>46225</v>
      </c>
      <c r="K1345" s="1">
        <v>0.72361111111111109</v>
      </c>
      <c r="L1345" s="10">
        <f t="shared" si="185"/>
        <v>26.999999999999904</v>
      </c>
      <c r="M1345" s="1" t="str">
        <f t="shared" si="191"/>
        <v>On Time</v>
      </c>
      <c r="N1345" s="27" t="str">
        <f t="shared" si="186"/>
        <v>GetJet Airlines</v>
      </c>
      <c r="O1345" s="3" t="s">
        <v>1385</v>
      </c>
      <c r="P1345" s="20">
        <f t="shared" si="187"/>
        <v>16</v>
      </c>
      <c r="Q1345" s="3" t="s">
        <v>1385</v>
      </c>
      <c r="R1345" s="23" t="str">
        <f t="shared" si="188"/>
        <v>Wednesday</v>
      </c>
      <c r="S1345" s="3" t="s">
        <v>1385</v>
      </c>
      <c r="T1345" s="23" t="s">
        <v>124</v>
      </c>
      <c r="U1345" s="3" t="s">
        <v>1385</v>
      </c>
      <c r="AO1345" s="15"/>
      <c r="AP1345" s="15"/>
      <c r="AQ1345" s="15"/>
      <c r="AR1345" s="23"/>
      <c r="AS1345" s="15"/>
      <c r="AT1345" s="15"/>
      <c r="AU1345" s="23"/>
      <c r="AV1345" s="23"/>
    </row>
    <row r="1346" spans="1:48" x14ac:dyDescent="0.25">
      <c r="A1346" t="s">
        <v>184</v>
      </c>
      <c r="B1346" t="s">
        <v>85</v>
      </c>
      <c r="D1346" t="s">
        <v>1226</v>
      </c>
      <c r="E1346" s="2">
        <f t="shared" si="190"/>
        <v>46225</v>
      </c>
      <c r="F1346" s="3">
        <f t="shared" si="189"/>
        <v>0.73263888888888884</v>
      </c>
      <c r="G1346" t="s">
        <v>153</v>
      </c>
      <c r="H1346" t="s">
        <v>154</v>
      </c>
      <c r="I1346" t="s">
        <v>89</v>
      </c>
      <c r="J1346" s="2">
        <v>46225</v>
      </c>
      <c r="K1346" s="1">
        <v>0.73958333333333337</v>
      </c>
      <c r="L1346" s="10">
        <f t="shared" ref="L1346:L1409" si="192">IF(J1346&gt;E1346,(K1346+1-F1346)*1440,IF(J1346&lt;E1346,-(F1346+1-K1346)*1440,(K1346-F1346)*1440))</f>
        <v>10.000000000000124</v>
      </c>
      <c r="M1346" s="1" t="str">
        <f t="shared" si="191"/>
        <v>On Time</v>
      </c>
      <c r="N1346" s="27" t="str">
        <f t="shared" ref="N1346:N1409" si="193">IF(COUNTIFS($B$2:$B$1553,B1346,$M$2:$M$1553,"&lt;&gt;#N/A")&gt;=30,B1346,NA())</f>
        <v>Ryanair</v>
      </c>
      <c r="O1346" s="3" t="s">
        <v>1385</v>
      </c>
      <c r="P1346" s="20">
        <f t="shared" ref="P1346:P1409" si="194">HOUR(F1346)</f>
        <v>17</v>
      </c>
      <c r="Q1346" s="3" t="s">
        <v>1385</v>
      </c>
      <c r="R1346" s="23" t="str">
        <f t="shared" ref="R1346:R1409" si="195">TEXT(E1346, "dddd")</f>
        <v>Wednesday</v>
      </c>
      <c r="S1346" s="3" t="s">
        <v>1385</v>
      </c>
      <c r="T1346" s="23" t="s">
        <v>85</v>
      </c>
      <c r="U1346" s="3" t="s">
        <v>1385</v>
      </c>
      <c r="AO1346" s="15"/>
      <c r="AP1346" s="15"/>
      <c r="AQ1346" s="15"/>
      <c r="AR1346" s="23"/>
      <c r="AS1346" s="15"/>
      <c r="AT1346" s="15"/>
      <c r="AU1346" s="23"/>
      <c r="AV1346" s="23"/>
    </row>
    <row r="1347" spans="1:48" x14ac:dyDescent="0.25">
      <c r="A1347" t="s">
        <v>186</v>
      </c>
      <c r="B1347" t="s">
        <v>19</v>
      </c>
      <c r="D1347" t="s">
        <v>1227</v>
      </c>
      <c r="E1347" s="2">
        <f t="shared" si="190"/>
        <v>46225</v>
      </c>
      <c r="F1347" s="3">
        <f t="shared" ref="F1347:F1410" si="196">IF(ISNUMBER(SEARCH("Landed", D1347)), TIMEVALUE(_xlfn.TEXTAFTER(D1347, " ")), NA())</f>
        <v>0.7729166666666667</v>
      </c>
      <c r="G1347" t="s">
        <v>21</v>
      </c>
      <c r="H1347" t="s">
        <v>22</v>
      </c>
      <c r="I1347" t="s">
        <v>276</v>
      </c>
      <c r="J1347" s="2">
        <v>46225</v>
      </c>
      <c r="K1347" s="1">
        <v>0.77430555555555547</v>
      </c>
      <c r="L1347" s="10">
        <f t="shared" si="192"/>
        <v>1.999999999999833</v>
      </c>
      <c r="M1347" s="1" t="str">
        <f t="shared" si="191"/>
        <v>On Time</v>
      </c>
      <c r="N1347" s="27" t="str">
        <f t="shared" si="193"/>
        <v>LOT</v>
      </c>
      <c r="O1347" s="3" t="s">
        <v>1385</v>
      </c>
      <c r="P1347" s="20">
        <f t="shared" si="194"/>
        <v>18</v>
      </c>
      <c r="Q1347" s="3" t="s">
        <v>1385</v>
      </c>
      <c r="R1347" s="23" t="str">
        <f t="shared" si="195"/>
        <v>Wednesday</v>
      </c>
      <c r="S1347" s="3" t="s">
        <v>1385</v>
      </c>
      <c r="T1347" s="23" t="s">
        <v>19</v>
      </c>
      <c r="U1347" s="3" t="s">
        <v>1385</v>
      </c>
      <c r="AO1347" s="15"/>
      <c r="AP1347" s="15"/>
      <c r="AQ1347" s="15"/>
      <c r="AR1347" s="23"/>
      <c r="AS1347" s="15"/>
      <c r="AT1347" s="15"/>
      <c r="AU1347" s="23"/>
      <c r="AV1347" s="23"/>
    </row>
    <row r="1348" spans="1:48" x14ac:dyDescent="0.25">
      <c r="A1348" t="s">
        <v>215</v>
      </c>
      <c r="B1348" t="s">
        <v>13</v>
      </c>
      <c r="C1348" s="10">
        <v>-73</v>
      </c>
      <c r="D1348" t="s">
        <v>373</v>
      </c>
      <c r="E1348" s="2">
        <f t="shared" si="190"/>
        <v>46225</v>
      </c>
      <c r="F1348" s="3">
        <f t="shared" si="196"/>
        <v>0.80347222222222225</v>
      </c>
      <c r="G1348" t="s">
        <v>217</v>
      </c>
      <c r="H1348" t="s">
        <v>218</v>
      </c>
      <c r="I1348" t="s">
        <v>17</v>
      </c>
      <c r="J1348" s="2">
        <v>46225</v>
      </c>
      <c r="K1348" s="1">
        <v>0.77430555555555547</v>
      </c>
      <c r="L1348" s="10">
        <f t="shared" si="192"/>
        <v>-42.000000000000171</v>
      </c>
      <c r="M1348" s="1" t="str">
        <f t="shared" si="191"/>
        <v>Delayed</v>
      </c>
      <c r="N1348" s="27" t="str">
        <f t="shared" si="193"/>
        <v>Wizz Air</v>
      </c>
      <c r="O1348" s="3" t="s">
        <v>1318</v>
      </c>
      <c r="P1348" s="20">
        <f t="shared" si="194"/>
        <v>19</v>
      </c>
      <c r="Q1348" s="3" t="s">
        <v>1318</v>
      </c>
      <c r="R1348" s="23" t="str">
        <f t="shared" si="195"/>
        <v>Wednesday</v>
      </c>
      <c r="S1348" s="3" t="s">
        <v>1318</v>
      </c>
      <c r="T1348" s="23" t="s">
        <v>13</v>
      </c>
      <c r="U1348" s="3" t="s">
        <v>1318</v>
      </c>
      <c r="AO1348" s="15"/>
      <c r="AP1348" s="15"/>
      <c r="AQ1348" s="15"/>
      <c r="AR1348" s="23"/>
      <c r="AS1348" s="15"/>
      <c r="AT1348" s="15"/>
      <c r="AU1348" s="23"/>
      <c r="AV1348" s="23"/>
    </row>
    <row r="1349" spans="1:48" x14ac:dyDescent="0.25">
      <c r="A1349" t="s">
        <v>189</v>
      </c>
      <c r="B1349" t="s">
        <v>190</v>
      </c>
      <c r="C1349" s="10">
        <v>-13</v>
      </c>
      <c r="D1349" t="s">
        <v>1228</v>
      </c>
      <c r="E1349" s="2">
        <f t="shared" si="190"/>
        <v>46225</v>
      </c>
      <c r="F1349" s="3">
        <f t="shared" si="196"/>
        <v>0.77708333333333324</v>
      </c>
      <c r="G1349" t="s">
        <v>110</v>
      </c>
      <c r="H1349" t="s">
        <v>111</v>
      </c>
      <c r="I1349" t="s">
        <v>67</v>
      </c>
      <c r="J1349" s="2">
        <v>46225</v>
      </c>
      <c r="K1349" s="1">
        <v>0.78472222222222221</v>
      </c>
      <c r="L1349" s="10">
        <f t="shared" si="192"/>
        <v>11.000000000000121</v>
      </c>
      <c r="M1349" s="1" t="str">
        <f t="shared" si="191"/>
        <v>On Time</v>
      </c>
      <c r="N1349" s="27" t="str">
        <f t="shared" si="193"/>
        <v>Lufthansa</v>
      </c>
      <c r="O1349" s="3" t="s">
        <v>1385</v>
      </c>
      <c r="P1349" s="20">
        <f t="shared" si="194"/>
        <v>18</v>
      </c>
      <c r="Q1349" s="3" t="s">
        <v>1385</v>
      </c>
      <c r="R1349" s="23" t="str">
        <f t="shared" si="195"/>
        <v>Wednesday</v>
      </c>
      <c r="S1349" s="3" t="s">
        <v>1385</v>
      </c>
      <c r="T1349" s="23" t="s">
        <v>190</v>
      </c>
      <c r="U1349" s="3" t="s">
        <v>1385</v>
      </c>
      <c r="AO1349" s="15"/>
      <c r="AP1349" s="15"/>
      <c r="AQ1349" s="15"/>
      <c r="AR1349" s="23"/>
      <c r="AS1349" s="15"/>
      <c r="AT1349" s="15"/>
      <c r="AU1349" s="23"/>
      <c r="AV1349" s="23"/>
    </row>
    <row r="1350" spans="1:48" x14ac:dyDescent="0.25">
      <c r="A1350" t="s">
        <v>487</v>
      </c>
      <c r="B1350" t="s">
        <v>7</v>
      </c>
      <c r="C1350" s="10">
        <v>-23</v>
      </c>
      <c r="D1350" t="s">
        <v>790</v>
      </c>
      <c r="E1350" s="2">
        <f t="shared" si="190"/>
        <v>46225</v>
      </c>
      <c r="F1350" s="3">
        <f t="shared" si="196"/>
        <v>0.80138888888888893</v>
      </c>
      <c r="G1350" t="s">
        <v>489</v>
      </c>
      <c r="H1350" t="s">
        <v>490</v>
      </c>
      <c r="I1350" t="s">
        <v>11</v>
      </c>
      <c r="J1350" s="2">
        <v>46225</v>
      </c>
      <c r="K1350" s="1">
        <v>0.80208333333333337</v>
      </c>
      <c r="L1350" s="10">
        <f t="shared" si="192"/>
        <v>0.99999999999999645</v>
      </c>
      <c r="M1350" s="1" t="str">
        <f t="shared" si="191"/>
        <v>On Time</v>
      </c>
      <c r="N1350" s="27" t="str">
        <f t="shared" si="193"/>
        <v>airBaltic</v>
      </c>
      <c r="O1350" s="3" t="s">
        <v>1385</v>
      </c>
      <c r="P1350" s="20">
        <f t="shared" si="194"/>
        <v>19</v>
      </c>
      <c r="Q1350" s="3" t="s">
        <v>1385</v>
      </c>
      <c r="R1350" s="23" t="str">
        <f t="shared" si="195"/>
        <v>Wednesday</v>
      </c>
      <c r="S1350" s="3" t="s">
        <v>1385</v>
      </c>
      <c r="T1350" s="23" t="s">
        <v>7</v>
      </c>
      <c r="U1350" s="3" t="s">
        <v>1385</v>
      </c>
      <c r="AO1350" s="15"/>
      <c r="AP1350" s="15"/>
      <c r="AQ1350" s="15"/>
      <c r="AR1350" s="23"/>
      <c r="AS1350" s="15"/>
      <c r="AT1350" s="15"/>
      <c r="AU1350" s="23"/>
      <c r="AV1350" s="23"/>
    </row>
    <row r="1351" spans="1:48" x14ac:dyDescent="0.25">
      <c r="A1351" t="s">
        <v>208</v>
      </c>
      <c r="B1351" t="s">
        <v>96</v>
      </c>
      <c r="C1351" s="10">
        <v>-28</v>
      </c>
      <c r="D1351" t="s">
        <v>1198</v>
      </c>
      <c r="E1351" s="2">
        <f t="shared" si="190"/>
        <v>46225</v>
      </c>
      <c r="F1351" s="3">
        <f t="shared" si="196"/>
        <v>0.81458333333333333</v>
      </c>
      <c r="G1351" t="s">
        <v>98</v>
      </c>
      <c r="H1351" t="s">
        <v>99</v>
      </c>
      <c r="I1351" t="s">
        <v>305</v>
      </c>
      <c r="J1351" s="2">
        <v>46225</v>
      </c>
      <c r="K1351" s="1">
        <v>0.8125</v>
      </c>
      <c r="L1351" s="10">
        <f t="shared" si="192"/>
        <v>-2.9999999999999893</v>
      </c>
      <c r="M1351" s="1" t="str">
        <f t="shared" si="191"/>
        <v>On Time</v>
      </c>
      <c r="N1351" s="27" t="str">
        <f t="shared" si="193"/>
        <v>Turkish Airlines</v>
      </c>
      <c r="O1351" s="3" t="s">
        <v>1385</v>
      </c>
      <c r="P1351" s="20">
        <f t="shared" si="194"/>
        <v>19</v>
      </c>
      <c r="Q1351" s="3" t="s">
        <v>1385</v>
      </c>
      <c r="R1351" s="23" t="str">
        <f t="shared" si="195"/>
        <v>Wednesday</v>
      </c>
      <c r="S1351" s="3" t="s">
        <v>1385</v>
      </c>
      <c r="T1351" s="23" t="s">
        <v>96</v>
      </c>
      <c r="U1351" s="3" t="s">
        <v>1385</v>
      </c>
      <c r="AO1351" s="15"/>
      <c r="AP1351" s="15"/>
      <c r="AQ1351" s="15"/>
      <c r="AR1351" s="23"/>
      <c r="AS1351" s="15"/>
      <c r="AT1351" s="15"/>
      <c r="AU1351" s="23"/>
      <c r="AV1351" s="23"/>
    </row>
    <row r="1352" spans="1:48" x14ac:dyDescent="0.25">
      <c r="A1352" t="s">
        <v>211</v>
      </c>
      <c r="B1352" t="s">
        <v>7</v>
      </c>
      <c r="C1352" s="10">
        <v>-38</v>
      </c>
      <c r="D1352" t="s">
        <v>909</v>
      </c>
      <c r="E1352" s="2">
        <f t="shared" si="190"/>
        <v>46225</v>
      </c>
      <c r="F1352" s="3">
        <f t="shared" si="196"/>
        <v>0.83472222222222225</v>
      </c>
      <c r="G1352" t="s">
        <v>135</v>
      </c>
      <c r="H1352" t="s">
        <v>136</v>
      </c>
      <c r="I1352" t="s">
        <v>11</v>
      </c>
      <c r="J1352" s="2">
        <v>46225</v>
      </c>
      <c r="K1352" s="1">
        <v>0.82638888888888884</v>
      </c>
      <c r="L1352" s="10">
        <f t="shared" si="192"/>
        <v>-12.000000000000117</v>
      </c>
      <c r="M1352" s="1" t="str">
        <f t="shared" si="191"/>
        <v>On Time</v>
      </c>
      <c r="N1352" s="27" t="str">
        <f t="shared" si="193"/>
        <v>airBaltic</v>
      </c>
      <c r="O1352" s="3" t="s">
        <v>1385</v>
      </c>
      <c r="P1352" s="20">
        <f t="shared" si="194"/>
        <v>20</v>
      </c>
      <c r="Q1352" s="3" t="s">
        <v>1385</v>
      </c>
      <c r="R1352" s="23" t="str">
        <f t="shared" si="195"/>
        <v>Wednesday</v>
      </c>
      <c r="S1352" s="3" t="s">
        <v>1385</v>
      </c>
      <c r="T1352" s="23" t="s">
        <v>7</v>
      </c>
      <c r="U1352" s="3" t="s">
        <v>1385</v>
      </c>
      <c r="AO1352" s="15"/>
      <c r="AP1352" s="15"/>
      <c r="AQ1352" s="15"/>
      <c r="AR1352" s="23"/>
      <c r="AS1352" s="15"/>
      <c r="AT1352" s="15"/>
      <c r="AU1352" s="23"/>
      <c r="AV1352" s="23"/>
    </row>
    <row r="1353" spans="1:48" x14ac:dyDescent="0.25">
      <c r="A1353" t="s">
        <v>533</v>
      </c>
      <c r="B1353" t="s">
        <v>117</v>
      </c>
      <c r="D1353" t="s">
        <v>1229</v>
      </c>
      <c r="E1353" s="2">
        <f t="shared" si="190"/>
        <v>46225</v>
      </c>
      <c r="F1353" s="3">
        <f t="shared" si="196"/>
        <v>0.83263888888888893</v>
      </c>
      <c r="G1353" t="s">
        <v>308</v>
      </c>
      <c r="H1353" t="s">
        <v>309</v>
      </c>
      <c r="I1353" t="s">
        <v>67</v>
      </c>
      <c r="J1353" s="2">
        <v>46225</v>
      </c>
      <c r="K1353" s="1">
        <v>0.8305555555555556</v>
      </c>
      <c r="L1353" s="10">
        <f t="shared" si="192"/>
        <v>-2.9999999999999893</v>
      </c>
      <c r="M1353" s="1" t="str">
        <f t="shared" si="191"/>
        <v>On Time</v>
      </c>
      <c r="N1353" s="27" t="str">
        <f t="shared" si="193"/>
        <v>Heston Airlines</v>
      </c>
      <c r="O1353" s="3" t="s">
        <v>1385</v>
      </c>
      <c r="P1353" s="20">
        <f t="shared" si="194"/>
        <v>19</v>
      </c>
      <c r="Q1353" s="3" t="s">
        <v>1385</v>
      </c>
      <c r="R1353" s="23" t="str">
        <f t="shared" si="195"/>
        <v>Wednesday</v>
      </c>
      <c r="S1353" s="3" t="s">
        <v>1385</v>
      </c>
      <c r="T1353" s="23" t="s">
        <v>117</v>
      </c>
      <c r="U1353" s="3" t="s">
        <v>1385</v>
      </c>
      <c r="AO1353" s="15"/>
      <c r="AP1353" s="15"/>
      <c r="AQ1353" s="15"/>
      <c r="AR1353" s="23"/>
      <c r="AS1353" s="15"/>
      <c r="AT1353" s="15"/>
      <c r="AU1353" s="23"/>
      <c r="AV1353" s="23"/>
    </row>
    <row r="1354" spans="1:48" x14ac:dyDescent="0.25">
      <c r="A1354" t="s">
        <v>123</v>
      </c>
      <c r="B1354" t="s">
        <v>1230</v>
      </c>
      <c r="D1354" t="s">
        <v>615</v>
      </c>
      <c r="E1354" s="2">
        <f t="shared" si="190"/>
        <v>46225</v>
      </c>
      <c r="F1354" s="3">
        <f t="shared" si="196"/>
        <v>0.88194444444444453</v>
      </c>
      <c r="G1354" t="s">
        <v>1231</v>
      </c>
      <c r="H1354" t="s">
        <v>1232</v>
      </c>
      <c r="I1354" t="s">
        <v>1233</v>
      </c>
      <c r="J1354" s="2">
        <v>46225</v>
      </c>
      <c r="K1354" s="1">
        <v>0.84166666666666667</v>
      </c>
      <c r="L1354" s="10">
        <f t="shared" si="192"/>
        <v>-58.000000000000114</v>
      </c>
      <c r="M1354" s="1" t="str">
        <f t="shared" si="191"/>
        <v>Delayed</v>
      </c>
      <c r="N1354" s="27" t="e">
        <f t="shared" si="193"/>
        <v>#N/A</v>
      </c>
      <c r="O1354" s="3" t="s">
        <v>1318</v>
      </c>
      <c r="P1354" s="20">
        <f t="shared" si="194"/>
        <v>21</v>
      </c>
      <c r="Q1354" s="3" t="s">
        <v>1318</v>
      </c>
      <c r="R1354" s="23" t="str">
        <f t="shared" si="195"/>
        <v>Wednesday</v>
      </c>
      <c r="S1354" s="3" t="s">
        <v>1318</v>
      </c>
      <c r="T1354" s="23" t="s">
        <v>1230</v>
      </c>
      <c r="U1354" s="3" t="s">
        <v>1318</v>
      </c>
      <c r="AO1354" s="15"/>
      <c r="AP1354" s="15"/>
      <c r="AQ1354" s="15"/>
      <c r="AR1354" s="23"/>
      <c r="AS1354" s="15"/>
      <c r="AT1354" s="15"/>
      <c r="AU1354" s="23"/>
      <c r="AV1354" s="23"/>
    </row>
    <row r="1355" spans="1:48" x14ac:dyDescent="0.25">
      <c r="A1355" t="s">
        <v>536</v>
      </c>
      <c r="B1355" t="s">
        <v>239</v>
      </c>
      <c r="D1355" t="s">
        <v>911</v>
      </c>
      <c r="E1355" s="2">
        <f t="shared" si="190"/>
        <v>46225</v>
      </c>
      <c r="F1355" s="3">
        <f t="shared" si="196"/>
        <v>0.84097222222222223</v>
      </c>
      <c r="G1355" t="s">
        <v>222</v>
      </c>
      <c r="H1355" t="s">
        <v>223</v>
      </c>
      <c r="I1355" t="s">
        <v>83</v>
      </c>
      <c r="J1355" s="2">
        <v>46225</v>
      </c>
      <c r="K1355" s="1">
        <v>0.85763888888888884</v>
      </c>
      <c r="L1355" s="10">
        <f t="shared" si="192"/>
        <v>23.999999999999915</v>
      </c>
      <c r="M1355" s="1" t="str">
        <f t="shared" si="191"/>
        <v>On Time</v>
      </c>
      <c r="N1355" s="27" t="str">
        <f t="shared" si="193"/>
        <v>Eurowings</v>
      </c>
      <c r="O1355" s="3" t="s">
        <v>1385</v>
      </c>
      <c r="P1355" s="20">
        <f t="shared" si="194"/>
        <v>20</v>
      </c>
      <c r="Q1355" s="3" t="s">
        <v>1385</v>
      </c>
      <c r="R1355" s="23" t="str">
        <f t="shared" si="195"/>
        <v>Wednesday</v>
      </c>
      <c r="S1355" s="3" t="s">
        <v>1385</v>
      </c>
      <c r="T1355" s="23" t="s">
        <v>239</v>
      </c>
      <c r="U1355" s="3" t="s">
        <v>1385</v>
      </c>
      <c r="AO1355" s="15"/>
      <c r="AP1355" s="15"/>
      <c r="AQ1355" s="15"/>
      <c r="AR1355" s="23"/>
      <c r="AS1355" s="15"/>
      <c r="AT1355" s="15"/>
      <c r="AU1355" s="23"/>
      <c r="AV1355" s="23"/>
    </row>
    <row r="1356" spans="1:48" x14ac:dyDescent="0.25">
      <c r="A1356" t="s">
        <v>228</v>
      </c>
      <c r="B1356" t="s">
        <v>69</v>
      </c>
      <c r="C1356" s="10">
        <v>-3</v>
      </c>
      <c r="D1356" t="s">
        <v>794</v>
      </c>
      <c r="E1356" s="2">
        <f t="shared" si="190"/>
        <v>46225</v>
      </c>
      <c r="F1356" s="3">
        <f t="shared" si="196"/>
        <v>0.87152777777777779</v>
      </c>
      <c r="G1356" t="s">
        <v>71</v>
      </c>
      <c r="H1356" t="s">
        <v>72</v>
      </c>
      <c r="I1356" t="s">
        <v>73</v>
      </c>
      <c r="J1356" s="2">
        <v>46225</v>
      </c>
      <c r="K1356" s="1">
        <v>0.88194444444444453</v>
      </c>
      <c r="L1356" s="10">
        <f t="shared" si="192"/>
        <v>15.000000000000107</v>
      </c>
      <c r="M1356" s="1" t="str">
        <f t="shared" si="191"/>
        <v>On Time</v>
      </c>
      <c r="N1356" s="27" t="str">
        <f t="shared" si="193"/>
        <v>Finnair</v>
      </c>
      <c r="O1356" s="3" t="s">
        <v>1385</v>
      </c>
      <c r="P1356" s="20">
        <f t="shared" si="194"/>
        <v>20</v>
      </c>
      <c r="Q1356" s="3" t="s">
        <v>1385</v>
      </c>
      <c r="R1356" s="23" t="str">
        <f t="shared" si="195"/>
        <v>Wednesday</v>
      </c>
      <c r="S1356" s="3" t="s">
        <v>1385</v>
      </c>
      <c r="T1356" s="23" t="s">
        <v>69</v>
      </c>
      <c r="U1356" s="3" t="s">
        <v>1385</v>
      </c>
      <c r="AO1356" s="15"/>
      <c r="AP1356" s="15"/>
      <c r="AQ1356" s="15"/>
      <c r="AR1356" s="23"/>
      <c r="AS1356" s="15"/>
      <c r="AT1356" s="15"/>
      <c r="AU1356" s="23"/>
      <c r="AV1356" s="23"/>
    </row>
    <row r="1357" spans="1:48" x14ac:dyDescent="0.25">
      <c r="A1357" t="s">
        <v>104</v>
      </c>
      <c r="B1357" t="s">
        <v>85</v>
      </c>
      <c r="C1357" s="10">
        <v>-31</v>
      </c>
      <c r="D1357" t="s">
        <v>1234</v>
      </c>
      <c r="E1357" s="2">
        <f t="shared" ref="E1357:E1420" si="197">J1357</f>
        <v>46225</v>
      </c>
      <c r="F1357" s="3">
        <f t="shared" si="196"/>
        <v>0.88611111111111107</v>
      </c>
      <c r="G1357" t="s">
        <v>106</v>
      </c>
      <c r="H1357" t="s">
        <v>107</v>
      </c>
      <c r="I1357" t="s">
        <v>89</v>
      </c>
      <c r="J1357" s="2">
        <v>46225</v>
      </c>
      <c r="K1357" s="1">
        <v>0.88541666666666663</v>
      </c>
      <c r="L1357" s="10">
        <f t="shared" si="192"/>
        <v>-0.99999999999999645</v>
      </c>
      <c r="M1357" s="1" t="str">
        <f t="shared" si="191"/>
        <v>On Time</v>
      </c>
      <c r="N1357" s="27" t="str">
        <f t="shared" si="193"/>
        <v>Ryanair</v>
      </c>
      <c r="O1357" s="3" t="s">
        <v>1385</v>
      </c>
      <c r="P1357" s="20">
        <f t="shared" si="194"/>
        <v>21</v>
      </c>
      <c r="Q1357" s="3" t="s">
        <v>1385</v>
      </c>
      <c r="R1357" s="23" t="str">
        <f t="shared" si="195"/>
        <v>Wednesday</v>
      </c>
      <c r="S1357" s="3" t="s">
        <v>1385</v>
      </c>
      <c r="T1357" s="23" t="s">
        <v>85</v>
      </c>
      <c r="U1357" s="3" t="s">
        <v>1385</v>
      </c>
      <c r="AO1357" s="15"/>
      <c r="AP1357" s="15"/>
      <c r="AQ1357" s="15"/>
      <c r="AR1357" s="23"/>
      <c r="AS1357" s="15"/>
      <c r="AT1357" s="15"/>
      <c r="AU1357" s="23"/>
      <c r="AV1357" s="23"/>
    </row>
    <row r="1358" spans="1:48" x14ac:dyDescent="0.25">
      <c r="A1358" t="s">
        <v>540</v>
      </c>
      <c r="B1358" t="s">
        <v>13</v>
      </c>
      <c r="C1358" s="10">
        <v>-128</v>
      </c>
      <c r="D1358" t="s">
        <v>1052</v>
      </c>
      <c r="E1358" s="2">
        <f t="shared" si="197"/>
        <v>46225</v>
      </c>
      <c r="F1358" s="3">
        <f t="shared" si="196"/>
        <v>0.96666666666666667</v>
      </c>
      <c r="G1358" t="s">
        <v>481</v>
      </c>
      <c r="H1358" t="s">
        <v>482</v>
      </c>
      <c r="I1358" t="s">
        <v>17</v>
      </c>
      <c r="J1358" s="2">
        <v>46225</v>
      </c>
      <c r="K1358" s="1">
        <v>0.89583333333333337</v>
      </c>
      <c r="L1358" s="10">
        <f t="shared" si="192"/>
        <v>-101.99999999999996</v>
      </c>
      <c r="M1358" s="1" t="str">
        <f t="shared" si="191"/>
        <v>Delayed</v>
      </c>
      <c r="N1358" s="27" t="str">
        <f t="shared" si="193"/>
        <v>Wizz Air</v>
      </c>
      <c r="O1358" s="3" t="s">
        <v>1318</v>
      </c>
      <c r="P1358" s="20">
        <f t="shared" si="194"/>
        <v>23</v>
      </c>
      <c r="Q1358" s="3" t="s">
        <v>1318</v>
      </c>
      <c r="R1358" s="23" t="str">
        <f t="shared" si="195"/>
        <v>Wednesday</v>
      </c>
      <c r="S1358" s="3" t="s">
        <v>1318</v>
      </c>
      <c r="T1358" s="23" t="s">
        <v>13</v>
      </c>
      <c r="U1358" s="3" t="s">
        <v>1318</v>
      </c>
      <c r="AO1358" s="15"/>
      <c r="AP1358" s="15"/>
      <c r="AQ1358" s="15"/>
      <c r="AR1358" s="23"/>
      <c r="AS1358" s="15"/>
      <c r="AT1358" s="15"/>
      <c r="AU1358" s="23"/>
      <c r="AV1358" s="23"/>
    </row>
    <row r="1359" spans="1:48" x14ac:dyDescent="0.25">
      <c r="A1359" t="s">
        <v>233</v>
      </c>
      <c r="B1359" t="s">
        <v>7</v>
      </c>
      <c r="C1359" s="10">
        <v>-17</v>
      </c>
      <c r="D1359" t="s">
        <v>1235</v>
      </c>
      <c r="E1359" s="2">
        <f t="shared" si="197"/>
        <v>46225</v>
      </c>
      <c r="F1359" s="3">
        <f t="shared" si="196"/>
        <v>0.90208333333333324</v>
      </c>
      <c r="G1359" t="s">
        <v>76</v>
      </c>
      <c r="H1359" t="s">
        <v>77</v>
      </c>
      <c r="I1359" t="s">
        <v>11</v>
      </c>
      <c r="J1359" s="2">
        <v>46225</v>
      </c>
      <c r="K1359" s="1">
        <v>0.90625</v>
      </c>
      <c r="L1359" s="10">
        <f t="shared" si="192"/>
        <v>6.0000000000001386</v>
      </c>
      <c r="M1359" s="1" t="str">
        <f t="shared" si="191"/>
        <v>On Time</v>
      </c>
      <c r="N1359" s="27" t="str">
        <f t="shared" si="193"/>
        <v>airBaltic</v>
      </c>
      <c r="O1359" s="3" t="s">
        <v>1385</v>
      </c>
      <c r="P1359" s="20">
        <f t="shared" si="194"/>
        <v>21</v>
      </c>
      <c r="Q1359" s="3" t="s">
        <v>1385</v>
      </c>
      <c r="R1359" s="23" t="str">
        <f t="shared" si="195"/>
        <v>Wednesday</v>
      </c>
      <c r="S1359" s="3" t="s">
        <v>1385</v>
      </c>
      <c r="T1359" s="23" t="s">
        <v>7</v>
      </c>
      <c r="U1359" s="3" t="s">
        <v>1385</v>
      </c>
      <c r="AO1359" s="15"/>
      <c r="AP1359" s="15"/>
      <c r="AQ1359" s="15"/>
      <c r="AR1359" s="23"/>
      <c r="AS1359" s="15"/>
      <c r="AT1359" s="15"/>
      <c r="AU1359" s="23"/>
      <c r="AV1359" s="23"/>
    </row>
    <row r="1360" spans="1:48" x14ac:dyDescent="0.25">
      <c r="A1360" t="s">
        <v>519</v>
      </c>
      <c r="B1360" t="s">
        <v>85</v>
      </c>
      <c r="C1360" s="10">
        <v>-23</v>
      </c>
      <c r="D1360" t="s">
        <v>683</v>
      </c>
      <c r="E1360" s="2">
        <f t="shared" si="197"/>
        <v>46225</v>
      </c>
      <c r="F1360" s="3">
        <f t="shared" si="196"/>
        <v>0.92083333333333339</v>
      </c>
      <c r="G1360" t="s">
        <v>110</v>
      </c>
      <c r="H1360" t="s">
        <v>521</v>
      </c>
      <c r="I1360" t="s">
        <v>89</v>
      </c>
      <c r="J1360" s="2">
        <v>46225</v>
      </c>
      <c r="K1360" s="1">
        <v>0.92361111111111116</v>
      </c>
      <c r="L1360" s="10">
        <f t="shared" si="192"/>
        <v>3.9999999999999858</v>
      </c>
      <c r="M1360" s="1" t="str">
        <f t="shared" si="191"/>
        <v>On Time</v>
      </c>
      <c r="N1360" s="27" t="str">
        <f t="shared" si="193"/>
        <v>Ryanair</v>
      </c>
      <c r="O1360" s="3" t="s">
        <v>1385</v>
      </c>
      <c r="P1360" s="20">
        <f t="shared" si="194"/>
        <v>22</v>
      </c>
      <c r="Q1360" s="3" t="s">
        <v>1385</v>
      </c>
      <c r="R1360" s="23" t="str">
        <f t="shared" si="195"/>
        <v>Wednesday</v>
      </c>
      <c r="S1360" s="3" t="s">
        <v>1385</v>
      </c>
      <c r="T1360" s="23" t="s">
        <v>85</v>
      </c>
      <c r="U1360" s="3" t="s">
        <v>1385</v>
      </c>
      <c r="AO1360" s="15"/>
      <c r="AP1360" s="15"/>
      <c r="AQ1360" s="15"/>
      <c r="AR1360" s="23"/>
      <c r="AS1360" s="15"/>
      <c r="AT1360" s="15"/>
      <c r="AU1360" s="23"/>
      <c r="AV1360" s="23"/>
    </row>
    <row r="1361" spans="1:48" x14ac:dyDescent="0.25">
      <c r="A1361" t="s">
        <v>1025</v>
      </c>
      <c r="B1361" t="s">
        <v>96</v>
      </c>
      <c r="C1361" s="10">
        <v>-193</v>
      </c>
      <c r="D1361" t="s">
        <v>242</v>
      </c>
      <c r="E1361" s="2">
        <f t="shared" si="197"/>
        <v>46225</v>
      </c>
      <c r="F1361" s="3" t="e">
        <f t="shared" si="196"/>
        <v>#N/A</v>
      </c>
      <c r="G1361" t="s">
        <v>71</v>
      </c>
      <c r="H1361" t="s">
        <v>72</v>
      </c>
      <c r="I1361" t="s">
        <v>123</v>
      </c>
      <c r="J1361" s="2">
        <v>46225</v>
      </c>
      <c r="K1361" s="1">
        <v>0.94791666666666663</v>
      </c>
      <c r="L1361" s="10">
        <v>-174</v>
      </c>
      <c r="M1361" s="1" t="str">
        <f t="shared" si="191"/>
        <v>Delayed</v>
      </c>
      <c r="N1361" s="27" t="str">
        <f t="shared" si="193"/>
        <v>Turkish Airlines</v>
      </c>
      <c r="O1361" s="3" t="e">
        <v>#N/A</v>
      </c>
      <c r="P1361" s="20" t="e">
        <f t="shared" si="194"/>
        <v>#N/A</v>
      </c>
      <c r="Q1361" s="3" t="e">
        <v>#N/A</v>
      </c>
      <c r="R1361" s="23" t="str">
        <f t="shared" si="195"/>
        <v>Wednesday</v>
      </c>
      <c r="S1361" s="3" t="e">
        <v>#N/A</v>
      </c>
      <c r="T1361" s="23" t="s">
        <v>96</v>
      </c>
      <c r="AO1361" s="15"/>
      <c r="AP1361" s="15"/>
      <c r="AQ1361" s="15"/>
      <c r="AR1361" s="23"/>
      <c r="AS1361" s="15"/>
      <c r="AT1361" s="15"/>
      <c r="AU1361" s="23"/>
      <c r="AV1361" s="23"/>
    </row>
    <row r="1362" spans="1:48" x14ac:dyDescent="0.25">
      <c r="A1362" t="s">
        <v>219</v>
      </c>
      <c r="B1362" t="s">
        <v>7</v>
      </c>
      <c r="C1362" s="10">
        <v>-156</v>
      </c>
      <c r="D1362" t="s">
        <v>242</v>
      </c>
      <c r="E1362" s="2">
        <f t="shared" si="197"/>
        <v>46225</v>
      </c>
      <c r="F1362" s="3" t="e">
        <f t="shared" si="196"/>
        <v>#N/A</v>
      </c>
      <c r="G1362" t="s">
        <v>9</v>
      </c>
      <c r="H1362" t="s">
        <v>10</v>
      </c>
      <c r="I1362" t="s">
        <v>11</v>
      </c>
      <c r="J1362" s="2">
        <v>46225</v>
      </c>
      <c r="K1362" s="1">
        <v>0.95138888888888884</v>
      </c>
      <c r="L1362" s="10">
        <v>-137</v>
      </c>
      <c r="M1362" s="1" t="str">
        <f t="shared" si="191"/>
        <v>Delayed</v>
      </c>
      <c r="N1362" s="27" t="str">
        <f t="shared" si="193"/>
        <v>airBaltic</v>
      </c>
      <c r="O1362" s="3" t="e">
        <v>#N/A</v>
      </c>
      <c r="P1362" s="20" t="e">
        <f t="shared" si="194"/>
        <v>#N/A</v>
      </c>
      <c r="Q1362" s="3" t="e">
        <v>#N/A</v>
      </c>
      <c r="R1362" s="23" t="str">
        <f t="shared" si="195"/>
        <v>Wednesday</v>
      </c>
      <c r="S1362" s="3" t="e">
        <v>#N/A</v>
      </c>
      <c r="T1362" s="23" t="s">
        <v>7</v>
      </c>
      <c r="AO1362" s="15"/>
      <c r="AP1362" s="15"/>
      <c r="AQ1362" s="15"/>
      <c r="AR1362" s="23"/>
      <c r="AS1362" s="15"/>
      <c r="AT1362" s="15"/>
      <c r="AU1362" s="23"/>
      <c r="AV1362" s="23"/>
    </row>
    <row r="1363" spans="1:48" x14ac:dyDescent="0.25">
      <c r="A1363" t="s">
        <v>258</v>
      </c>
      <c r="B1363" t="s">
        <v>190</v>
      </c>
      <c r="C1363" s="10">
        <v>-21</v>
      </c>
      <c r="D1363" t="s">
        <v>391</v>
      </c>
      <c r="E1363" s="2">
        <f t="shared" si="197"/>
        <v>46225</v>
      </c>
      <c r="F1363" s="3">
        <f t="shared" si="196"/>
        <v>0.97777777777777775</v>
      </c>
      <c r="G1363" t="s">
        <v>110</v>
      </c>
      <c r="H1363" t="s">
        <v>111</v>
      </c>
      <c r="I1363" t="s">
        <v>469</v>
      </c>
      <c r="J1363" s="2">
        <v>46225</v>
      </c>
      <c r="K1363" s="1">
        <v>0.98263888888888884</v>
      </c>
      <c r="L1363" s="10">
        <f t="shared" si="192"/>
        <v>6.9999999999999751</v>
      </c>
      <c r="M1363" s="1" t="str">
        <f t="shared" ref="M1363:M1426" si="198">IF(L1363&gt;=-15, "On Time", "Delayed")</f>
        <v>On Time</v>
      </c>
      <c r="N1363" s="27" t="str">
        <f t="shared" si="193"/>
        <v>Lufthansa</v>
      </c>
      <c r="O1363" s="3" t="s">
        <v>1385</v>
      </c>
      <c r="P1363" s="20">
        <f t="shared" si="194"/>
        <v>23</v>
      </c>
      <c r="Q1363" s="3" t="s">
        <v>1385</v>
      </c>
      <c r="R1363" s="23" t="str">
        <f t="shared" si="195"/>
        <v>Wednesday</v>
      </c>
      <c r="S1363" s="3" t="s">
        <v>1385</v>
      </c>
      <c r="T1363" s="23" t="s">
        <v>190</v>
      </c>
      <c r="U1363" s="3" t="s">
        <v>1385</v>
      </c>
      <c r="AO1363" s="15"/>
      <c r="AP1363" s="15"/>
      <c r="AQ1363" s="15"/>
      <c r="AR1363" s="23"/>
      <c r="AS1363" s="15"/>
      <c r="AT1363" s="15"/>
      <c r="AU1363" s="23"/>
      <c r="AV1363" s="23"/>
    </row>
    <row r="1364" spans="1:48" x14ac:dyDescent="0.25">
      <c r="A1364" t="s">
        <v>250</v>
      </c>
      <c r="B1364" t="s">
        <v>7</v>
      </c>
      <c r="C1364" s="10">
        <v>-75</v>
      </c>
      <c r="D1364" t="s">
        <v>1236</v>
      </c>
      <c r="E1364" s="2">
        <f t="shared" si="197"/>
        <v>46225</v>
      </c>
      <c r="F1364" s="3" t="e">
        <f t="shared" si="196"/>
        <v>#N/A</v>
      </c>
      <c r="G1364" t="s">
        <v>252</v>
      </c>
      <c r="H1364" t="s">
        <v>253</v>
      </c>
      <c r="I1364" t="s">
        <v>11</v>
      </c>
      <c r="J1364" s="2">
        <v>46225</v>
      </c>
      <c r="K1364" s="1">
        <v>0.99930555555555556</v>
      </c>
      <c r="L1364" s="10">
        <v>-42</v>
      </c>
      <c r="M1364" s="1" t="str">
        <f t="shared" si="198"/>
        <v>Delayed</v>
      </c>
      <c r="N1364" s="27" t="str">
        <f t="shared" si="193"/>
        <v>airBaltic</v>
      </c>
      <c r="O1364" s="3" t="e">
        <v>#N/A</v>
      </c>
      <c r="P1364" s="20" t="e">
        <f t="shared" si="194"/>
        <v>#N/A</v>
      </c>
      <c r="Q1364" s="3" t="e">
        <v>#N/A</v>
      </c>
      <c r="R1364" s="23" t="str">
        <f t="shared" si="195"/>
        <v>Wednesday</v>
      </c>
      <c r="S1364" s="3" t="e">
        <v>#N/A</v>
      </c>
      <c r="T1364" s="23" t="s">
        <v>7</v>
      </c>
      <c r="AO1364" s="15"/>
      <c r="AP1364" s="15"/>
      <c r="AQ1364" s="15"/>
      <c r="AR1364" s="23"/>
      <c r="AS1364" s="15"/>
      <c r="AT1364" s="15"/>
      <c r="AU1364" s="23"/>
      <c r="AV1364" s="23"/>
    </row>
    <row r="1365" spans="1:48" x14ac:dyDescent="0.25">
      <c r="A1365" t="s">
        <v>395</v>
      </c>
      <c r="B1365" t="s">
        <v>85</v>
      </c>
      <c r="C1365" s="10">
        <v>-3</v>
      </c>
      <c r="D1365" t="s">
        <v>394</v>
      </c>
      <c r="E1365" s="2">
        <f t="shared" si="197"/>
        <v>46225</v>
      </c>
      <c r="F1365" s="3">
        <f t="shared" si="196"/>
        <v>0.98125000000000007</v>
      </c>
      <c r="G1365" t="s">
        <v>34</v>
      </c>
      <c r="H1365" t="s">
        <v>161</v>
      </c>
      <c r="I1365" t="s">
        <v>89</v>
      </c>
      <c r="J1365" s="2">
        <v>46225</v>
      </c>
      <c r="K1365" s="1">
        <v>0.99930555555555556</v>
      </c>
      <c r="L1365" s="10">
        <f t="shared" si="192"/>
        <v>25.999999999999908</v>
      </c>
      <c r="M1365" s="1" t="str">
        <f t="shared" si="198"/>
        <v>On Time</v>
      </c>
      <c r="N1365" s="27" t="str">
        <f t="shared" si="193"/>
        <v>Ryanair</v>
      </c>
      <c r="O1365" s="3" t="s">
        <v>1385</v>
      </c>
      <c r="P1365" s="20">
        <f t="shared" si="194"/>
        <v>23</v>
      </c>
      <c r="Q1365" s="3" t="s">
        <v>1385</v>
      </c>
      <c r="R1365" s="23" t="str">
        <f t="shared" si="195"/>
        <v>Wednesday</v>
      </c>
      <c r="S1365" s="3" t="s">
        <v>1385</v>
      </c>
      <c r="T1365" s="23" t="s">
        <v>85</v>
      </c>
      <c r="U1365" s="3" t="s">
        <v>1385</v>
      </c>
      <c r="AO1365" s="15"/>
      <c r="AP1365" s="15"/>
      <c r="AQ1365" s="15"/>
      <c r="AR1365" s="23"/>
      <c r="AS1365" s="15"/>
      <c r="AT1365" s="15"/>
      <c r="AU1365" s="23"/>
      <c r="AV1365" s="23"/>
    </row>
    <row r="1366" spans="1:48" x14ac:dyDescent="0.25">
      <c r="A1366" t="s">
        <v>6</v>
      </c>
      <c r="B1366" t="s">
        <v>7</v>
      </c>
      <c r="C1366" s="10">
        <v>-84</v>
      </c>
      <c r="D1366" t="s">
        <v>20</v>
      </c>
      <c r="E1366" s="2">
        <f t="shared" si="197"/>
        <v>46226</v>
      </c>
      <c r="F1366" s="3">
        <f t="shared" si="196"/>
        <v>7.1527777777777787E-2</v>
      </c>
      <c r="G1366" t="s">
        <v>9</v>
      </c>
      <c r="H1366" t="s">
        <v>10</v>
      </c>
      <c r="I1366" t="s">
        <v>11</v>
      </c>
      <c r="J1366" s="2">
        <v>46226</v>
      </c>
      <c r="K1366" s="1">
        <v>2.0833333333333332E-2</v>
      </c>
      <c r="L1366" s="10">
        <f t="shared" si="192"/>
        <v>-73.000000000000014</v>
      </c>
      <c r="M1366" s="1" t="str">
        <f t="shared" si="198"/>
        <v>Delayed</v>
      </c>
      <c r="N1366" s="27" t="str">
        <f t="shared" si="193"/>
        <v>airBaltic</v>
      </c>
      <c r="O1366" s="3" t="s">
        <v>1318</v>
      </c>
      <c r="P1366" s="20">
        <f t="shared" si="194"/>
        <v>1</v>
      </c>
      <c r="Q1366" s="3" t="s">
        <v>1318</v>
      </c>
      <c r="R1366" s="23" t="str">
        <f t="shared" si="195"/>
        <v>Thursday</v>
      </c>
      <c r="S1366" s="3" t="s">
        <v>1318</v>
      </c>
      <c r="T1366" s="23" t="s">
        <v>7</v>
      </c>
      <c r="U1366" s="3" t="s">
        <v>1318</v>
      </c>
      <c r="AO1366" s="15"/>
      <c r="AP1366" s="15"/>
      <c r="AQ1366" s="15"/>
      <c r="AR1366" s="23"/>
      <c r="AS1366" s="15"/>
      <c r="AT1366" s="15"/>
      <c r="AU1366" s="23"/>
      <c r="AV1366" s="23"/>
    </row>
    <row r="1367" spans="1:48" x14ac:dyDescent="0.25">
      <c r="A1367" t="s">
        <v>12</v>
      </c>
      <c r="B1367" t="s">
        <v>13</v>
      </c>
      <c r="C1367" s="10">
        <v>-21</v>
      </c>
      <c r="D1367" t="s">
        <v>987</v>
      </c>
      <c r="E1367" s="2">
        <f t="shared" si="197"/>
        <v>46226</v>
      </c>
      <c r="F1367" s="3">
        <f t="shared" si="196"/>
        <v>1.0416666666666666E-2</v>
      </c>
      <c r="G1367" t="s">
        <v>15</v>
      </c>
      <c r="H1367" t="s">
        <v>16</v>
      </c>
      <c r="I1367" t="s">
        <v>17</v>
      </c>
      <c r="J1367" s="2">
        <v>46226</v>
      </c>
      <c r="K1367" s="1">
        <v>2.0833333333333332E-2</v>
      </c>
      <c r="L1367" s="10">
        <f t="shared" si="192"/>
        <v>15</v>
      </c>
      <c r="M1367" s="1" t="str">
        <f t="shared" si="198"/>
        <v>On Time</v>
      </c>
      <c r="N1367" s="27" t="str">
        <f t="shared" si="193"/>
        <v>Wizz Air</v>
      </c>
      <c r="O1367" s="3" t="s">
        <v>1385</v>
      </c>
      <c r="P1367" s="20">
        <f t="shared" si="194"/>
        <v>0</v>
      </c>
      <c r="Q1367" s="3" t="s">
        <v>1385</v>
      </c>
      <c r="R1367" s="23" t="str">
        <f t="shared" si="195"/>
        <v>Thursday</v>
      </c>
      <c r="S1367" s="3" t="s">
        <v>1385</v>
      </c>
      <c r="T1367" s="23" t="s">
        <v>13</v>
      </c>
      <c r="U1367" s="3" t="s">
        <v>1385</v>
      </c>
      <c r="AO1367" s="15"/>
      <c r="AP1367" s="15"/>
      <c r="AQ1367" s="15"/>
      <c r="AR1367" s="23"/>
      <c r="AS1367" s="15"/>
      <c r="AT1367" s="15"/>
      <c r="AU1367" s="23"/>
      <c r="AV1367" s="23"/>
    </row>
    <row r="1368" spans="1:48" x14ac:dyDescent="0.25">
      <c r="A1368" t="s">
        <v>18</v>
      </c>
      <c r="B1368" t="s">
        <v>19</v>
      </c>
      <c r="C1368" s="10">
        <v>-15</v>
      </c>
      <c r="D1368" t="s">
        <v>988</v>
      </c>
      <c r="E1368" s="2">
        <f t="shared" si="197"/>
        <v>46226</v>
      </c>
      <c r="F1368" s="3">
        <f t="shared" si="196"/>
        <v>2.2916666666666669E-2</v>
      </c>
      <c r="G1368" t="s">
        <v>21</v>
      </c>
      <c r="H1368" t="s">
        <v>22</v>
      </c>
      <c r="I1368" t="s">
        <v>92</v>
      </c>
      <c r="J1368" s="2">
        <v>46226</v>
      </c>
      <c r="K1368" s="1">
        <v>2.7777777777777776E-2</v>
      </c>
      <c r="L1368" s="10">
        <f t="shared" si="192"/>
        <v>6.9999999999999947</v>
      </c>
      <c r="M1368" s="1" t="str">
        <f t="shared" si="198"/>
        <v>On Time</v>
      </c>
      <c r="N1368" s="27" t="str">
        <f t="shared" si="193"/>
        <v>LOT</v>
      </c>
      <c r="O1368" s="3" t="s">
        <v>1385</v>
      </c>
      <c r="P1368" s="20">
        <f t="shared" si="194"/>
        <v>0</v>
      </c>
      <c r="Q1368" s="3" t="s">
        <v>1385</v>
      </c>
      <c r="R1368" s="23" t="str">
        <f t="shared" si="195"/>
        <v>Thursday</v>
      </c>
      <c r="S1368" s="3" t="s">
        <v>1385</v>
      </c>
      <c r="T1368" s="23" t="s">
        <v>19</v>
      </c>
      <c r="U1368" s="3" t="s">
        <v>1385</v>
      </c>
      <c r="AO1368" s="15"/>
      <c r="AP1368" s="15"/>
      <c r="AQ1368" s="15"/>
      <c r="AR1368" s="23"/>
      <c r="AS1368" s="15"/>
      <c r="AT1368" s="15"/>
      <c r="AU1368" s="23"/>
      <c r="AV1368" s="23"/>
    </row>
    <row r="1369" spans="1:48" x14ac:dyDescent="0.25">
      <c r="A1369" t="s">
        <v>24</v>
      </c>
      <c r="B1369" t="s">
        <v>7</v>
      </c>
      <c r="C1369" s="10" t="e">
        <f>NA()</f>
        <v>#N/A</v>
      </c>
      <c r="D1369" t="s">
        <v>377</v>
      </c>
      <c r="E1369" s="2">
        <f t="shared" si="197"/>
        <v>46226</v>
      </c>
      <c r="F1369" s="3" t="e">
        <f t="shared" si="196"/>
        <v>#N/A</v>
      </c>
      <c r="G1369" t="s">
        <v>26</v>
      </c>
      <c r="H1369" t="s">
        <v>27</v>
      </c>
      <c r="I1369" t="s">
        <v>11</v>
      </c>
      <c r="J1369" s="2">
        <v>46226</v>
      </c>
      <c r="K1369" s="1">
        <v>3.125E-2</v>
      </c>
      <c r="L1369" s="10" t="e">
        <f t="shared" si="192"/>
        <v>#N/A</v>
      </c>
      <c r="M1369" s="1" t="e">
        <f t="shared" si="198"/>
        <v>#N/A</v>
      </c>
      <c r="N1369" s="27" t="str">
        <f t="shared" si="193"/>
        <v>airBaltic</v>
      </c>
      <c r="O1369" s="3" t="e">
        <v>#N/A</v>
      </c>
      <c r="P1369" s="20" t="e">
        <f t="shared" si="194"/>
        <v>#N/A</v>
      </c>
      <c r="Q1369" s="3" t="e">
        <v>#N/A</v>
      </c>
      <c r="R1369" s="23" t="str">
        <f t="shared" si="195"/>
        <v>Thursday</v>
      </c>
      <c r="S1369" s="3" t="e">
        <v>#N/A</v>
      </c>
      <c r="T1369" s="23" t="s">
        <v>7</v>
      </c>
      <c r="AO1369" s="15"/>
      <c r="AP1369" s="15"/>
      <c r="AQ1369" s="15"/>
      <c r="AR1369" s="23"/>
      <c r="AS1369" s="15"/>
      <c r="AT1369" s="15"/>
      <c r="AU1369" s="23"/>
      <c r="AV1369" s="23"/>
    </row>
    <row r="1370" spans="1:48" x14ac:dyDescent="0.25">
      <c r="A1370" t="s">
        <v>32</v>
      </c>
      <c r="B1370" t="s">
        <v>13</v>
      </c>
      <c r="C1370" s="10">
        <v>-50</v>
      </c>
      <c r="D1370" t="s">
        <v>1237</v>
      </c>
      <c r="E1370" s="2">
        <f t="shared" si="197"/>
        <v>46226</v>
      </c>
      <c r="F1370" s="3">
        <f t="shared" si="196"/>
        <v>7.2916666666666671E-2</v>
      </c>
      <c r="G1370" t="s">
        <v>34</v>
      </c>
      <c r="H1370" t="s">
        <v>35</v>
      </c>
      <c r="I1370" t="s">
        <v>17</v>
      </c>
      <c r="J1370" s="2">
        <v>46226</v>
      </c>
      <c r="K1370" s="1">
        <v>5.5555555555555552E-2</v>
      </c>
      <c r="L1370" s="10">
        <f t="shared" si="192"/>
        <v>-25.000000000000011</v>
      </c>
      <c r="M1370" s="1" t="str">
        <f t="shared" si="198"/>
        <v>Delayed</v>
      </c>
      <c r="N1370" s="27" t="str">
        <f t="shared" si="193"/>
        <v>Wizz Air</v>
      </c>
      <c r="O1370" s="3" t="s">
        <v>1318</v>
      </c>
      <c r="P1370" s="20">
        <f t="shared" si="194"/>
        <v>1</v>
      </c>
      <c r="Q1370" s="3" t="s">
        <v>1318</v>
      </c>
      <c r="R1370" s="23" t="str">
        <f t="shared" si="195"/>
        <v>Thursday</v>
      </c>
      <c r="S1370" s="3" t="s">
        <v>1318</v>
      </c>
      <c r="T1370" s="23" t="s">
        <v>13</v>
      </c>
      <c r="U1370" s="3" t="s">
        <v>1318</v>
      </c>
      <c r="AO1370" s="15"/>
      <c r="AP1370" s="15"/>
      <c r="AQ1370" s="15"/>
      <c r="AR1370" s="23"/>
      <c r="AS1370" s="15"/>
      <c r="AT1370" s="15"/>
      <c r="AU1370" s="23"/>
      <c r="AV1370" s="23"/>
    </row>
    <row r="1371" spans="1:48" x14ac:dyDescent="0.25">
      <c r="A1371" t="s">
        <v>36</v>
      </c>
      <c r="B1371" t="s">
        <v>7</v>
      </c>
      <c r="C1371" s="10">
        <v>-60</v>
      </c>
      <c r="D1371" t="s">
        <v>1238</v>
      </c>
      <c r="E1371" s="2">
        <f t="shared" si="197"/>
        <v>46226</v>
      </c>
      <c r="F1371" s="3">
        <f t="shared" si="196"/>
        <v>7.7083333333333337E-2</v>
      </c>
      <c r="G1371" t="s">
        <v>38</v>
      </c>
      <c r="H1371" t="s">
        <v>39</v>
      </c>
      <c r="I1371" t="s">
        <v>11</v>
      </c>
      <c r="J1371" s="2">
        <v>46226</v>
      </c>
      <c r="K1371" s="1">
        <v>5.9027777777777783E-2</v>
      </c>
      <c r="L1371" s="10">
        <f t="shared" si="192"/>
        <v>-25.999999999999996</v>
      </c>
      <c r="M1371" s="1" t="str">
        <f t="shared" si="198"/>
        <v>Delayed</v>
      </c>
      <c r="N1371" s="27" t="str">
        <f t="shared" si="193"/>
        <v>airBaltic</v>
      </c>
      <c r="O1371" s="3" t="s">
        <v>1318</v>
      </c>
      <c r="P1371" s="20">
        <f t="shared" si="194"/>
        <v>1</v>
      </c>
      <c r="Q1371" s="3" t="s">
        <v>1318</v>
      </c>
      <c r="R1371" s="23" t="str">
        <f t="shared" si="195"/>
        <v>Thursday</v>
      </c>
      <c r="S1371" s="3" t="s">
        <v>1318</v>
      </c>
      <c r="T1371" s="23" t="s">
        <v>7</v>
      </c>
      <c r="U1371" s="3" t="s">
        <v>1318</v>
      </c>
      <c r="AO1371" s="15"/>
      <c r="AP1371" s="15"/>
      <c r="AQ1371" s="15"/>
      <c r="AR1371" s="23"/>
      <c r="AS1371" s="15"/>
      <c r="AT1371" s="15"/>
      <c r="AU1371" s="23"/>
      <c r="AV1371" s="23"/>
    </row>
    <row r="1372" spans="1:48" x14ac:dyDescent="0.25">
      <c r="A1372" t="s">
        <v>40</v>
      </c>
      <c r="B1372" t="s">
        <v>41</v>
      </c>
      <c r="C1372" s="10">
        <v>0</v>
      </c>
      <c r="D1372" t="s">
        <v>33</v>
      </c>
      <c r="E1372" s="2">
        <f t="shared" si="197"/>
        <v>46226</v>
      </c>
      <c r="F1372" s="3">
        <f t="shared" si="196"/>
        <v>6.3888888888888884E-2</v>
      </c>
      <c r="G1372" t="s">
        <v>43</v>
      </c>
      <c r="H1372" t="s">
        <v>44</v>
      </c>
      <c r="I1372" t="s">
        <v>158</v>
      </c>
      <c r="J1372" s="2">
        <v>46226</v>
      </c>
      <c r="K1372" s="1">
        <v>5.9027777777777783E-2</v>
      </c>
      <c r="L1372" s="10">
        <f t="shared" si="192"/>
        <v>-6.9999999999999849</v>
      </c>
      <c r="M1372" s="1" t="str">
        <f t="shared" si="198"/>
        <v>On Time</v>
      </c>
      <c r="N1372" s="27" t="str">
        <f t="shared" si="193"/>
        <v>SAS</v>
      </c>
      <c r="O1372" s="3" t="s">
        <v>1385</v>
      </c>
      <c r="P1372" s="20">
        <f t="shared" si="194"/>
        <v>1</v>
      </c>
      <c r="Q1372" s="3" t="s">
        <v>1385</v>
      </c>
      <c r="R1372" s="23" t="str">
        <f t="shared" si="195"/>
        <v>Thursday</v>
      </c>
      <c r="S1372" s="3" t="s">
        <v>1385</v>
      </c>
      <c r="T1372" s="23" t="s">
        <v>41</v>
      </c>
      <c r="U1372" s="3" t="s">
        <v>1385</v>
      </c>
      <c r="AO1372" s="15"/>
      <c r="AP1372" s="15"/>
      <c r="AQ1372" s="15"/>
      <c r="AR1372" s="23"/>
      <c r="AS1372" s="15"/>
      <c r="AT1372" s="15"/>
      <c r="AU1372" s="23"/>
      <c r="AV1372" s="23"/>
    </row>
    <row r="1373" spans="1:48" x14ac:dyDescent="0.25">
      <c r="A1373" t="s">
        <v>54</v>
      </c>
      <c r="B1373" t="s">
        <v>55</v>
      </c>
      <c r="C1373" s="10">
        <v>-11</v>
      </c>
      <c r="D1373" t="s">
        <v>1174</v>
      </c>
      <c r="E1373" s="2">
        <f t="shared" si="197"/>
        <v>46226</v>
      </c>
      <c r="F1373" s="3">
        <f t="shared" si="196"/>
        <v>0.31805555555555554</v>
      </c>
      <c r="G1373" t="s">
        <v>57</v>
      </c>
      <c r="H1373" t="s">
        <v>58</v>
      </c>
      <c r="I1373" t="s">
        <v>59</v>
      </c>
      <c r="J1373" s="2">
        <v>46226</v>
      </c>
      <c r="K1373" s="1">
        <v>0.31736111111111115</v>
      </c>
      <c r="L1373" s="10">
        <f t="shared" si="192"/>
        <v>-0.99999999999991651</v>
      </c>
      <c r="M1373" s="1" t="str">
        <f t="shared" si="198"/>
        <v>On Time</v>
      </c>
      <c r="N1373" s="27" t="e">
        <f t="shared" si="193"/>
        <v>#N/A</v>
      </c>
      <c r="O1373" s="3" t="s">
        <v>1385</v>
      </c>
      <c r="P1373" s="20">
        <f t="shared" si="194"/>
        <v>7</v>
      </c>
      <c r="Q1373" s="3" t="s">
        <v>1385</v>
      </c>
      <c r="R1373" s="23" t="str">
        <f t="shared" si="195"/>
        <v>Thursday</v>
      </c>
      <c r="S1373" s="3" t="s">
        <v>1385</v>
      </c>
      <c r="T1373" s="23" t="s">
        <v>55</v>
      </c>
      <c r="U1373" s="3" t="s">
        <v>1385</v>
      </c>
      <c r="AO1373" s="15"/>
      <c r="AP1373" s="15"/>
      <c r="AQ1373" s="15"/>
      <c r="AR1373" s="23"/>
      <c r="AS1373" s="15"/>
      <c r="AT1373" s="15"/>
      <c r="AU1373" s="23"/>
      <c r="AV1373" s="23"/>
    </row>
    <row r="1374" spans="1:48" x14ac:dyDescent="0.25">
      <c r="A1374" t="s">
        <v>60</v>
      </c>
      <c r="B1374" t="s">
        <v>7</v>
      </c>
      <c r="C1374" s="10">
        <v>-14</v>
      </c>
      <c r="D1374" t="s">
        <v>891</v>
      </c>
      <c r="E1374" s="2">
        <f t="shared" si="197"/>
        <v>46226</v>
      </c>
      <c r="F1374" s="3">
        <f t="shared" si="196"/>
        <v>0.35694444444444445</v>
      </c>
      <c r="G1374" t="s">
        <v>9</v>
      </c>
      <c r="H1374" t="s">
        <v>10</v>
      </c>
      <c r="I1374" t="s">
        <v>11</v>
      </c>
      <c r="J1374" s="2">
        <v>46226</v>
      </c>
      <c r="K1374" s="1">
        <v>0.3611111111111111</v>
      </c>
      <c r="L1374" s="10">
        <f t="shared" si="192"/>
        <v>5.9999999999999787</v>
      </c>
      <c r="M1374" s="1" t="str">
        <f t="shared" si="198"/>
        <v>On Time</v>
      </c>
      <c r="N1374" s="27" t="str">
        <f t="shared" si="193"/>
        <v>airBaltic</v>
      </c>
      <c r="O1374" s="3" t="s">
        <v>1385</v>
      </c>
      <c r="P1374" s="20">
        <f t="shared" si="194"/>
        <v>8</v>
      </c>
      <c r="Q1374" s="3" t="s">
        <v>1385</v>
      </c>
      <c r="R1374" s="23" t="str">
        <f t="shared" si="195"/>
        <v>Thursday</v>
      </c>
      <c r="S1374" s="3" t="s">
        <v>1385</v>
      </c>
      <c r="T1374" s="23" t="s">
        <v>7</v>
      </c>
      <c r="U1374" s="3" t="s">
        <v>1385</v>
      </c>
      <c r="AO1374" s="15"/>
      <c r="AP1374" s="15"/>
      <c r="AQ1374" s="15"/>
      <c r="AR1374" s="23"/>
      <c r="AS1374" s="15"/>
      <c r="AT1374" s="15"/>
      <c r="AU1374" s="23"/>
      <c r="AV1374" s="23"/>
    </row>
    <row r="1375" spans="1:48" x14ac:dyDescent="0.25">
      <c r="A1375" t="s">
        <v>62</v>
      </c>
      <c r="B1375" t="s">
        <v>63</v>
      </c>
      <c r="C1375" s="10">
        <v>-19</v>
      </c>
      <c r="D1375" t="s">
        <v>1239</v>
      </c>
      <c r="E1375" s="2">
        <f t="shared" si="197"/>
        <v>46226</v>
      </c>
      <c r="F1375" s="3">
        <f t="shared" si="196"/>
        <v>0.375</v>
      </c>
      <c r="G1375" t="s">
        <v>65</v>
      </c>
      <c r="H1375" t="s">
        <v>66</v>
      </c>
      <c r="I1375" t="s">
        <v>83</v>
      </c>
      <c r="J1375" s="2">
        <v>46226</v>
      </c>
      <c r="K1375" s="1">
        <v>0.37847222222222227</v>
      </c>
      <c r="L1375" s="10">
        <f t="shared" si="192"/>
        <v>5.0000000000000622</v>
      </c>
      <c r="M1375" s="1" t="str">
        <f t="shared" si="198"/>
        <v>On Time</v>
      </c>
      <c r="N1375" s="27" t="e">
        <f t="shared" si="193"/>
        <v>#N/A</v>
      </c>
      <c r="O1375" s="3" t="s">
        <v>1385</v>
      </c>
      <c r="P1375" s="20">
        <f t="shared" si="194"/>
        <v>9</v>
      </c>
      <c r="Q1375" s="3" t="s">
        <v>1385</v>
      </c>
      <c r="R1375" s="23" t="str">
        <f t="shared" si="195"/>
        <v>Thursday</v>
      </c>
      <c r="S1375" s="3" t="s">
        <v>1385</v>
      </c>
      <c r="T1375" s="23" t="s">
        <v>63</v>
      </c>
      <c r="U1375" s="3" t="s">
        <v>1385</v>
      </c>
      <c r="AO1375" s="15"/>
      <c r="AP1375" s="15"/>
      <c r="AQ1375" s="15"/>
      <c r="AR1375" s="23"/>
      <c r="AS1375" s="15"/>
      <c r="AT1375" s="15"/>
      <c r="AU1375" s="23"/>
      <c r="AV1375" s="23"/>
    </row>
    <row r="1376" spans="1:48" x14ac:dyDescent="0.25">
      <c r="A1376" t="s">
        <v>68</v>
      </c>
      <c r="B1376" t="s">
        <v>69</v>
      </c>
      <c r="C1376" s="10">
        <v>-6</v>
      </c>
      <c r="D1376" t="s">
        <v>970</v>
      </c>
      <c r="E1376" s="2">
        <f t="shared" si="197"/>
        <v>46226</v>
      </c>
      <c r="F1376" s="3">
        <f t="shared" si="196"/>
        <v>0.3840277777777778</v>
      </c>
      <c r="G1376" t="s">
        <v>71</v>
      </c>
      <c r="H1376" t="s">
        <v>72</v>
      </c>
      <c r="I1376" t="s">
        <v>73</v>
      </c>
      <c r="J1376" s="2">
        <v>46226</v>
      </c>
      <c r="K1376" s="1">
        <v>0.3888888888888889</v>
      </c>
      <c r="L1376" s="10">
        <f t="shared" si="192"/>
        <v>6.9999999999999751</v>
      </c>
      <c r="M1376" s="1" t="str">
        <f t="shared" si="198"/>
        <v>On Time</v>
      </c>
      <c r="N1376" s="27" t="str">
        <f t="shared" si="193"/>
        <v>Finnair</v>
      </c>
      <c r="O1376" s="3" t="s">
        <v>1385</v>
      </c>
      <c r="P1376" s="20">
        <f t="shared" si="194"/>
        <v>9</v>
      </c>
      <c r="Q1376" s="3" t="s">
        <v>1385</v>
      </c>
      <c r="R1376" s="23" t="str">
        <f t="shared" si="195"/>
        <v>Thursday</v>
      </c>
      <c r="S1376" s="3" t="s">
        <v>1385</v>
      </c>
      <c r="T1376" s="23" t="s">
        <v>69</v>
      </c>
      <c r="U1376" s="3" t="s">
        <v>1385</v>
      </c>
      <c r="AO1376" s="15"/>
      <c r="AP1376" s="15"/>
      <c r="AQ1376" s="15"/>
      <c r="AR1376" s="23"/>
      <c r="AS1376" s="15"/>
      <c r="AT1376" s="15"/>
      <c r="AU1376" s="23"/>
      <c r="AV1376" s="23"/>
    </row>
    <row r="1377" spans="1:48" x14ac:dyDescent="0.25">
      <c r="A1377" t="s">
        <v>74</v>
      </c>
      <c r="B1377" t="s">
        <v>13</v>
      </c>
      <c r="C1377" s="10">
        <v>-2</v>
      </c>
      <c r="D1377" t="s">
        <v>895</v>
      </c>
      <c r="E1377" s="2">
        <f t="shared" si="197"/>
        <v>46226</v>
      </c>
      <c r="F1377" s="3">
        <f t="shared" si="196"/>
        <v>0.37291666666666662</v>
      </c>
      <c r="G1377" t="s">
        <v>76</v>
      </c>
      <c r="H1377" t="s">
        <v>77</v>
      </c>
      <c r="I1377" t="s">
        <v>17</v>
      </c>
      <c r="J1377" s="2">
        <v>46226</v>
      </c>
      <c r="K1377" s="1">
        <v>0.3888888888888889</v>
      </c>
      <c r="L1377" s="10">
        <f t="shared" si="192"/>
        <v>23.000000000000078</v>
      </c>
      <c r="M1377" s="1" t="str">
        <f t="shared" si="198"/>
        <v>On Time</v>
      </c>
      <c r="N1377" s="27" t="str">
        <f t="shared" si="193"/>
        <v>Wizz Air</v>
      </c>
      <c r="O1377" s="3" t="s">
        <v>1385</v>
      </c>
      <c r="P1377" s="20">
        <f t="shared" si="194"/>
        <v>8</v>
      </c>
      <c r="Q1377" s="3" t="s">
        <v>1385</v>
      </c>
      <c r="R1377" s="23" t="str">
        <f t="shared" si="195"/>
        <v>Thursday</v>
      </c>
      <c r="S1377" s="3" t="s">
        <v>1385</v>
      </c>
      <c r="T1377" s="23" t="s">
        <v>13</v>
      </c>
      <c r="U1377" s="3" t="s">
        <v>1385</v>
      </c>
      <c r="AO1377" s="15"/>
      <c r="AP1377" s="15"/>
      <c r="AQ1377" s="15"/>
      <c r="AR1377" s="23"/>
      <c r="AS1377" s="15"/>
      <c r="AT1377" s="15"/>
      <c r="AU1377" s="23"/>
      <c r="AV1377" s="23"/>
    </row>
    <row r="1378" spans="1:48" x14ac:dyDescent="0.25">
      <c r="A1378" t="s">
        <v>78</v>
      </c>
      <c r="B1378" t="s">
        <v>1188</v>
      </c>
      <c r="C1378" s="10">
        <v>-14</v>
      </c>
      <c r="D1378" t="s">
        <v>1240</v>
      </c>
      <c r="E1378" s="2">
        <f t="shared" si="197"/>
        <v>46226</v>
      </c>
      <c r="F1378" s="3">
        <f t="shared" si="196"/>
        <v>0.40138888888888885</v>
      </c>
      <c r="G1378" t="s">
        <v>81</v>
      </c>
      <c r="H1378" t="s">
        <v>82</v>
      </c>
      <c r="I1378" t="s">
        <v>67</v>
      </c>
      <c r="J1378" s="2">
        <v>46226</v>
      </c>
      <c r="K1378" s="1">
        <v>0.40972222222222227</v>
      </c>
      <c r="L1378" s="10">
        <f t="shared" si="192"/>
        <v>12.000000000000117</v>
      </c>
      <c r="M1378" s="1" t="str">
        <f t="shared" si="198"/>
        <v>On Time</v>
      </c>
      <c r="N1378" s="27" t="e">
        <f t="shared" si="193"/>
        <v>#N/A</v>
      </c>
      <c r="O1378" s="3" t="s">
        <v>1385</v>
      </c>
      <c r="P1378" s="20">
        <f t="shared" si="194"/>
        <v>9</v>
      </c>
      <c r="Q1378" s="3" t="s">
        <v>1385</v>
      </c>
      <c r="R1378" s="23" t="str">
        <f t="shared" si="195"/>
        <v>Thursday</v>
      </c>
      <c r="S1378" s="3" t="s">
        <v>1385</v>
      </c>
      <c r="T1378" s="23" t="s">
        <v>1188</v>
      </c>
      <c r="U1378" s="3" t="s">
        <v>1385</v>
      </c>
      <c r="AO1378" s="15"/>
      <c r="AP1378" s="15"/>
      <c r="AQ1378" s="15"/>
      <c r="AR1378" s="23"/>
      <c r="AS1378" s="15"/>
      <c r="AT1378" s="15"/>
      <c r="AU1378" s="23"/>
      <c r="AV1378" s="23"/>
    </row>
    <row r="1379" spans="1:48" x14ac:dyDescent="0.25">
      <c r="A1379" t="s">
        <v>84</v>
      </c>
      <c r="B1379" t="s">
        <v>85</v>
      </c>
      <c r="C1379" s="10">
        <v>0</v>
      </c>
      <c r="D1379" t="s">
        <v>1241</v>
      </c>
      <c r="E1379" s="2">
        <f t="shared" si="197"/>
        <v>46226</v>
      </c>
      <c r="F1379" s="3">
        <f t="shared" si="196"/>
        <v>0.3923611111111111</v>
      </c>
      <c r="G1379" t="s">
        <v>87</v>
      </c>
      <c r="H1379" t="s">
        <v>88</v>
      </c>
      <c r="I1379" t="s">
        <v>162</v>
      </c>
      <c r="J1379" s="2">
        <v>46226</v>
      </c>
      <c r="K1379" s="1">
        <v>0.41319444444444442</v>
      </c>
      <c r="L1379" s="10">
        <f t="shared" si="192"/>
        <v>29.999999999999972</v>
      </c>
      <c r="M1379" s="1" t="str">
        <f t="shared" si="198"/>
        <v>On Time</v>
      </c>
      <c r="N1379" s="27" t="str">
        <f t="shared" si="193"/>
        <v>Ryanair</v>
      </c>
      <c r="O1379" s="3" t="s">
        <v>1385</v>
      </c>
      <c r="P1379" s="20">
        <f t="shared" si="194"/>
        <v>9</v>
      </c>
      <c r="Q1379" s="3" t="s">
        <v>1385</v>
      </c>
      <c r="R1379" s="23" t="str">
        <f t="shared" si="195"/>
        <v>Thursday</v>
      </c>
      <c r="S1379" s="3" t="s">
        <v>1385</v>
      </c>
      <c r="T1379" s="23" t="s">
        <v>85</v>
      </c>
      <c r="U1379" s="3" t="s">
        <v>1385</v>
      </c>
      <c r="AO1379" s="15"/>
      <c r="AP1379" s="15"/>
      <c r="AQ1379" s="15"/>
      <c r="AR1379" s="23"/>
      <c r="AS1379" s="15"/>
      <c r="AT1379" s="15"/>
      <c r="AU1379" s="23"/>
      <c r="AV1379" s="23"/>
    </row>
    <row r="1380" spans="1:48" x14ac:dyDescent="0.25">
      <c r="A1380" t="s">
        <v>90</v>
      </c>
      <c r="B1380" t="s">
        <v>19</v>
      </c>
      <c r="C1380" s="10">
        <v>-7</v>
      </c>
      <c r="D1380" t="s">
        <v>1242</v>
      </c>
      <c r="E1380" s="2">
        <f t="shared" si="197"/>
        <v>46226</v>
      </c>
      <c r="F1380" s="3">
        <f t="shared" si="196"/>
        <v>0.41111111111111115</v>
      </c>
      <c r="G1380" t="s">
        <v>21</v>
      </c>
      <c r="H1380" t="s">
        <v>22</v>
      </c>
      <c r="I1380" t="s">
        <v>276</v>
      </c>
      <c r="J1380" s="2">
        <v>46226</v>
      </c>
      <c r="K1380" s="1">
        <v>0.4201388888888889</v>
      </c>
      <c r="L1380" s="10">
        <f t="shared" si="192"/>
        <v>12.999999999999954</v>
      </c>
      <c r="M1380" s="1" t="str">
        <f t="shared" si="198"/>
        <v>On Time</v>
      </c>
      <c r="N1380" s="27" t="str">
        <f t="shared" si="193"/>
        <v>LOT</v>
      </c>
      <c r="O1380" s="3" t="s">
        <v>1385</v>
      </c>
      <c r="P1380" s="20">
        <f t="shared" si="194"/>
        <v>9</v>
      </c>
      <c r="Q1380" s="3" t="s">
        <v>1385</v>
      </c>
      <c r="R1380" s="23" t="str">
        <f t="shared" si="195"/>
        <v>Thursday</v>
      </c>
      <c r="S1380" s="3" t="s">
        <v>1385</v>
      </c>
      <c r="T1380" s="23" t="s">
        <v>19</v>
      </c>
      <c r="U1380" s="3" t="s">
        <v>1385</v>
      </c>
      <c r="AO1380" s="15"/>
      <c r="AP1380" s="15"/>
      <c r="AQ1380" s="15"/>
      <c r="AR1380" s="23"/>
      <c r="AS1380" s="15"/>
      <c r="AT1380" s="15"/>
      <c r="AU1380" s="23"/>
      <c r="AV1380" s="23"/>
    </row>
    <row r="1381" spans="1:48" x14ac:dyDescent="0.25">
      <c r="A1381" t="s">
        <v>93</v>
      </c>
      <c r="B1381" t="s">
        <v>7</v>
      </c>
      <c r="C1381" s="10">
        <v>10</v>
      </c>
      <c r="D1381" t="s">
        <v>1243</v>
      </c>
      <c r="E1381" s="2">
        <f t="shared" si="197"/>
        <v>46226</v>
      </c>
      <c r="F1381" s="3">
        <f t="shared" si="196"/>
        <v>0.42708333333333331</v>
      </c>
      <c r="G1381" t="s">
        <v>76</v>
      </c>
      <c r="H1381" t="s">
        <v>77</v>
      </c>
      <c r="I1381" t="s">
        <v>11</v>
      </c>
      <c r="J1381" s="2">
        <v>46226</v>
      </c>
      <c r="K1381" s="1">
        <v>0.44791666666666669</v>
      </c>
      <c r="L1381" s="10">
        <f t="shared" si="192"/>
        <v>30.000000000000053</v>
      </c>
      <c r="M1381" s="1" t="str">
        <f t="shared" si="198"/>
        <v>On Time</v>
      </c>
      <c r="N1381" s="27" t="str">
        <f t="shared" si="193"/>
        <v>airBaltic</v>
      </c>
      <c r="O1381" s="3" t="s">
        <v>1385</v>
      </c>
      <c r="P1381" s="20">
        <f t="shared" si="194"/>
        <v>10</v>
      </c>
      <c r="Q1381" s="3" t="s">
        <v>1385</v>
      </c>
      <c r="R1381" s="23" t="str">
        <f t="shared" si="195"/>
        <v>Thursday</v>
      </c>
      <c r="S1381" s="3" t="s">
        <v>1385</v>
      </c>
      <c r="T1381" s="23" t="s">
        <v>7</v>
      </c>
      <c r="U1381" s="3" t="s">
        <v>1385</v>
      </c>
      <c r="AO1381" s="15"/>
      <c r="AP1381" s="15"/>
      <c r="AQ1381" s="15"/>
      <c r="AR1381" s="23"/>
      <c r="AS1381" s="15"/>
      <c r="AT1381" s="15"/>
      <c r="AU1381" s="23"/>
      <c r="AV1381" s="23"/>
    </row>
    <row r="1382" spans="1:48" x14ac:dyDescent="0.25">
      <c r="A1382" t="s">
        <v>100</v>
      </c>
      <c r="B1382" t="s">
        <v>85</v>
      </c>
      <c r="C1382" s="10">
        <v>-12</v>
      </c>
      <c r="D1382" t="s">
        <v>311</v>
      </c>
      <c r="E1382" s="2">
        <f t="shared" si="197"/>
        <v>46226</v>
      </c>
      <c r="F1382" s="3">
        <f t="shared" si="196"/>
        <v>0.49722222222222223</v>
      </c>
      <c r="G1382" t="s">
        <v>102</v>
      </c>
      <c r="H1382" t="s">
        <v>103</v>
      </c>
      <c r="I1382" t="s">
        <v>89</v>
      </c>
      <c r="J1382" s="2">
        <v>46226</v>
      </c>
      <c r="K1382" s="1">
        <v>0.5</v>
      </c>
      <c r="L1382" s="10">
        <f t="shared" si="192"/>
        <v>3.9999999999999858</v>
      </c>
      <c r="M1382" s="1" t="str">
        <f t="shared" si="198"/>
        <v>On Time</v>
      </c>
      <c r="N1382" s="27" t="str">
        <f t="shared" si="193"/>
        <v>Ryanair</v>
      </c>
      <c r="O1382" s="3" t="s">
        <v>1385</v>
      </c>
      <c r="P1382" s="20">
        <f t="shared" si="194"/>
        <v>11</v>
      </c>
      <c r="Q1382" s="3" t="s">
        <v>1385</v>
      </c>
      <c r="R1382" s="23" t="str">
        <f t="shared" si="195"/>
        <v>Thursday</v>
      </c>
      <c r="S1382" s="3" t="s">
        <v>1385</v>
      </c>
      <c r="T1382" s="23" t="s">
        <v>85</v>
      </c>
      <c r="U1382" s="3" t="s">
        <v>1385</v>
      </c>
      <c r="AO1382" s="15"/>
      <c r="AP1382" s="15"/>
      <c r="AQ1382" s="15"/>
      <c r="AR1382" s="23"/>
      <c r="AS1382" s="15"/>
      <c r="AT1382" s="15"/>
      <c r="AU1382" s="23"/>
      <c r="AV1382" s="23"/>
    </row>
    <row r="1383" spans="1:48" x14ac:dyDescent="0.25">
      <c r="A1383" t="s">
        <v>104</v>
      </c>
      <c r="B1383" t="s">
        <v>85</v>
      </c>
      <c r="C1383" s="10">
        <v>-6</v>
      </c>
      <c r="D1383" t="s">
        <v>1001</v>
      </c>
      <c r="E1383" s="2">
        <f t="shared" si="197"/>
        <v>46226</v>
      </c>
      <c r="F1383" s="3">
        <f t="shared" si="196"/>
        <v>0.50972222222222219</v>
      </c>
      <c r="G1383" t="s">
        <v>106</v>
      </c>
      <c r="H1383" t="s">
        <v>107</v>
      </c>
      <c r="I1383" t="s">
        <v>89</v>
      </c>
      <c r="J1383" s="2">
        <v>46226</v>
      </c>
      <c r="K1383" s="1">
        <v>0.52430555555555558</v>
      </c>
      <c r="L1383" s="10">
        <f t="shared" si="192"/>
        <v>21.000000000000085</v>
      </c>
      <c r="M1383" s="1" t="str">
        <f t="shared" si="198"/>
        <v>On Time</v>
      </c>
      <c r="N1383" s="27" t="str">
        <f t="shared" si="193"/>
        <v>Ryanair</v>
      </c>
      <c r="O1383" s="3" t="s">
        <v>1385</v>
      </c>
      <c r="P1383" s="20">
        <f t="shared" si="194"/>
        <v>12</v>
      </c>
      <c r="Q1383" s="3" t="s">
        <v>1385</v>
      </c>
      <c r="R1383" s="23" t="str">
        <f t="shared" si="195"/>
        <v>Thursday</v>
      </c>
      <c r="S1383" s="3" t="s">
        <v>1385</v>
      </c>
      <c r="T1383" s="23" t="s">
        <v>85</v>
      </c>
      <c r="U1383" s="3" t="s">
        <v>1385</v>
      </c>
      <c r="AO1383" s="15"/>
      <c r="AP1383" s="15"/>
      <c r="AQ1383" s="15"/>
      <c r="AR1383" s="23"/>
      <c r="AS1383" s="15"/>
      <c r="AT1383" s="15"/>
      <c r="AU1383" s="23"/>
      <c r="AV1383" s="23"/>
    </row>
    <row r="1384" spans="1:48" x14ac:dyDescent="0.25">
      <c r="A1384" t="s">
        <v>108</v>
      </c>
      <c r="B1384" t="s">
        <v>190</v>
      </c>
      <c r="C1384" s="10">
        <v>-33</v>
      </c>
      <c r="D1384" t="s">
        <v>900</v>
      </c>
      <c r="E1384" s="2">
        <f t="shared" si="197"/>
        <v>46226</v>
      </c>
      <c r="F1384" s="3">
        <f t="shared" si="196"/>
        <v>0.53749999999999998</v>
      </c>
      <c r="G1384" t="s">
        <v>110</v>
      </c>
      <c r="H1384" t="s">
        <v>111</v>
      </c>
      <c r="I1384" t="s">
        <v>112</v>
      </c>
      <c r="J1384" s="2">
        <v>46226</v>
      </c>
      <c r="K1384" s="1">
        <v>0.52777777777777779</v>
      </c>
      <c r="L1384" s="10">
        <f t="shared" si="192"/>
        <v>-13.99999999999995</v>
      </c>
      <c r="M1384" s="1" t="str">
        <f t="shared" si="198"/>
        <v>On Time</v>
      </c>
      <c r="N1384" s="27" t="str">
        <f t="shared" si="193"/>
        <v>Lufthansa</v>
      </c>
      <c r="O1384" s="3" t="s">
        <v>1385</v>
      </c>
      <c r="P1384" s="20">
        <f t="shared" si="194"/>
        <v>12</v>
      </c>
      <c r="Q1384" s="3" t="s">
        <v>1385</v>
      </c>
      <c r="R1384" s="23" t="str">
        <f t="shared" si="195"/>
        <v>Thursday</v>
      </c>
      <c r="S1384" s="3" t="s">
        <v>1385</v>
      </c>
      <c r="T1384" s="23" t="s">
        <v>190</v>
      </c>
      <c r="U1384" s="3" t="s">
        <v>1385</v>
      </c>
      <c r="AO1384" s="15"/>
      <c r="AP1384" s="15"/>
      <c r="AQ1384" s="15"/>
      <c r="AR1384" s="23"/>
      <c r="AS1384" s="15"/>
      <c r="AT1384" s="15"/>
      <c r="AU1384" s="23"/>
      <c r="AV1384" s="23"/>
    </row>
    <row r="1385" spans="1:48" x14ac:dyDescent="0.25">
      <c r="A1385" t="s">
        <v>113</v>
      </c>
      <c r="B1385" t="s">
        <v>13</v>
      </c>
      <c r="C1385" s="10">
        <v>-27</v>
      </c>
      <c r="D1385" t="s">
        <v>430</v>
      </c>
      <c r="E1385" s="2">
        <f t="shared" si="197"/>
        <v>46226</v>
      </c>
      <c r="F1385" s="3">
        <f t="shared" si="196"/>
        <v>0.54166666666666663</v>
      </c>
      <c r="G1385" t="s">
        <v>102</v>
      </c>
      <c r="H1385" t="s">
        <v>115</v>
      </c>
      <c r="I1385" t="s">
        <v>17</v>
      </c>
      <c r="J1385" s="2">
        <v>46226</v>
      </c>
      <c r="K1385" s="1">
        <v>0.53472222222222221</v>
      </c>
      <c r="L1385" s="10">
        <f t="shared" si="192"/>
        <v>-9.9999999999999645</v>
      </c>
      <c r="M1385" s="1" t="str">
        <f t="shared" si="198"/>
        <v>On Time</v>
      </c>
      <c r="N1385" s="27" t="str">
        <f t="shared" si="193"/>
        <v>Wizz Air</v>
      </c>
      <c r="O1385" s="3" t="s">
        <v>1385</v>
      </c>
      <c r="P1385" s="20">
        <f t="shared" si="194"/>
        <v>13</v>
      </c>
      <c r="Q1385" s="3" t="s">
        <v>1385</v>
      </c>
      <c r="R1385" s="23" t="str">
        <f t="shared" si="195"/>
        <v>Thursday</v>
      </c>
      <c r="S1385" s="3" t="s">
        <v>1385</v>
      </c>
      <c r="T1385" s="23" t="s">
        <v>13</v>
      </c>
      <c r="U1385" s="3" t="s">
        <v>1385</v>
      </c>
      <c r="AO1385" s="15"/>
      <c r="AP1385" s="15"/>
      <c r="AQ1385" s="15"/>
      <c r="AR1385" s="23"/>
      <c r="AS1385" s="15"/>
      <c r="AT1385" s="15"/>
      <c r="AU1385" s="23"/>
      <c r="AV1385" s="23"/>
    </row>
    <row r="1386" spans="1:48" x14ac:dyDescent="0.25">
      <c r="A1386" t="s">
        <v>121</v>
      </c>
      <c r="B1386" t="s">
        <v>69</v>
      </c>
      <c r="C1386" s="10">
        <v>-6</v>
      </c>
      <c r="D1386" t="s">
        <v>1144</v>
      </c>
      <c r="E1386" s="2">
        <f t="shared" si="197"/>
        <v>46226</v>
      </c>
      <c r="F1386" s="3">
        <f t="shared" si="196"/>
        <v>0.54027777777777775</v>
      </c>
      <c r="G1386" t="s">
        <v>71</v>
      </c>
      <c r="H1386" t="s">
        <v>72</v>
      </c>
      <c r="I1386" t="s">
        <v>73</v>
      </c>
      <c r="J1386" s="2">
        <v>46226</v>
      </c>
      <c r="K1386" s="1">
        <v>0.54166666666666663</v>
      </c>
      <c r="L1386" s="10">
        <f t="shared" si="192"/>
        <v>1.9999999999999929</v>
      </c>
      <c r="M1386" s="1" t="str">
        <f t="shared" si="198"/>
        <v>On Time</v>
      </c>
      <c r="N1386" s="27" t="str">
        <f t="shared" si="193"/>
        <v>Finnair</v>
      </c>
      <c r="O1386" s="3" t="s">
        <v>1385</v>
      </c>
      <c r="P1386" s="20">
        <f t="shared" si="194"/>
        <v>12</v>
      </c>
      <c r="Q1386" s="3" t="s">
        <v>1385</v>
      </c>
      <c r="R1386" s="23" t="str">
        <f t="shared" si="195"/>
        <v>Thursday</v>
      </c>
      <c r="S1386" s="3" t="s">
        <v>1385</v>
      </c>
      <c r="T1386" s="23" t="s">
        <v>69</v>
      </c>
      <c r="U1386" s="3" t="s">
        <v>1385</v>
      </c>
      <c r="AO1386" s="15"/>
      <c r="AP1386" s="15"/>
      <c r="AQ1386" s="15"/>
      <c r="AR1386" s="23"/>
      <c r="AS1386" s="15"/>
      <c r="AT1386" s="15"/>
      <c r="AU1386" s="23"/>
      <c r="AV1386" s="23"/>
    </row>
    <row r="1387" spans="1:48" x14ac:dyDescent="0.25">
      <c r="A1387" t="s">
        <v>116</v>
      </c>
      <c r="B1387" t="s">
        <v>117</v>
      </c>
      <c r="C1387" s="10">
        <v>-31</v>
      </c>
      <c r="D1387" t="s">
        <v>709</v>
      </c>
      <c r="E1387" s="2">
        <f t="shared" si="197"/>
        <v>46226</v>
      </c>
      <c r="F1387" s="3">
        <f t="shared" si="196"/>
        <v>0.55069444444444449</v>
      </c>
      <c r="G1387" t="s">
        <v>119</v>
      </c>
      <c r="H1387" t="s">
        <v>120</v>
      </c>
      <c r="I1387" t="s">
        <v>67</v>
      </c>
      <c r="J1387" s="2">
        <v>46226</v>
      </c>
      <c r="K1387" s="1">
        <v>0.54375000000000007</v>
      </c>
      <c r="L1387" s="10">
        <f t="shared" si="192"/>
        <v>-9.9999999999999645</v>
      </c>
      <c r="M1387" s="1" t="str">
        <f t="shared" si="198"/>
        <v>On Time</v>
      </c>
      <c r="N1387" s="27" t="str">
        <f t="shared" si="193"/>
        <v>Heston Airlines</v>
      </c>
      <c r="O1387" s="3" t="s">
        <v>1385</v>
      </c>
      <c r="P1387" s="20">
        <f t="shared" si="194"/>
        <v>13</v>
      </c>
      <c r="Q1387" s="3" t="s">
        <v>1385</v>
      </c>
      <c r="R1387" s="23" t="str">
        <f t="shared" si="195"/>
        <v>Thursday</v>
      </c>
      <c r="S1387" s="3" t="s">
        <v>1385</v>
      </c>
      <c r="T1387" s="23" t="s">
        <v>117</v>
      </c>
      <c r="U1387" s="3" t="s">
        <v>1385</v>
      </c>
      <c r="AO1387" s="15"/>
      <c r="AP1387" s="15"/>
      <c r="AQ1387" s="15"/>
      <c r="AR1387" s="23"/>
      <c r="AS1387" s="15"/>
      <c r="AT1387" s="15"/>
      <c r="AU1387" s="23"/>
      <c r="AV1387" s="23"/>
    </row>
    <row r="1388" spans="1:48" x14ac:dyDescent="0.25">
      <c r="A1388" t="s">
        <v>127</v>
      </c>
      <c r="B1388" t="s">
        <v>85</v>
      </c>
      <c r="C1388" s="10">
        <v>-3</v>
      </c>
      <c r="D1388" t="s">
        <v>132</v>
      </c>
      <c r="E1388" s="2">
        <f t="shared" si="197"/>
        <v>46226</v>
      </c>
      <c r="F1388" s="3">
        <f t="shared" si="196"/>
        <v>0.54305555555555551</v>
      </c>
      <c r="G1388" t="s">
        <v>129</v>
      </c>
      <c r="H1388" t="s">
        <v>130</v>
      </c>
      <c r="I1388" t="s">
        <v>89</v>
      </c>
      <c r="J1388" s="2">
        <v>46226</v>
      </c>
      <c r="K1388" s="1">
        <v>0.55555555555555558</v>
      </c>
      <c r="L1388" s="10">
        <f t="shared" si="192"/>
        <v>18.000000000000096</v>
      </c>
      <c r="M1388" s="1" t="str">
        <f t="shared" si="198"/>
        <v>On Time</v>
      </c>
      <c r="N1388" s="27" t="str">
        <f t="shared" si="193"/>
        <v>Ryanair</v>
      </c>
      <c r="O1388" s="3" t="s">
        <v>1385</v>
      </c>
      <c r="P1388" s="20">
        <f t="shared" si="194"/>
        <v>13</v>
      </c>
      <c r="Q1388" s="3" t="s">
        <v>1385</v>
      </c>
      <c r="R1388" s="23" t="str">
        <f t="shared" si="195"/>
        <v>Thursday</v>
      </c>
      <c r="S1388" s="3" t="s">
        <v>1385</v>
      </c>
      <c r="T1388" s="23" t="s">
        <v>85</v>
      </c>
      <c r="U1388" s="3" t="s">
        <v>1385</v>
      </c>
      <c r="AO1388" s="15"/>
      <c r="AP1388" s="15"/>
      <c r="AQ1388" s="15"/>
      <c r="AR1388" s="23"/>
      <c r="AS1388" s="15"/>
      <c r="AT1388" s="15"/>
      <c r="AU1388" s="23"/>
      <c r="AV1388" s="23"/>
    </row>
    <row r="1389" spans="1:48" x14ac:dyDescent="0.25">
      <c r="A1389" t="s">
        <v>131</v>
      </c>
      <c r="B1389" t="s">
        <v>7</v>
      </c>
      <c r="C1389" s="10" t="e">
        <f>NA()</f>
        <v>#N/A</v>
      </c>
      <c r="D1389" t="s">
        <v>377</v>
      </c>
      <c r="E1389" s="2">
        <f t="shared" si="197"/>
        <v>46226</v>
      </c>
      <c r="F1389" s="3" t="e">
        <f t="shared" si="196"/>
        <v>#N/A</v>
      </c>
      <c r="G1389" t="s">
        <v>38</v>
      </c>
      <c r="H1389" t="s">
        <v>39</v>
      </c>
      <c r="I1389" t="s">
        <v>11</v>
      </c>
      <c r="J1389" s="2">
        <v>46226</v>
      </c>
      <c r="K1389" s="1">
        <v>0.55902777777777779</v>
      </c>
      <c r="L1389" s="10" t="e">
        <f t="shared" si="192"/>
        <v>#N/A</v>
      </c>
      <c r="M1389" s="1" t="e">
        <f t="shared" si="198"/>
        <v>#N/A</v>
      </c>
      <c r="N1389" s="27" t="str">
        <f t="shared" si="193"/>
        <v>airBaltic</v>
      </c>
      <c r="O1389" s="3" t="e">
        <v>#N/A</v>
      </c>
      <c r="P1389" s="20" t="e">
        <f t="shared" si="194"/>
        <v>#N/A</v>
      </c>
      <c r="Q1389" s="3" t="e">
        <v>#N/A</v>
      </c>
      <c r="R1389" s="23" t="str">
        <f t="shared" si="195"/>
        <v>Thursday</v>
      </c>
      <c r="S1389" s="3" t="e">
        <v>#N/A</v>
      </c>
      <c r="T1389" s="23" t="s">
        <v>7</v>
      </c>
      <c r="AO1389" s="15"/>
      <c r="AP1389" s="15"/>
      <c r="AQ1389" s="15"/>
      <c r="AR1389" s="23"/>
      <c r="AS1389" s="15"/>
      <c r="AT1389" s="15"/>
      <c r="AU1389" s="23"/>
      <c r="AV1389" s="23"/>
    </row>
    <row r="1390" spans="1:48" x14ac:dyDescent="0.25">
      <c r="A1390" t="s">
        <v>133</v>
      </c>
      <c r="B1390" t="s">
        <v>7</v>
      </c>
      <c r="C1390" s="10">
        <v>-32</v>
      </c>
      <c r="D1390" t="s">
        <v>941</v>
      </c>
      <c r="E1390" s="2">
        <f t="shared" si="197"/>
        <v>46226</v>
      </c>
      <c r="F1390" s="3">
        <f t="shared" si="196"/>
        <v>0.58888888888888891</v>
      </c>
      <c r="G1390" t="s">
        <v>135</v>
      </c>
      <c r="H1390" t="s">
        <v>136</v>
      </c>
      <c r="I1390" t="s">
        <v>11</v>
      </c>
      <c r="J1390" s="2">
        <v>46226</v>
      </c>
      <c r="K1390" s="1">
        <v>0.55902777777777779</v>
      </c>
      <c r="L1390" s="10">
        <f t="shared" si="192"/>
        <v>-43.000000000000007</v>
      </c>
      <c r="M1390" s="1" t="str">
        <f t="shared" si="198"/>
        <v>Delayed</v>
      </c>
      <c r="N1390" s="27" t="str">
        <f t="shared" si="193"/>
        <v>airBaltic</v>
      </c>
      <c r="O1390" s="3" t="s">
        <v>1318</v>
      </c>
      <c r="P1390" s="20">
        <f t="shared" si="194"/>
        <v>14</v>
      </c>
      <c r="Q1390" s="3" t="s">
        <v>1318</v>
      </c>
      <c r="R1390" s="23" t="str">
        <f t="shared" si="195"/>
        <v>Thursday</v>
      </c>
      <c r="S1390" s="3" t="s">
        <v>1318</v>
      </c>
      <c r="T1390" s="23" t="s">
        <v>7</v>
      </c>
      <c r="U1390" s="3" t="s">
        <v>1318</v>
      </c>
      <c r="AO1390" s="15"/>
      <c r="AP1390" s="15"/>
      <c r="AQ1390" s="15"/>
      <c r="AR1390" s="23"/>
      <c r="AS1390" s="15"/>
      <c r="AT1390" s="15"/>
      <c r="AU1390" s="23"/>
      <c r="AV1390" s="23"/>
    </row>
    <row r="1391" spans="1:48" x14ac:dyDescent="0.25">
      <c r="A1391" t="s">
        <v>123</v>
      </c>
      <c r="B1391" t="s">
        <v>124</v>
      </c>
      <c r="D1391" t="s">
        <v>823</v>
      </c>
      <c r="E1391" s="2">
        <f t="shared" si="197"/>
        <v>46226</v>
      </c>
      <c r="F1391" s="3">
        <f t="shared" si="196"/>
        <v>0.53541666666666665</v>
      </c>
      <c r="G1391" t="s">
        <v>119</v>
      </c>
      <c r="H1391" t="s">
        <v>120</v>
      </c>
      <c r="I1391" t="s">
        <v>126</v>
      </c>
      <c r="J1391" s="2">
        <v>46226</v>
      </c>
      <c r="K1391" s="1">
        <v>0.55902777777777779</v>
      </c>
      <c r="L1391" s="10">
        <f t="shared" si="192"/>
        <v>34.000000000000043</v>
      </c>
      <c r="M1391" s="1" t="str">
        <f t="shared" si="198"/>
        <v>On Time</v>
      </c>
      <c r="N1391" s="27" t="str">
        <f t="shared" si="193"/>
        <v>GetJet Airlines</v>
      </c>
      <c r="O1391" s="3" t="s">
        <v>1385</v>
      </c>
      <c r="P1391" s="20">
        <f t="shared" si="194"/>
        <v>12</v>
      </c>
      <c r="Q1391" s="3" t="s">
        <v>1385</v>
      </c>
      <c r="R1391" s="23" t="str">
        <f t="shared" si="195"/>
        <v>Thursday</v>
      </c>
      <c r="S1391" s="3" t="s">
        <v>1385</v>
      </c>
      <c r="T1391" s="23" t="s">
        <v>124</v>
      </c>
      <c r="U1391" s="3" t="s">
        <v>1385</v>
      </c>
      <c r="AO1391" s="15"/>
      <c r="AP1391" s="15"/>
      <c r="AQ1391" s="15"/>
      <c r="AR1391" s="23"/>
      <c r="AS1391" s="15"/>
      <c r="AT1391" s="15"/>
      <c r="AU1391" s="23"/>
      <c r="AV1391" s="23"/>
    </row>
    <row r="1392" spans="1:48" x14ac:dyDescent="0.25">
      <c r="A1392" t="s">
        <v>141</v>
      </c>
      <c r="B1392" t="s">
        <v>19</v>
      </c>
      <c r="C1392" s="10">
        <v>-25</v>
      </c>
      <c r="D1392" t="s">
        <v>145</v>
      </c>
      <c r="E1392" s="2">
        <f t="shared" si="197"/>
        <v>46226</v>
      </c>
      <c r="F1392" s="3">
        <f t="shared" si="196"/>
        <v>0.58194444444444449</v>
      </c>
      <c r="G1392" t="s">
        <v>21</v>
      </c>
      <c r="H1392" t="s">
        <v>22</v>
      </c>
      <c r="I1392" t="s">
        <v>276</v>
      </c>
      <c r="J1392" s="2">
        <v>46226</v>
      </c>
      <c r="K1392" s="1">
        <v>0.57638888888888895</v>
      </c>
      <c r="L1392" s="10">
        <f t="shared" si="192"/>
        <v>-7.9999999999999716</v>
      </c>
      <c r="M1392" s="1" t="str">
        <f t="shared" si="198"/>
        <v>On Time</v>
      </c>
      <c r="N1392" s="27" t="str">
        <f t="shared" si="193"/>
        <v>LOT</v>
      </c>
      <c r="O1392" s="3" t="s">
        <v>1385</v>
      </c>
      <c r="P1392" s="20">
        <f t="shared" si="194"/>
        <v>13</v>
      </c>
      <c r="Q1392" s="3" t="s">
        <v>1385</v>
      </c>
      <c r="R1392" s="23" t="str">
        <f t="shared" si="195"/>
        <v>Thursday</v>
      </c>
      <c r="S1392" s="3" t="s">
        <v>1385</v>
      </c>
      <c r="T1392" s="23" t="s">
        <v>19</v>
      </c>
      <c r="U1392" s="3" t="s">
        <v>1385</v>
      </c>
      <c r="AO1392" s="15"/>
      <c r="AP1392" s="15"/>
      <c r="AQ1392" s="15"/>
      <c r="AR1392" s="23"/>
      <c r="AS1392" s="15"/>
      <c r="AT1392" s="15"/>
      <c r="AU1392" s="23"/>
      <c r="AV1392" s="23"/>
    </row>
    <row r="1393" spans="1:48" x14ac:dyDescent="0.25">
      <c r="A1393" t="s">
        <v>144</v>
      </c>
      <c r="B1393" t="s">
        <v>13</v>
      </c>
      <c r="C1393" s="10">
        <v>-8</v>
      </c>
      <c r="D1393" t="s">
        <v>1178</v>
      </c>
      <c r="E1393" s="2">
        <f t="shared" si="197"/>
        <v>46226</v>
      </c>
      <c r="F1393" s="3">
        <f t="shared" si="196"/>
        <v>0.58472222222222225</v>
      </c>
      <c r="G1393" t="s">
        <v>146</v>
      </c>
      <c r="H1393" t="s">
        <v>147</v>
      </c>
      <c r="I1393" t="s">
        <v>17</v>
      </c>
      <c r="J1393" s="2">
        <v>46226</v>
      </c>
      <c r="K1393" s="1">
        <v>0.59027777777777779</v>
      </c>
      <c r="L1393" s="10">
        <f t="shared" si="192"/>
        <v>7.9999999999999716</v>
      </c>
      <c r="M1393" s="1" t="str">
        <f t="shared" si="198"/>
        <v>On Time</v>
      </c>
      <c r="N1393" s="27" t="str">
        <f t="shared" si="193"/>
        <v>Wizz Air</v>
      </c>
      <c r="O1393" s="3" t="s">
        <v>1385</v>
      </c>
      <c r="P1393" s="20">
        <f t="shared" si="194"/>
        <v>14</v>
      </c>
      <c r="Q1393" s="3" t="s">
        <v>1385</v>
      </c>
      <c r="R1393" s="23" t="str">
        <f t="shared" si="195"/>
        <v>Thursday</v>
      </c>
      <c r="S1393" s="3" t="s">
        <v>1385</v>
      </c>
      <c r="T1393" s="23" t="s">
        <v>13</v>
      </c>
      <c r="U1393" s="3" t="s">
        <v>1385</v>
      </c>
      <c r="AO1393" s="15"/>
      <c r="AP1393" s="15"/>
      <c r="AQ1393" s="15"/>
      <c r="AR1393" s="23"/>
      <c r="AS1393" s="15"/>
      <c r="AT1393" s="15"/>
      <c r="AU1393" s="23"/>
      <c r="AV1393" s="23"/>
    </row>
    <row r="1394" spans="1:48" x14ac:dyDescent="0.25">
      <c r="A1394" t="s">
        <v>148</v>
      </c>
      <c r="B1394" t="s">
        <v>7</v>
      </c>
      <c r="C1394" s="10">
        <v>-22</v>
      </c>
      <c r="D1394" t="s">
        <v>1244</v>
      </c>
      <c r="E1394" s="2">
        <f t="shared" si="197"/>
        <v>46226</v>
      </c>
      <c r="F1394" s="3">
        <f t="shared" si="196"/>
        <v>0.60972222222222217</v>
      </c>
      <c r="G1394" t="s">
        <v>9</v>
      </c>
      <c r="H1394" t="s">
        <v>10</v>
      </c>
      <c r="I1394" t="s">
        <v>11</v>
      </c>
      <c r="J1394" s="2">
        <v>46226</v>
      </c>
      <c r="K1394" s="1">
        <v>0.60763888888888895</v>
      </c>
      <c r="L1394" s="10">
        <f t="shared" si="192"/>
        <v>-2.9999999999998295</v>
      </c>
      <c r="M1394" s="1" t="str">
        <f t="shared" si="198"/>
        <v>On Time</v>
      </c>
      <c r="N1394" s="27" t="str">
        <f t="shared" si="193"/>
        <v>airBaltic</v>
      </c>
      <c r="O1394" s="3" t="s">
        <v>1385</v>
      </c>
      <c r="P1394" s="20">
        <f t="shared" si="194"/>
        <v>14</v>
      </c>
      <c r="Q1394" s="3" t="s">
        <v>1385</v>
      </c>
      <c r="R1394" s="23" t="str">
        <f t="shared" si="195"/>
        <v>Thursday</v>
      </c>
      <c r="S1394" s="3" t="s">
        <v>1385</v>
      </c>
      <c r="T1394" s="23" t="s">
        <v>7</v>
      </c>
      <c r="U1394" s="3" t="s">
        <v>1385</v>
      </c>
      <c r="AO1394" s="15"/>
      <c r="AP1394" s="15"/>
      <c r="AQ1394" s="15"/>
      <c r="AR1394" s="23"/>
      <c r="AS1394" s="15"/>
      <c r="AT1394" s="15"/>
      <c r="AU1394" s="23"/>
      <c r="AV1394" s="23"/>
    </row>
    <row r="1395" spans="1:48" x14ac:dyDescent="0.25">
      <c r="A1395" t="s">
        <v>1245</v>
      </c>
      <c r="B1395" t="s">
        <v>7</v>
      </c>
      <c r="C1395" s="10">
        <v>-57</v>
      </c>
      <c r="D1395" t="s">
        <v>438</v>
      </c>
      <c r="E1395" s="2">
        <f t="shared" si="197"/>
        <v>46226</v>
      </c>
      <c r="F1395" s="3">
        <f t="shared" si="196"/>
        <v>0.64374999999999993</v>
      </c>
      <c r="G1395" t="s">
        <v>26</v>
      </c>
      <c r="H1395" t="s">
        <v>27</v>
      </c>
      <c r="I1395" t="s">
        <v>11</v>
      </c>
      <c r="J1395" s="2">
        <v>46226</v>
      </c>
      <c r="K1395" s="1">
        <v>0.61805555555555558</v>
      </c>
      <c r="L1395" s="10">
        <f t="shared" si="192"/>
        <v>-36.999999999999872</v>
      </c>
      <c r="M1395" s="1" t="str">
        <f t="shared" si="198"/>
        <v>Delayed</v>
      </c>
      <c r="N1395" s="27" t="str">
        <f t="shared" si="193"/>
        <v>airBaltic</v>
      </c>
      <c r="O1395" s="3" t="s">
        <v>1318</v>
      </c>
      <c r="P1395" s="20">
        <f t="shared" si="194"/>
        <v>15</v>
      </c>
      <c r="Q1395" s="3" t="s">
        <v>1318</v>
      </c>
      <c r="R1395" s="23" t="str">
        <f t="shared" si="195"/>
        <v>Thursday</v>
      </c>
      <c r="S1395" s="3" t="s">
        <v>1318</v>
      </c>
      <c r="T1395" s="23" t="s">
        <v>7</v>
      </c>
      <c r="U1395" s="3" t="s">
        <v>1318</v>
      </c>
      <c r="AO1395" s="15"/>
      <c r="AP1395" s="15"/>
      <c r="AQ1395" s="15"/>
      <c r="AR1395" s="23"/>
      <c r="AS1395" s="15"/>
      <c r="AT1395" s="15"/>
      <c r="AU1395" s="23"/>
      <c r="AV1395" s="23"/>
    </row>
    <row r="1396" spans="1:48" x14ac:dyDescent="0.25">
      <c r="A1396" t="s">
        <v>123</v>
      </c>
      <c r="B1396" t="s">
        <v>1246</v>
      </c>
      <c r="D1396" t="s">
        <v>1247</v>
      </c>
      <c r="E1396" s="2">
        <f t="shared" si="197"/>
        <v>46226</v>
      </c>
      <c r="F1396" s="3">
        <f t="shared" si="196"/>
        <v>0.65416666666666667</v>
      </c>
      <c r="G1396" t="s">
        <v>1248</v>
      </c>
      <c r="H1396" t="s">
        <v>1249</v>
      </c>
      <c r="I1396" t="s">
        <v>1250</v>
      </c>
      <c r="J1396" s="2">
        <v>46226</v>
      </c>
      <c r="K1396" s="1">
        <v>0.62708333333333333</v>
      </c>
      <c r="L1396" s="10">
        <f t="shared" si="192"/>
        <v>-39.000000000000021</v>
      </c>
      <c r="M1396" s="1" t="str">
        <f t="shared" si="198"/>
        <v>Delayed</v>
      </c>
      <c r="N1396" s="27" t="e">
        <f t="shared" si="193"/>
        <v>#N/A</v>
      </c>
      <c r="O1396" s="3" t="s">
        <v>1318</v>
      </c>
      <c r="P1396" s="20">
        <f t="shared" si="194"/>
        <v>15</v>
      </c>
      <c r="Q1396" s="3" t="s">
        <v>1318</v>
      </c>
      <c r="R1396" s="23" t="str">
        <f t="shared" si="195"/>
        <v>Thursday</v>
      </c>
      <c r="S1396" s="3" t="s">
        <v>1318</v>
      </c>
      <c r="T1396" s="23" t="s">
        <v>1246</v>
      </c>
      <c r="U1396" s="3" t="s">
        <v>1318</v>
      </c>
      <c r="AO1396" s="15"/>
      <c r="AP1396" s="15"/>
      <c r="AQ1396" s="15"/>
      <c r="AR1396" s="23"/>
      <c r="AS1396" s="15"/>
      <c r="AT1396" s="15"/>
      <c r="AU1396" s="23"/>
      <c r="AV1396" s="23"/>
    </row>
    <row r="1397" spans="1:48" x14ac:dyDescent="0.25">
      <c r="A1397" t="s">
        <v>150</v>
      </c>
      <c r="B1397" t="s">
        <v>151</v>
      </c>
      <c r="C1397" s="10">
        <v>0</v>
      </c>
      <c r="D1397" t="s">
        <v>1251</v>
      </c>
      <c r="E1397" s="2">
        <f t="shared" si="197"/>
        <v>46226</v>
      </c>
      <c r="F1397" s="3">
        <f t="shared" si="196"/>
        <v>0.61388888888888882</v>
      </c>
      <c r="G1397" t="s">
        <v>153</v>
      </c>
      <c r="H1397" t="s">
        <v>154</v>
      </c>
      <c r="I1397" t="s">
        <v>775</v>
      </c>
      <c r="J1397" s="2">
        <v>46226</v>
      </c>
      <c r="K1397" s="1">
        <v>0.62847222222222221</v>
      </c>
      <c r="L1397" s="10">
        <f t="shared" si="192"/>
        <v>21.000000000000085</v>
      </c>
      <c r="M1397" s="1" t="str">
        <f t="shared" si="198"/>
        <v>On Time</v>
      </c>
      <c r="N1397" s="27" t="e">
        <f t="shared" si="193"/>
        <v>#N/A</v>
      </c>
      <c r="O1397" s="3" t="s">
        <v>1385</v>
      </c>
      <c r="P1397" s="20">
        <f t="shared" si="194"/>
        <v>14</v>
      </c>
      <c r="Q1397" s="3" t="s">
        <v>1385</v>
      </c>
      <c r="R1397" s="23" t="str">
        <f t="shared" si="195"/>
        <v>Thursday</v>
      </c>
      <c r="S1397" s="3" t="s">
        <v>1385</v>
      </c>
      <c r="T1397" s="23" t="s">
        <v>151</v>
      </c>
      <c r="U1397" s="3" t="s">
        <v>1385</v>
      </c>
      <c r="AO1397" s="15"/>
      <c r="AP1397" s="15"/>
      <c r="AQ1397" s="15"/>
      <c r="AR1397" s="23"/>
      <c r="AS1397" s="15"/>
      <c r="AT1397" s="15"/>
      <c r="AU1397" s="23"/>
      <c r="AV1397" s="23"/>
    </row>
    <row r="1398" spans="1:48" x14ac:dyDescent="0.25">
      <c r="A1398" t="s">
        <v>156</v>
      </c>
      <c r="B1398" t="s">
        <v>41</v>
      </c>
      <c r="C1398" s="10">
        <v>-11</v>
      </c>
      <c r="D1398" t="s">
        <v>516</v>
      </c>
      <c r="E1398" s="2">
        <f t="shared" si="197"/>
        <v>46226</v>
      </c>
      <c r="F1398" s="3">
        <f t="shared" si="196"/>
        <v>0.63055555555555554</v>
      </c>
      <c r="G1398" t="s">
        <v>43</v>
      </c>
      <c r="H1398" t="s">
        <v>44</v>
      </c>
      <c r="I1398" t="s">
        <v>158</v>
      </c>
      <c r="J1398" s="2">
        <v>46226</v>
      </c>
      <c r="K1398" s="1">
        <v>0.63541666666666663</v>
      </c>
      <c r="L1398" s="10">
        <f t="shared" si="192"/>
        <v>6.9999999999999751</v>
      </c>
      <c r="M1398" s="1" t="str">
        <f t="shared" si="198"/>
        <v>On Time</v>
      </c>
      <c r="N1398" s="27" t="str">
        <f t="shared" si="193"/>
        <v>SAS</v>
      </c>
      <c r="O1398" s="3" t="s">
        <v>1385</v>
      </c>
      <c r="P1398" s="20">
        <f t="shared" si="194"/>
        <v>15</v>
      </c>
      <c r="Q1398" s="3" t="s">
        <v>1385</v>
      </c>
      <c r="R1398" s="23" t="str">
        <f t="shared" si="195"/>
        <v>Thursday</v>
      </c>
      <c r="S1398" s="3" t="s">
        <v>1385</v>
      </c>
      <c r="T1398" s="23" t="s">
        <v>41</v>
      </c>
      <c r="U1398" s="3" t="s">
        <v>1385</v>
      </c>
      <c r="AO1398" s="15"/>
      <c r="AP1398" s="15"/>
      <c r="AQ1398" s="15"/>
      <c r="AR1398" s="23"/>
      <c r="AS1398" s="15"/>
      <c r="AT1398" s="15"/>
      <c r="AU1398" s="23"/>
      <c r="AV1398" s="23"/>
    </row>
    <row r="1399" spans="1:48" x14ac:dyDescent="0.25">
      <c r="A1399" t="s">
        <v>159</v>
      </c>
      <c r="B1399" t="s">
        <v>85</v>
      </c>
      <c r="C1399" s="10">
        <v>-18</v>
      </c>
      <c r="D1399" t="s">
        <v>829</v>
      </c>
      <c r="E1399" s="2">
        <f t="shared" si="197"/>
        <v>46226</v>
      </c>
      <c r="F1399" s="3">
        <f t="shared" si="196"/>
        <v>0.64513888888888882</v>
      </c>
      <c r="G1399" t="s">
        <v>34</v>
      </c>
      <c r="H1399" t="s">
        <v>161</v>
      </c>
      <c r="I1399" t="s">
        <v>89</v>
      </c>
      <c r="J1399" s="2">
        <v>46226</v>
      </c>
      <c r="K1399" s="1">
        <v>0.64583333333333337</v>
      </c>
      <c r="L1399" s="10">
        <f t="shared" si="192"/>
        <v>1.0000000000001563</v>
      </c>
      <c r="M1399" s="1" t="str">
        <f t="shared" si="198"/>
        <v>On Time</v>
      </c>
      <c r="N1399" s="27" t="str">
        <f t="shared" si="193"/>
        <v>Ryanair</v>
      </c>
      <c r="O1399" s="3" t="s">
        <v>1385</v>
      </c>
      <c r="P1399" s="20">
        <f t="shared" si="194"/>
        <v>15</v>
      </c>
      <c r="Q1399" s="3" t="s">
        <v>1385</v>
      </c>
      <c r="R1399" s="23" t="str">
        <f t="shared" si="195"/>
        <v>Thursday</v>
      </c>
      <c r="S1399" s="3" t="s">
        <v>1385</v>
      </c>
      <c r="T1399" s="23" t="s">
        <v>85</v>
      </c>
      <c r="U1399" s="3" t="s">
        <v>1385</v>
      </c>
      <c r="AO1399" s="15"/>
      <c r="AP1399" s="15"/>
      <c r="AQ1399" s="15"/>
      <c r="AR1399" s="23"/>
      <c r="AS1399" s="15"/>
      <c r="AT1399" s="15"/>
      <c r="AU1399" s="23"/>
      <c r="AV1399" s="23"/>
    </row>
    <row r="1400" spans="1:48" x14ac:dyDescent="0.25">
      <c r="A1400" t="s">
        <v>163</v>
      </c>
      <c r="B1400" t="s">
        <v>13</v>
      </c>
      <c r="C1400" s="10">
        <v>-27</v>
      </c>
      <c r="D1400" t="s">
        <v>1066</v>
      </c>
      <c r="E1400" s="2">
        <f t="shared" si="197"/>
        <v>46226</v>
      </c>
      <c r="F1400" s="3">
        <f t="shared" si="196"/>
        <v>0.6381944444444444</v>
      </c>
      <c r="G1400" t="s">
        <v>165</v>
      </c>
      <c r="H1400" t="s">
        <v>166</v>
      </c>
      <c r="I1400" t="s">
        <v>17</v>
      </c>
      <c r="J1400" s="2">
        <v>46226</v>
      </c>
      <c r="K1400" s="1">
        <v>0.64583333333333337</v>
      </c>
      <c r="L1400" s="10">
        <f t="shared" si="192"/>
        <v>11.000000000000121</v>
      </c>
      <c r="M1400" s="1" t="str">
        <f t="shared" si="198"/>
        <v>On Time</v>
      </c>
      <c r="N1400" s="27" t="str">
        <f t="shared" si="193"/>
        <v>Wizz Air</v>
      </c>
      <c r="O1400" s="3" t="s">
        <v>1385</v>
      </c>
      <c r="P1400" s="20">
        <f t="shared" si="194"/>
        <v>15</v>
      </c>
      <c r="Q1400" s="3" t="s">
        <v>1385</v>
      </c>
      <c r="R1400" s="23" t="str">
        <f t="shared" si="195"/>
        <v>Thursday</v>
      </c>
      <c r="S1400" s="3" t="s">
        <v>1385</v>
      </c>
      <c r="T1400" s="23" t="s">
        <v>13</v>
      </c>
      <c r="U1400" s="3" t="s">
        <v>1385</v>
      </c>
      <c r="AO1400" s="15"/>
      <c r="AP1400" s="15"/>
      <c r="AQ1400" s="15"/>
      <c r="AR1400" s="23"/>
      <c r="AS1400" s="15"/>
      <c r="AT1400" s="15"/>
      <c r="AU1400" s="23"/>
      <c r="AV1400" s="23"/>
    </row>
    <row r="1401" spans="1:48" x14ac:dyDescent="0.25">
      <c r="A1401" t="s">
        <v>167</v>
      </c>
      <c r="B1401" t="s">
        <v>7</v>
      </c>
      <c r="C1401" s="10">
        <v>-2</v>
      </c>
      <c r="D1401" t="s">
        <v>1252</v>
      </c>
      <c r="E1401" s="2">
        <f t="shared" si="197"/>
        <v>46226</v>
      </c>
      <c r="F1401" s="3">
        <f t="shared" si="196"/>
        <v>0.65972222222222221</v>
      </c>
      <c r="G1401" t="s">
        <v>169</v>
      </c>
      <c r="H1401" t="s">
        <v>170</v>
      </c>
      <c r="I1401" t="s">
        <v>11</v>
      </c>
      <c r="J1401" s="2">
        <v>46226</v>
      </c>
      <c r="K1401" s="1">
        <v>0.66666666666666663</v>
      </c>
      <c r="L1401" s="10">
        <f t="shared" si="192"/>
        <v>9.9999999999999645</v>
      </c>
      <c r="M1401" s="1" t="str">
        <f t="shared" si="198"/>
        <v>On Time</v>
      </c>
      <c r="N1401" s="27" t="str">
        <f t="shared" si="193"/>
        <v>airBaltic</v>
      </c>
      <c r="O1401" s="3" t="s">
        <v>1385</v>
      </c>
      <c r="P1401" s="20">
        <f t="shared" si="194"/>
        <v>15</v>
      </c>
      <c r="Q1401" s="3" t="s">
        <v>1385</v>
      </c>
      <c r="R1401" s="23" t="str">
        <f t="shared" si="195"/>
        <v>Thursday</v>
      </c>
      <c r="S1401" s="3" t="s">
        <v>1385</v>
      </c>
      <c r="T1401" s="23" t="s">
        <v>7</v>
      </c>
      <c r="U1401" s="3" t="s">
        <v>1385</v>
      </c>
      <c r="AO1401" s="15"/>
      <c r="AP1401" s="15"/>
      <c r="AQ1401" s="15"/>
      <c r="AR1401" s="23"/>
      <c r="AS1401" s="15"/>
      <c r="AT1401" s="15"/>
      <c r="AU1401" s="23"/>
      <c r="AV1401" s="23"/>
    </row>
    <row r="1402" spans="1:48" x14ac:dyDescent="0.25">
      <c r="A1402" t="s">
        <v>175</v>
      </c>
      <c r="B1402" t="s">
        <v>19</v>
      </c>
      <c r="C1402" s="10">
        <v>-37</v>
      </c>
      <c r="D1402" t="s">
        <v>1253</v>
      </c>
      <c r="E1402" s="2">
        <f t="shared" si="197"/>
        <v>46226</v>
      </c>
      <c r="F1402" s="3">
        <f t="shared" si="196"/>
        <v>0.69305555555555554</v>
      </c>
      <c r="G1402" t="s">
        <v>21</v>
      </c>
      <c r="H1402" t="s">
        <v>22</v>
      </c>
      <c r="I1402" t="s">
        <v>303</v>
      </c>
      <c r="J1402" s="2">
        <v>46226</v>
      </c>
      <c r="K1402" s="1">
        <v>0.68055555555555547</v>
      </c>
      <c r="L1402" s="10">
        <f t="shared" si="192"/>
        <v>-18.000000000000096</v>
      </c>
      <c r="M1402" s="1" t="str">
        <f t="shared" si="198"/>
        <v>Delayed</v>
      </c>
      <c r="N1402" s="27" t="str">
        <f t="shared" si="193"/>
        <v>LOT</v>
      </c>
      <c r="O1402" s="3" t="s">
        <v>1318</v>
      </c>
      <c r="P1402" s="20">
        <f t="shared" si="194"/>
        <v>16</v>
      </c>
      <c r="Q1402" s="3" t="s">
        <v>1318</v>
      </c>
      <c r="R1402" s="23" t="str">
        <f t="shared" si="195"/>
        <v>Thursday</v>
      </c>
      <c r="S1402" s="3" t="s">
        <v>1318</v>
      </c>
      <c r="T1402" s="23" t="s">
        <v>19</v>
      </c>
      <c r="U1402" s="3" t="s">
        <v>1318</v>
      </c>
      <c r="AO1402" s="15"/>
      <c r="AP1402" s="15"/>
      <c r="AQ1402" s="15"/>
      <c r="AR1402" s="23"/>
      <c r="AS1402" s="15"/>
      <c r="AT1402" s="15"/>
      <c r="AU1402" s="23"/>
      <c r="AV1402" s="23"/>
    </row>
    <row r="1403" spans="1:48" x14ac:dyDescent="0.25">
      <c r="A1403" t="s">
        <v>178</v>
      </c>
      <c r="B1403" t="s">
        <v>85</v>
      </c>
      <c r="C1403" s="10">
        <v>-39</v>
      </c>
      <c r="D1403" t="s">
        <v>1254</v>
      </c>
      <c r="E1403" s="2">
        <f t="shared" si="197"/>
        <v>46226</v>
      </c>
      <c r="F1403" s="3">
        <f t="shared" si="196"/>
        <v>0.7270833333333333</v>
      </c>
      <c r="G1403" t="s">
        <v>180</v>
      </c>
      <c r="H1403" t="s">
        <v>181</v>
      </c>
      <c r="I1403" t="s">
        <v>89</v>
      </c>
      <c r="J1403" s="2">
        <v>46226</v>
      </c>
      <c r="K1403" s="1">
        <v>0.71180555555555547</v>
      </c>
      <c r="L1403" s="10">
        <f t="shared" si="192"/>
        <v>-22.000000000000082</v>
      </c>
      <c r="M1403" s="1" t="str">
        <f t="shared" si="198"/>
        <v>Delayed</v>
      </c>
      <c r="N1403" s="27" t="str">
        <f t="shared" si="193"/>
        <v>Ryanair</v>
      </c>
      <c r="O1403" s="3" t="s">
        <v>1318</v>
      </c>
      <c r="P1403" s="20">
        <f t="shared" si="194"/>
        <v>17</v>
      </c>
      <c r="Q1403" s="3" t="s">
        <v>1318</v>
      </c>
      <c r="R1403" s="23" t="str">
        <f t="shared" si="195"/>
        <v>Thursday</v>
      </c>
      <c r="S1403" s="3" t="s">
        <v>1318</v>
      </c>
      <c r="T1403" s="23" t="s">
        <v>85</v>
      </c>
      <c r="U1403" s="3" t="s">
        <v>1318</v>
      </c>
      <c r="AO1403" s="15"/>
      <c r="AP1403" s="15"/>
      <c r="AQ1403" s="15"/>
      <c r="AR1403" s="23"/>
      <c r="AS1403" s="15"/>
      <c r="AT1403" s="15"/>
      <c r="AU1403" s="23"/>
      <c r="AV1403" s="23"/>
    </row>
    <row r="1404" spans="1:48" x14ac:dyDescent="0.25">
      <c r="A1404" t="s">
        <v>182</v>
      </c>
      <c r="B1404" t="s">
        <v>69</v>
      </c>
      <c r="C1404" s="10">
        <v>-17</v>
      </c>
      <c r="D1404" t="s">
        <v>833</v>
      </c>
      <c r="E1404" s="2">
        <f t="shared" si="197"/>
        <v>46226</v>
      </c>
      <c r="F1404" s="3">
        <f t="shared" si="196"/>
        <v>0.75</v>
      </c>
      <c r="G1404" t="s">
        <v>71</v>
      </c>
      <c r="H1404" t="s">
        <v>72</v>
      </c>
      <c r="I1404" t="s">
        <v>73</v>
      </c>
      <c r="J1404" s="2">
        <v>46226</v>
      </c>
      <c r="K1404" s="1">
        <v>0.74652777777777779</v>
      </c>
      <c r="L1404" s="10">
        <f t="shared" si="192"/>
        <v>-4.9999999999999822</v>
      </c>
      <c r="M1404" s="1" t="str">
        <f t="shared" si="198"/>
        <v>On Time</v>
      </c>
      <c r="N1404" s="27" t="str">
        <f t="shared" si="193"/>
        <v>Finnair</v>
      </c>
      <c r="O1404" s="3" t="s">
        <v>1385</v>
      </c>
      <c r="P1404" s="20">
        <f t="shared" si="194"/>
        <v>18</v>
      </c>
      <c r="Q1404" s="3" t="s">
        <v>1385</v>
      </c>
      <c r="R1404" s="23" t="str">
        <f t="shared" si="195"/>
        <v>Thursday</v>
      </c>
      <c r="S1404" s="3" t="s">
        <v>1385</v>
      </c>
      <c r="T1404" s="23" t="s">
        <v>69</v>
      </c>
      <c r="U1404" s="3" t="s">
        <v>1385</v>
      </c>
      <c r="AO1404" s="15"/>
      <c r="AP1404" s="15"/>
      <c r="AQ1404" s="15"/>
      <c r="AR1404" s="23"/>
      <c r="AS1404" s="15"/>
      <c r="AT1404" s="15"/>
      <c r="AU1404" s="23"/>
      <c r="AV1404" s="23"/>
    </row>
    <row r="1405" spans="1:48" x14ac:dyDescent="0.25">
      <c r="A1405" t="s">
        <v>184</v>
      </c>
      <c r="B1405" t="s">
        <v>85</v>
      </c>
      <c r="C1405" s="10">
        <v>0</v>
      </c>
      <c r="D1405" t="s">
        <v>1255</v>
      </c>
      <c r="E1405" s="2">
        <f t="shared" si="197"/>
        <v>46226</v>
      </c>
      <c r="F1405" s="3">
        <f t="shared" si="196"/>
        <v>0.75347222222222221</v>
      </c>
      <c r="G1405" t="s">
        <v>153</v>
      </c>
      <c r="H1405" t="s">
        <v>154</v>
      </c>
      <c r="I1405" t="s">
        <v>89</v>
      </c>
      <c r="J1405" s="2">
        <v>46226</v>
      </c>
      <c r="K1405" s="1">
        <v>0.77083333333333337</v>
      </c>
      <c r="L1405" s="10">
        <f t="shared" si="192"/>
        <v>25.000000000000071</v>
      </c>
      <c r="M1405" s="1" t="str">
        <f t="shared" si="198"/>
        <v>On Time</v>
      </c>
      <c r="N1405" s="27" t="str">
        <f t="shared" si="193"/>
        <v>Ryanair</v>
      </c>
      <c r="O1405" s="3" t="s">
        <v>1385</v>
      </c>
      <c r="P1405" s="20">
        <f t="shared" si="194"/>
        <v>18</v>
      </c>
      <c r="Q1405" s="3" t="s">
        <v>1385</v>
      </c>
      <c r="R1405" s="23" t="str">
        <f t="shared" si="195"/>
        <v>Thursday</v>
      </c>
      <c r="S1405" s="3" t="s">
        <v>1385</v>
      </c>
      <c r="T1405" s="23" t="s">
        <v>85</v>
      </c>
      <c r="U1405" s="3" t="s">
        <v>1385</v>
      </c>
      <c r="AO1405" s="15"/>
      <c r="AP1405" s="15"/>
      <c r="AQ1405" s="15"/>
      <c r="AR1405" s="23"/>
      <c r="AS1405" s="15"/>
      <c r="AT1405" s="15"/>
      <c r="AU1405" s="23"/>
      <c r="AV1405" s="23"/>
    </row>
    <row r="1406" spans="1:48" x14ac:dyDescent="0.25">
      <c r="A1406" t="s">
        <v>186</v>
      </c>
      <c r="B1406" t="s">
        <v>19</v>
      </c>
      <c r="C1406" s="10">
        <v>-64</v>
      </c>
      <c r="D1406" t="s">
        <v>374</v>
      </c>
      <c r="E1406" s="2">
        <f t="shared" si="197"/>
        <v>46226</v>
      </c>
      <c r="F1406" s="3">
        <f t="shared" si="196"/>
        <v>0.80069444444444438</v>
      </c>
      <c r="G1406" t="s">
        <v>21</v>
      </c>
      <c r="H1406" t="s">
        <v>22</v>
      </c>
      <c r="I1406" t="s">
        <v>276</v>
      </c>
      <c r="J1406" s="2">
        <v>46226</v>
      </c>
      <c r="K1406" s="1">
        <v>0.77430555555555547</v>
      </c>
      <c r="L1406" s="10">
        <f t="shared" si="192"/>
        <v>-38.000000000000028</v>
      </c>
      <c r="M1406" s="1" t="str">
        <f t="shared" si="198"/>
        <v>Delayed</v>
      </c>
      <c r="N1406" s="27" t="str">
        <f t="shared" si="193"/>
        <v>LOT</v>
      </c>
      <c r="O1406" s="3" t="s">
        <v>1318</v>
      </c>
      <c r="P1406" s="20">
        <f t="shared" si="194"/>
        <v>19</v>
      </c>
      <c r="Q1406" s="3" t="s">
        <v>1318</v>
      </c>
      <c r="R1406" s="23" t="str">
        <f t="shared" si="195"/>
        <v>Thursday</v>
      </c>
      <c r="S1406" s="3" t="s">
        <v>1318</v>
      </c>
      <c r="T1406" s="23" t="s">
        <v>19</v>
      </c>
      <c r="U1406" s="3" t="s">
        <v>1318</v>
      </c>
      <c r="AO1406" s="15"/>
      <c r="AP1406" s="15"/>
      <c r="AQ1406" s="15"/>
      <c r="AR1406" s="23"/>
      <c r="AS1406" s="15"/>
      <c r="AT1406" s="15"/>
      <c r="AU1406" s="23"/>
      <c r="AV1406" s="23"/>
    </row>
    <row r="1407" spans="1:48" x14ac:dyDescent="0.25">
      <c r="A1407" t="s">
        <v>189</v>
      </c>
      <c r="B1407" t="s">
        <v>190</v>
      </c>
      <c r="C1407" s="10">
        <v>-26</v>
      </c>
      <c r="D1407" t="s">
        <v>530</v>
      </c>
      <c r="E1407" s="2">
        <f t="shared" si="197"/>
        <v>46226</v>
      </c>
      <c r="F1407" s="3">
        <f t="shared" si="196"/>
        <v>0.79027777777777775</v>
      </c>
      <c r="G1407" t="s">
        <v>110</v>
      </c>
      <c r="H1407" t="s">
        <v>111</v>
      </c>
      <c r="I1407" t="s">
        <v>67</v>
      </c>
      <c r="J1407" s="2">
        <v>46226</v>
      </c>
      <c r="K1407" s="1">
        <v>0.78472222222222221</v>
      </c>
      <c r="L1407" s="10">
        <f t="shared" si="192"/>
        <v>-7.9999999999999716</v>
      </c>
      <c r="M1407" s="1" t="str">
        <f t="shared" si="198"/>
        <v>On Time</v>
      </c>
      <c r="N1407" s="27" t="str">
        <f t="shared" si="193"/>
        <v>Lufthansa</v>
      </c>
      <c r="O1407" s="3" t="s">
        <v>1385</v>
      </c>
      <c r="P1407" s="20">
        <f t="shared" si="194"/>
        <v>18</v>
      </c>
      <c r="Q1407" s="3" t="s">
        <v>1385</v>
      </c>
      <c r="R1407" s="23" t="str">
        <f t="shared" si="195"/>
        <v>Thursday</v>
      </c>
      <c r="S1407" s="3" t="s">
        <v>1385</v>
      </c>
      <c r="T1407" s="23" t="s">
        <v>190</v>
      </c>
      <c r="U1407" s="3" t="s">
        <v>1385</v>
      </c>
      <c r="AO1407" s="15"/>
      <c r="AP1407" s="15"/>
      <c r="AQ1407" s="15"/>
      <c r="AR1407" s="23"/>
      <c r="AS1407" s="15"/>
      <c r="AT1407" s="15"/>
      <c r="AU1407" s="23"/>
      <c r="AV1407" s="23"/>
    </row>
    <row r="1408" spans="1:48" x14ac:dyDescent="0.25">
      <c r="A1408" t="s">
        <v>192</v>
      </c>
      <c r="B1408" t="s">
        <v>13</v>
      </c>
      <c r="C1408" s="10">
        <v>-21</v>
      </c>
      <c r="D1408" t="s">
        <v>1049</v>
      </c>
      <c r="E1408" s="2">
        <f t="shared" si="197"/>
        <v>46226</v>
      </c>
      <c r="F1408" s="3">
        <f t="shared" si="196"/>
        <v>0.78541666666666676</v>
      </c>
      <c r="G1408" t="s">
        <v>194</v>
      </c>
      <c r="H1408" t="s">
        <v>195</v>
      </c>
      <c r="I1408" t="s">
        <v>17</v>
      </c>
      <c r="J1408" s="2">
        <v>46226</v>
      </c>
      <c r="K1408" s="1">
        <v>0.78472222222222221</v>
      </c>
      <c r="L1408" s="10">
        <f t="shared" si="192"/>
        <v>-1.0000000000001563</v>
      </c>
      <c r="M1408" s="1" t="str">
        <f t="shared" si="198"/>
        <v>On Time</v>
      </c>
      <c r="N1408" s="27" t="str">
        <f t="shared" si="193"/>
        <v>Wizz Air</v>
      </c>
      <c r="O1408" s="3" t="s">
        <v>1385</v>
      </c>
      <c r="P1408" s="20">
        <f t="shared" si="194"/>
        <v>18</v>
      </c>
      <c r="Q1408" s="3" t="s">
        <v>1385</v>
      </c>
      <c r="R1408" s="23" t="str">
        <f t="shared" si="195"/>
        <v>Thursday</v>
      </c>
      <c r="S1408" s="3" t="s">
        <v>1385</v>
      </c>
      <c r="T1408" s="23" t="s">
        <v>13</v>
      </c>
      <c r="U1408" s="3" t="s">
        <v>1385</v>
      </c>
      <c r="AO1408" s="15"/>
      <c r="AP1408" s="15"/>
      <c r="AQ1408" s="15"/>
      <c r="AR1408" s="23"/>
      <c r="AS1408" s="15"/>
      <c r="AT1408" s="15"/>
      <c r="AU1408" s="23"/>
      <c r="AV1408" s="23"/>
    </row>
    <row r="1409" spans="1:48" x14ac:dyDescent="0.25">
      <c r="A1409" t="s">
        <v>196</v>
      </c>
      <c r="B1409" t="s">
        <v>13</v>
      </c>
      <c r="C1409" s="10">
        <v>-168</v>
      </c>
      <c r="D1409" t="s">
        <v>1256</v>
      </c>
      <c r="E1409" s="2">
        <f t="shared" si="197"/>
        <v>46226</v>
      </c>
      <c r="F1409" s="3">
        <f t="shared" si="196"/>
        <v>0.90555555555555556</v>
      </c>
      <c r="G1409" t="s">
        <v>198</v>
      </c>
      <c r="H1409" t="s">
        <v>199</v>
      </c>
      <c r="I1409" t="s">
        <v>17</v>
      </c>
      <c r="J1409" s="2">
        <v>46226</v>
      </c>
      <c r="K1409" s="1">
        <v>0.79861111111111116</v>
      </c>
      <c r="L1409" s="10">
        <f t="shared" si="192"/>
        <v>-153.99999999999994</v>
      </c>
      <c r="M1409" s="1" t="str">
        <f t="shared" si="198"/>
        <v>Delayed</v>
      </c>
      <c r="N1409" s="27" t="str">
        <f t="shared" si="193"/>
        <v>Wizz Air</v>
      </c>
      <c r="O1409" s="3" t="s">
        <v>1318</v>
      </c>
      <c r="P1409" s="20">
        <f t="shared" si="194"/>
        <v>21</v>
      </c>
      <c r="Q1409" s="3" t="s">
        <v>1318</v>
      </c>
      <c r="R1409" s="23" t="str">
        <f t="shared" si="195"/>
        <v>Thursday</v>
      </c>
      <c r="S1409" s="3" t="s">
        <v>1318</v>
      </c>
      <c r="T1409" s="23" t="s">
        <v>13</v>
      </c>
      <c r="U1409" s="3" t="s">
        <v>1318</v>
      </c>
      <c r="AO1409" s="15"/>
      <c r="AP1409" s="15"/>
      <c r="AQ1409" s="15"/>
      <c r="AR1409" s="23"/>
      <c r="AS1409" s="15"/>
      <c r="AT1409" s="15"/>
      <c r="AU1409" s="23"/>
      <c r="AV1409" s="23"/>
    </row>
    <row r="1410" spans="1:48" x14ac:dyDescent="0.25">
      <c r="A1410" t="s">
        <v>200</v>
      </c>
      <c r="B1410" t="s">
        <v>13</v>
      </c>
      <c r="C1410" s="10">
        <v>-29</v>
      </c>
      <c r="D1410" t="s">
        <v>1048</v>
      </c>
      <c r="E1410" s="2">
        <f t="shared" si="197"/>
        <v>46226</v>
      </c>
      <c r="F1410" s="3">
        <f t="shared" si="196"/>
        <v>0.79722222222222217</v>
      </c>
      <c r="G1410" t="s">
        <v>202</v>
      </c>
      <c r="H1410" t="s">
        <v>203</v>
      </c>
      <c r="I1410" t="s">
        <v>17</v>
      </c>
      <c r="J1410" s="2">
        <v>46226</v>
      </c>
      <c r="K1410" s="1">
        <v>0.79861111111111116</v>
      </c>
      <c r="L1410" s="10">
        <f t="shared" ref="L1410:L1473" si="199">IF(J1410&gt;E1410,(K1410+1-F1410)*1440,IF(J1410&lt;E1410,-(F1410+1-K1410)*1440,(K1410-F1410)*1440))</f>
        <v>2.0000000000001528</v>
      </c>
      <c r="M1410" s="1" t="str">
        <f t="shared" si="198"/>
        <v>On Time</v>
      </c>
      <c r="N1410" s="27" t="str">
        <f t="shared" ref="N1410:N1473" si="200">IF(COUNTIFS($B$2:$B$1553,B1410,$M$2:$M$1553,"&lt;&gt;#N/A")&gt;=30,B1410,NA())</f>
        <v>Wizz Air</v>
      </c>
      <c r="O1410" s="3" t="s">
        <v>1385</v>
      </c>
      <c r="P1410" s="20">
        <f t="shared" ref="P1410:P1473" si="201">HOUR(F1410)</f>
        <v>19</v>
      </c>
      <c r="Q1410" s="3" t="s">
        <v>1385</v>
      </c>
      <c r="R1410" s="23" t="str">
        <f t="shared" ref="R1410:R1473" si="202">TEXT(E1410, "dddd")</f>
        <v>Thursday</v>
      </c>
      <c r="S1410" s="3" t="s">
        <v>1385</v>
      </c>
      <c r="T1410" s="23" t="s">
        <v>13</v>
      </c>
      <c r="U1410" s="3" t="s">
        <v>1385</v>
      </c>
      <c r="AO1410" s="15"/>
      <c r="AP1410" s="15"/>
      <c r="AQ1410" s="15"/>
      <c r="AR1410" s="23"/>
      <c r="AS1410" s="15"/>
      <c r="AT1410" s="15"/>
      <c r="AU1410" s="23"/>
      <c r="AV1410" s="23"/>
    </row>
    <row r="1411" spans="1:48" x14ac:dyDescent="0.25">
      <c r="A1411" t="s">
        <v>204</v>
      </c>
      <c r="B1411" t="s">
        <v>7</v>
      </c>
      <c r="C1411" s="10">
        <v>-142</v>
      </c>
      <c r="D1411" t="s">
        <v>1257</v>
      </c>
      <c r="E1411" s="2">
        <f t="shared" si="197"/>
        <v>46226</v>
      </c>
      <c r="F1411" s="3">
        <f t="shared" ref="F1411:F1474" si="203">IF(ISNUMBER(SEARCH("Landed", D1411)), TIMEVALUE(_xlfn.TEXTAFTER(D1411, " ")), NA())</f>
        <v>0.89236111111111116</v>
      </c>
      <c r="G1411" t="s">
        <v>206</v>
      </c>
      <c r="H1411" t="s">
        <v>207</v>
      </c>
      <c r="I1411" t="s">
        <v>11</v>
      </c>
      <c r="J1411" s="2">
        <v>46226</v>
      </c>
      <c r="K1411" s="1">
        <v>0.80555555555555547</v>
      </c>
      <c r="L1411" s="10">
        <f t="shared" si="199"/>
        <v>-125.0000000000002</v>
      </c>
      <c r="M1411" s="1" t="str">
        <f t="shared" si="198"/>
        <v>Delayed</v>
      </c>
      <c r="N1411" s="27" t="str">
        <f t="shared" si="200"/>
        <v>airBaltic</v>
      </c>
      <c r="O1411" s="3" t="s">
        <v>1318</v>
      </c>
      <c r="P1411" s="20">
        <f t="shared" si="201"/>
        <v>21</v>
      </c>
      <c r="Q1411" s="3" t="s">
        <v>1318</v>
      </c>
      <c r="R1411" s="23" t="str">
        <f t="shared" si="202"/>
        <v>Thursday</v>
      </c>
      <c r="S1411" s="3" t="s">
        <v>1318</v>
      </c>
      <c r="T1411" s="23" t="s">
        <v>7</v>
      </c>
      <c r="U1411" s="3" t="s">
        <v>1318</v>
      </c>
      <c r="AO1411" s="15"/>
      <c r="AP1411" s="15"/>
      <c r="AQ1411" s="15"/>
      <c r="AR1411" s="23"/>
      <c r="AS1411" s="15"/>
      <c r="AT1411" s="15"/>
      <c r="AU1411" s="23"/>
      <c r="AV1411" s="23"/>
    </row>
    <row r="1412" spans="1:48" x14ac:dyDescent="0.25">
      <c r="A1412" t="s">
        <v>208</v>
      </c>
      <c r="B1412" t="s">
        <v>96</v>
      </c>
      <c r="C1412" s="10">
        <v>-11</v>
      </c>
      <c r="D1412" t="s">
        <v>1258</v>
      </c>
      <c r="E1412" s="2">
        <f t="shared" si="197"/>
        <v>46226</v>
      </c>
      <c r="F1412" s="3">
        <f t="shared" si="203"/>
        <v>0.79375000000000007</v>
      </c>
      <c r="G1412" t="s">
        <v>98</v>
      </c>
      <c r="H1412" t="s">
        <v>99</v>
      </c>
      <c r="I1412" t="s">
        <v>305</v>
      </c>
      <c r="J1412" s="2">
        <v>46226</v>
      </c>
      <c r="K1412" s="1">
        <v>0.8125</v>
      </c>
      <c r="L1412" s="10">
        <f t="shared" si="199"/>
        <v>26.999999999999904</v>
      </c>
      <c r="M1412" s="1" t="str">
        <f t="shared" si="198"/>
        <v>On Time</v>
      </c>
      <c r="N1412" s="27" t="str">
        <f t="shared" si="200"/>
        <v>Turkish Airlines</v>
      </c>
      <c r="O1412" s="3" t="s">
        <v>1385</v>
      </c>
      <c r="P1412" s="20">
        <f t="shared" si="201"/>
        <v>19</v>
      </c>
      <c r="Q1412" s="3" t="s">
        <v>1385</v>
      </c>
      <c r="R1412" s="23" t="str">
        <f t="shared" si="202"/>
        <v>Thursday</v>
      </c>
      <c r="S1412" s="3" t="s">
        <v>1385</v>
      </c>
      <c r="T1412" s="23" t="s">
        <v>96</v>
      </c>
      <c r="U1412" s="3" t="s">
        <v>1385</v>
      </c>
      <c r="AO1412" s="15"/>
      <c r="AP1412" s="15"/>
      <c r="AQ1412" s="15"/>
      <c r="AR1412" s="23"/>
      <c r="AS1412" s="15"/>
      <c r="AT1412" s="15"/>
      <c r="AU1412" s="23"/>
      <c r="AV1412" s="23"/>
    </row>
    <row r="1413" spans="1:48" x14ac:dyDescent="0.25">
      <c r="A1413" t="s">
        <v>211</v>
      </c>
      <c r="B1413" t="s">
        <v>7</v>
      </c>
      <c r="C1413" s="10">
        <v>-52</v>
      </c>
      <c r="D1413" t="s">
        <v>377</v>
      </c>
      <c r="E1413" s="2">
        <f t="shared" si="197"/>
        <v>46226</v>
      </c>
      <c r="F1413" s="3" t="e">
        <f t="shared" si="203"/>
        <v>#N/A</v>
      </c>
      <c r="G1413" t="s">
        <v>135</v>
      </c>
      <c r="H1413" t="s">
        <v>136</v>
      </c>
      <c r="I1413" t="s">
        <v>11</v>
      </c>
      <c r="J1413" s="2">
        <v>46226</v>
      </c>
      <c r="K1413" s="1">
        <v>0.82638888888888884</v>
      </c>
      <c r="L1413" s="10" t="e">
        <f t="shared" si="199"/>
        <v>#N/A</v>
      </c>
      <c r="M1413" s="1" t="e">
        <f t="shared" si="198"/>
        <v>#N/A</v>
      </c>
      <c r="N1413" s="27" t="str">
        <f t="shared" si="200"/>
        <v>airBaltic</v>
      </c>
      <c r="O1413" s="3" t="e">
        <v>#N/A</v>
      </c>
      <c r="P1413" s="20" t="e">
        <f t="shared" si="201"/>
        <v>#N/A</v>
      </c>
      <c r="Q1413" s="3" t="e">
        <v>#N/A</v>
      </c>
      <c r="R1413" s="23" t="str">
        <f t="shared" si="202"/>
        <v>Thursday</v>
      </c>
      <c r="S1413" s="3" t="e">
        <v>#N/A</v>
      </c>
      <c r="T1413" s="23" t="s">
        <v>7</v>
      </c>
      <c r="AO1413" s="15"/>
      <c r="AP1413" s="15"/>
      <c r="AQ1413" s="15"/>
      <c r="AR1413" s="23"/>
      <c r="AS1413" s="15"/>
      <c r="AT1413" s="15"/>
      <c r="AU1413" s="23"/>
      <c r="AV1413" s="23"/>
    </row>
    <row r="1414" spans="1:48" x14ac:dyDescent="0.25">
      <c r="A1414" t="s">
        <v>213</v>
      </c>
      <c r="B1414" t="s">
        <v>85</v>
      </c>
      <c r="C1414" s="10">
        <v>-25</v>
      </c>
      <c r="D1414" t="s">
        <v>1259</v>
      </c>
      <c r="E1414" s="2">
        <f t="shared" si="197"/>
        <v>46226</v>
      </c>
      <c r="F1414" s="3">
        <f t="shared" si="203"/>
        <v>0.85138888888888886</v>
      </c>
      <c r="G1414" t="s">
        <v>102</v>
      </c>
      <c r="H1414" t="s">
        <v>115</v>
      </c>
      <c r="I1414" t="s">
        <v>89</v>
      </c>
      <c r="J1414" s="2">
        <v>46226</v>
      </c>
      <c r="K1414" s="1">
        <v>0.84027777777777779</v>
      </c>
      <c r="L1414" s="10">
        <f t="shared" si="199"/>
        <v>-15.999999999999943</v>
      </c>
      <c r="M1414" s="1" t="str">
        <f t="shared" si="198"/>
        <v>Delayed</v>
      </c>
      <c r="N1414" s="27" t="str">
        <f t="shared" si="200"/>
        <v>Ryanair</v>
      </c>
      <c r="O1414" s="3" t="s">
        <v>1318</v>
      </c>
      <c r="P1414" s="20">
        <f t="shared" si="201"/>
        <v>20</v>
      </c>
      <c r="Q1414" s="3" t="s">
        <v>1318</v>
      </c>
      <c r="R1414" s="23" t="str">
        <f t="shared" si="202"/>
        <v>Thursday</v>
      </c>
      <c r="S1414" s="3" t="s">
        <v>1318</v>
      </c>
      <c r="T1414" s="23" t="s">
        <v>85</v>
      </c>
      <c r="U1414" s="3" t="s">
        <v>1318</v>
      </c>
      <c r="AO1414" s="15"/>
      <c r="AP1414" s="15"/>
      <c r="AQ1414" s="15"/>
      <c r="AR1414" s="23"/>
      <c r="AS1414" s="15"/>
      <c r="AT1414" s="15"/>
      <c r="AU1414" s="23"/>
      <c r="AV1414" s="23"/>
    </row>
    <row r="1415" spans="1:48" x14ac:dyDescent="0.25">
      <c r="A1415" t="s">
        <v>215</v>
      </c>
      <c r="B1415" t="s">
        <v>13</v>
      </c>
      <c r="C1415" s="10">
        <v>-25</v>
      </c>
      <c r="D1415" t="s">
        <v>1260</v>
      </c>
      <c r="E1415" s="2">
        <f t="shared" si="197"/>
        <v>46226</v>
      </c>
      <c r="F1415" s="3">
        <f t="shared" si="203"/>
        <v>0.83611111111111114</v>
      </c>
      <c r="G1415" t="s">
        <v>217</v>
      </c>
      <c r="H1415" t="s">
        <v>218</v>
      </c>
      <c r="I1415" t="s">
        <v>17</v>
      </c>
      <c r="J1415" s="2">
        <v>46226</v>
      </c>
      <c r="K1415" s="1">
        <v>0.84375</v>
      </c>
      <c r="L1415" s="10">
        <f t="shared" si="199"/>
        <v>10.999999999999961</v>
      </c>
      <c r="M1415" s="1" t="str">
        <f t="shared" si="198"/>
        <v>On Time</v>
      </c>
      <c r="N1415" s="27" t="str">
        <f t="shared" si="200"/>
        <v>Wizz Air</v>
      </c>
      <c r="O1415" s="3" t="s">
        <v>1385</v>
      </c>
      <c r="P1415" s="20">
        <f t="shared" si="201"/>
        <v>20</v>
      </c>
      <c r="Q1415" s="3" t="s">
        <v>1385</v>
      </c>
      <c r="R1415" s="23" t="str">
        <f t="shared" si="202"/>
        <v>Thursday</v>
      </c>
      <c r="S1415" s="3" t="s">
        <v>1385</v>
      </c>
      <c r="T1415" s="23" t="s">
        <v>13</v>
      </c>
      <c r="U1415" s="3" t="s">
        <v>1385</v>
      </c>
      <c r="AO1415" s="15"/>
      <c r="AP1415" s="15"/>
      <c r="AQ1415" s="15"/>
      <c r="AR1415" s="23"/>
      <c r="AS1415" s="15"/>
      <c r="AT1415" s="15"/>
      <c r="AU1415" s="23"/>
      <c r="AV1415" s="23"/>
    </row>
    <row r="1416" spans="1:48" x14ac:dyDescent="0.25">
      <c r="A1416" t="s">
        <v>219</v>
      </c>
      <c r="B1416" t="s">
        <v>7</v>
      </c>
      <c r="C1416" s="10">
        <v>-222</v>
      </c>
      <c r="D1416" t="s">
        <v>1261</v>
      </c>
      <c r="E1416" s="2">
        <f t="shared" si="197"/>
        <v>46226</v>
      </c>
      <c r="F1416" s="3" t="e">
        <f t="shared" si="203"/>
        <v>#N/A</v>
      </c>
      <c r="G1416" t="s">
        <v>9</v>
      </c>
      <c r="H1416" t="s">
        <v>10</v>
      </c>
      <c r="I1416" t="s">
        <v>11</v>
      </c>
      <c r="J1416" s="2">
        <v>46226</v>
      </c>
      <c r="K1416" s="1">
        <v>0.86805555555555547</v>
      </c>
      <c r="L1416" s="10">
        <v>-214</v>
      </c>
      <c r="M1416" s="1" t="str">
        <f t="shared" si="198"/>
        <v>Delayed</v>
      </c>
      <c r="N1416" s="27" t="str">
        <f t="shared" si="200"/>
        <v>airBaltic</v>
      </c>
      <c r="O1416" s="3" t="e">
        <v>#N/A</v>
      </c>
      <c r="P1416" s="20" t="e">
        <f t="shared" si="201"/>
        <v>#N/A</v>
      </c>
      <c r="Q1416" s="3" t="e">
        <v>#N/A</v>
      </c>
      <c r="R1416" s="23" t="str">
        <f t="shared" si="202"/>
        <v>Thursday</v>
      </c>
      <c r="S1416" s="3" t="e">
        <v>#N/A</v>
      </c>
      <c r="T1416" s="23" t="s">
        <v>7</v>
      </c>
      <c r="AO1416" s="23"/>
      <c r="AP1416" s="23"/>
      <c r="AQ1416" s="23"/>
      <c r="AR1416" s="23"/>
      <c r="AS1416" s="23"/>
      <c r="AT1416" s="23"/>
      <c r="AU1416" s="23"/>
      <c r="AV1416" s="23"/>
    </row>
    <row r="1417" spans="1:48" x14ac:dyDescent="0.25">
      <c r="A1417" t="s">
        <v>123</v>
      </c>
      <c r="B1417" t="s">
        <v>124</v>
      </c>
      <c r="D1417" t="s">
        <v>1262</v>
      </c>
      <c r="E1417" s="2">
        <f t="shared" si="197"/>
        <v>46226</v>
      </c>
      <c r="F1417" s="3">
        <f t="shared" si="203"/>
        <v>0.85833333333333339</v>
      </c>
      <c r="G1417" t="s">
        <v>222</v>
      </c>
      <c r="H1417" t="s">
        <v>223</v>
      </c>
      <c r="I1417" t="s">
        <v>126</v>
      </c>
      <c r="J1417" s="2">
        <v>46226</v>
      </c>
      <c r="K1417" s="1">
        <v>0.86944444444444446</v>
      </c>
      <c r="L1417" s="10">
        <f t="shared" si="199"/>
        <v>15.999999999999943</v>
      </c>
      <c r="M1417" s="1" t="str">
        <f t="shared" si="198"/>
        <v>On Time</v>
      </c>
      <c r="N1417" s="27" t="str">
        <f t="shared" si="200"/>
        <v>GetJet Airlines</v>
      </c>
      <c r="O1417" s="3" t="s">
        <v>1385</v>
      </c>
      <c r="P1417" s="20">
        <f t="shared" si="201"/>
        <v>20</v>
      </c>
      <c r="Q1417" s="3" t="s">
        <v>1385</v>
      </c>
      <c r="R1417" s="23" t="str">
        <f t="shared" si="202"/>
        <v>Thursday</v>
      </c>
      <c r="S1417" s="3" t="s">
        <v>1385</v>
      </c>
      <c r="T1417" s="23" t="s">
        <v>124</v>
      </c>
      <c r="U1417" s="3" t="s">
        <v>1385</v>
      </c>
      <c r="AO1417" s="23"/>
      <c r="AP1417" s="23"/>
      <c r="AQ1417" s="23"/>
      <c r="AR1417" s="23"/>
      <c r="AS1417" s="23"/>
      <c r="AT1417" s="23"/>
      <c r="AU1417" s="23"/>
      <c r="AV1417" s="23"/>
    </row>
    <row r="1418" spans="1:48" x14ac:dyDescent="0.25">
      <c r="A1418" t="s">
        <v>224</v>
      </c>
      <c r="B1418" t="s">
        <v>151</v>
      </c>
      <c r="C1418" s="10">
        <v>-37</v>
      </c>
      <c r="D1418" t="s">
        <v>541</v>
      </c>
      <c r="E1418" s="2">
        <f t="shared" si="197"/>
        <v>46226</v>
      </c>
      <c r="F1418" s="3">
        <f t="shared" si="203"/>
        <v>0.89027777777777783</v>
      </c>
      <c r="G1418" t="s">
        <v>226</v>
      </c>
      <c r="H1418" t="s">
        <v>227</v>
      </c>
      <c r="I1418" t="s">
        <v>188</v>
      </c>
      <c r="J1418" s="2">
        <v>46226</v>
      </c>
      <c r="K1418" s="1">
        <v>0.875</v>
      </c>
      <c r="L1418" s="10">
        <f t="shared" si="199"/>
        <v>-22.000000000000082</v>
      </c>
      <c r="M1418" s="1" t="str">
        <f t="shared" si="198"/>
        <v>Delayed</v>
      </c>
      <c r="N1418" s="27" t="e">
        <f t="shared" si="200"/>
        <v>#N/A</v>
      </c>
      <c r="O1418" s="3" t="s">
        <v>1318</v>
      </c>
      <c r="P1418" s="20">
        <f t="shared" si="201"/>
        <v>21</v>
      </c>
      <c r="Q1418" s="3" t="s">
        <v>1318</v>
      </c>
      <c r="R1418" s="23" t="str">
        <f t="shared" si="202"/>
        <v>Thursday</v>
      </c>
      <c r="S1418" s="3" t="s">
        <v>1318</v>
      </c>
      <c r="T1418" s="23" t="s">
        <v>151</v>
      </c>
      <c r="U1418" s="3" t="s">
        <v>1318</v>
      </c>
      <c r="AO1418" s="23"/>
      <c r="AP1418" s="23"/>
      <c r="AQ1418" s="23"/>
      <c r="AR1418" s="23"/>
      <c r="AS1418" s="23"/>
      <c r="AT1418" s="23"/>
      <c r="AU1418" s="23"/>
      <c r="AV1418" s="23"/>
    </row>
    <row r="1419" spans="1:48" x14ac:dyDescent="0.25">
      <c r="A1419" t="s">
        <v>228</v>
      </c>
      <c r="B1419" t="s">
        <v>69</v>
      </c>
      <c r="C1419" s="10">
        <v>-34</v>
      </c>
      <c r="D1419" t="s">
        <v>879</v>
      </c>
      <c r="E1419" s="2">
        <f t="shared" si="197"/>
        <v>46226</v>
      </c>
      <c r="F1419" s="3">
        <f t="shared" si="203"/>
        <v>0.8965277777777777</v>
      </c>
      <c r="G1419" t="s">
        <v>71</v>
      </c>
      <c r="H1419" t="s">
        <v>72</v>
      </c>
      <c r="I1419" t="s">
        <v>73</v>
      </c>
      <c r="J1419" s="2">
        <v>46226</v>
      </c>
      <c r="K1419" s="1">
        <v>0.88194444444444453</v>
      </c>
      <c r="L1419" s="10">
        <f t="shared" si="199"/>
        <v>-20.999999999999766</v>
      </c>
      <c r="M1419" s="1" t="str">
        <f t="shared" si="198"/>
        <v>Delayed</v>
      </c>
      <c r="N1419" s="27" t="str">
        <f t="shared" si="200"/>
        <v>Finnair</v>
      </c>
      <c r="O1419" s="3" t="s">
        <v>1318</v>
      </c>
      <c r="P1419" s="20">
        <f t="shared" si="201"/>
        <v>21</v>
      </c>
      <c r="Q1419" s="3" t="s">
        <v>1318</v>
      </c>
      <c r="R1419" s="23" t="str">
        <f t="shared" si="202"/>
        <v>Thursday</v>
      </c>
      <c r="S1419" s="3" t="s">
        <v>1318</v>
      </c>
      <c r="T1419" s="23" t="s">
        <v>69</v>
      </c>
      <c r="U1419" s="3" t="s">
        <v>1318</v>
      </c>
      <c r="AO1419" s="23"/>
      <c r="AP1419" s="23"/>
      <c r="AQ1419" s="23"/>
      <c r="AR1419" s="23"/>
      <c r="AS1419" s="23"/>
      <c r="AT1419" s="23"/>
      <c r="AU1419" s="23"/>
      <c r="AV1419" s="23"/>
    </row>
    <row r="1420" spans="1:48" x14ac:dyDescent="0.25">
      <c r="A1420" t="s">
        <v>230</v>
      </c>
      <c r="B1420" t="s">
        <v>231</v>
      </c>
      <c r="C1420" s="10">
        <v>-41</v>
      </c>
      <c r="D1420" t="s">
        <v>1263</v>
      </c>
      <c r="E1420" s="2">
        <f t="shared" si="197"/>
        <v>46226</v>
      </c>
      <c r="F1420" s="3">
        <f t="shared" si="203"/>
        <v>0.8979166666666667</v>
      </c>
      <c r="G1420" t="s">
        <v>81</v>
      </c>
      <c r="H1420" t="s">
        <v>82</v>
      </c>
      <c r="I1420" t="s">
        <v>83</v>
      </c>
      <c r="J1420" s="2">
        <v>46226</v>
      </c>
      <c r="K1420" s="1">
        <v>0.88541666666666663</v>
      </c>
      <c r="L1420" s="10">
        <f t="shared" si="199"/>
        <v>-18.000000000000096</v>
      </c>
      <c r="M1420" s="1" t="str">
        <f t="shared" si="198"/>
        <v>Delayed</v>
      </c>
      <c r="N1420" s="27" t="e">
        <f t="shared" si="200"/>
        <v>#N/A</v>
      </c>
      <c r="O1420" s="3" t="s">
        <v>1318</v>
      </c>
      <c r="P1420" s="20">
        <f t="shared" si="201"/>
        <v>21</v>
      </c>
      <c r="Q1420" s="3" t="s">
        <v>1318</v>
      </c>
      <c r="R1420" s="23" t="str">
        <f t="shared" si="202"/>
        <v>Thursday</v>
      </c>
      <c r="S1420" s="3" t="s">
        <v>1318</v>
      </c>
      <c r="T1420" s="23" t="s">
        <v>231</v>
      </c>
      <c r="U1420" s="3" t="s">
        <v>1318</v>
      </c>
      <c r="AO1420" s="23"/>
      <c r="AP1420" s="29"/>
      <c r="AQ1420" s="23"/>
      <c r="AR1420" s="23"/>
      <c r="AS1420" s="23"/>
      <c r="AT1420" s="23"/>
      <c r="AU1420" s="23"/>
      <c r="AV1420" s="23"/>
    </row>
    <row r="1421" spans="1:48" x14ac:dyDescent="0.25">
      <c r="A1421" t="s">
        <v>233</v>
      </c>
      <c r="B1421" t="s">
        <v>7</v>
      </c>
      <c r="C1421" s="10" t="e">
        <f>NA()</f>
        <v>#N/A</v>
      </c>
      <c r="D1421" t="s">
        <v>377</v>
      </c>
      <c r="E1421" s="2">
        <f t="shared" ref="E1421:E1484" si="204">J1421</f>
        <v>46226</v>
      </c>
      <c r="F1421" s="3" t="e">
        <f t="shared" si="203"/>
        <v>#N/A</v>
      </c>
      <c r="G1421" t="s">
        <v>76</v>
      </c>
      <c r="H1421" t="s">
        <v>77</v>
      </c>
      <c r="I1421" t="s">
        <v>123</v>
      </c>
      <c r="J1421" s="2">
        <v>46226</v>
      </c>
      <c r="K1421" s="1">
        <v>0.90625</v>
      </c>
      <c r="L1421" s="10" t="e">
        <f t="shared" si="199"/>
        <v>#N/A</v>
      </c>
      <c r="M1421" s="1" t="e">
        <f t="shared" si="198"/>
        <v>#N/A</v>
      </c>
      <c r="N1421" s="27" t="str">
        <f t="shared" si="200"/>
        <v>airBaltic</v>
      </c>
      <c r="O1421" s="3" t="e">
        <v>#N/A</v>
      </c>
      <c r="P1421" s="20" t="e">
        <f t="shared" si="201"/>
        <v>#N/A</v>
      </c>
      <c r="Q1421" s="3" t="e">
        <v>#N/A</v>
      </c>
      <c r="R1421" s="23" t="str">
        <f t="shared" si="202"/>
        <v>Thursday</v>
      </c>
      <c r="S1421" s="3" t="e">
        <v>#N/A</v>
      </c>
      <c r="T1421" s="23" t="s">
        <v>7</v>
      </c>
      <c r="AO1421" s="23"/>
      <c r="AP1421" s="23"/>
      <c r="AQ1421" s="23"/>
      <c r="AR1421" s="23"/>
      <c r="AS1421" s="23"/>
      <c r="AT1421" s="23"/>
      <c r="AU1421" s="23"/>
      <c r="AV1421" s="23"/>
    </row>
    <row r="1422" spans="1:48" x14ac:dyDescent="0.25">
      <c r="A1422" t="s">
        <v>235</v>
      </c>
      <c r="B1422" t="s">
        <v>19</v>
      </c>
      <c r="C1422" s="10">
        <v>-17</v>
      </c>
      <c r="D1422" t="s">
        <v>1264</v>
      </c>
      <c r="E1422" s="2">
        <f t="shared" si="204"/>
        <v>46226</v>
      </c>
      <c r="F1422" s="3">
        <f t="shared" si="203"/>
        <v>0.92986111111111114</v>
      </c>
      <c r="G1422" t="s">
        <v>21</v>
      </c>
      <c r="H1422" t="s">
        <v>22</v>
      </c>
      <c r="I1422" t="s">
        <v>303</v>
      </c>
      <c r="J1422" s="2">
        <v>46226</v>
      </c>
      <c r="K1422" s="1">
        <v>0.93055555555555547</v>
      </c>
      <c r="L1422" s="10">
        <f t="shared" si="199"/>
        <v>0.99999999999983658</v>
      </c>
      <c r="M1422" s="1" t="str">
        <f t="shared" si="198"/>
        <v>On Time</v>
      </c>
      <c r="N1422" s="27" t="str">
        <f t="shared" si="200"/>
        <v>LOT</v>
      </c>
      <c r="O1422" s="3" t="s">
        <v>1385</v>
      </c>
      <c r="P1422" s="20">
        <f t="shared" si="201"/>
        <v>22</v>
      </c>
      <c r="Q1422" s="3" t="s">
        <v>1385</v>
      </c>
      <c r="R1422" s="23" t="str">
        <f t="shared" si="202"/>
        <v>Thursday</v>
      </c>
      <c r="S1422" s="3" t="s">
        <v>1385</v>
      </c>
      <c r="T1422" s="23" t="s">
        <v>19</v>
      </c>
      <c r="U1422" s="3" t="s">
        <v>1385</v>
      </c>
      <c r="AO1422" s="23"/>
      <c r="AP1422" s="23"/>
      <c r="AQ1422" s="23"/>
      <c r="AR1422" s="23"/>
      <c r="AS1422" s="23"/>
      <c r="AT1422" s="23"/>
      <c r="AU1422" s="23"/>
      <c r="AV1422" s="23"/>
    </row>
    <row r="1423" spans="1:48" x14ac:dyDescent="0.25">
      <c r="A1423" t="s">
        <v>238</v>
      </c>
      <c r="B1423" t="s">
        <v>239</v>
      </c>
      <c r="C1423" s="10">
        <v>-17</v>
      </c>
      <c r="D1423" t="s">
        <v>622</v>
      </c>
      <c r="E1423" s="2">
        <f t="shared" si="204"/>
        <v>46226</v>
      </c>
      <c r="F1423" s="3">
        <f t="shared" si="203"/>
        <v>0.9277777777777777</v>
      </c>
      <c r="G1423" t="s">
        <v>119</v>
      </c>
      <c r="H1423" t="s">
        <v>120</v>
      </c>
      <c r="I1423" t="s">
        <v>83</v>
      </c>
      <c r="J1423" s="2">
        <v>46226</v>
      </c>
      <c r="K1423" s="1">
        <v>0.94097222222222221</v>
      </c>
      <c r="L1423" s="10">
        <f t="shared" si="199"/>
        <v>19.000000000000092</v>
      </c>
      <c r="M1423" s="1" t="str">
        <f t="shared" si="198"/>
        <v>On Time</v>
      </c>
      <c r="N1423" s="27" t="str">
        <f t="shared" si="200"/>
        <v>Eurowings</v>
      </c>
      <c r="O1423" s="3" t="s">
        <v>1385</v>
      </c>
      <c r="P1423" s="20">
        <f t="shared" si="201"/>
        <v>22</v>
      </c>
      <c r="Q1423" s="3" t="s">
        <v>1385</v>
      </c>
      <c r="R1423" s="23" t="str">
        <f t="shared" si="202"/>
        <v>Thursday</v>
      </c>
      <c r="S1423" s="3" t="s">
        <v>1385</v>
      </c>
      <c r="T1423" s="23" t="s">
        <v>239</v>
      </c>
      <c r="U1423" s="3" t="s">
        <v>1385</v>
      </c>
    </row>
    <row r="1424" spans="1:48" x14ac:dyDescent="0.25">
      <c r="A1424" t="s">
        <v>241</v>
      </c>
      <c r="B1424" t="s">
        <v>96</v>
      </c>
      <c r="C1424" s="10" t="e">
        <f>NA()</f>
        <v>#N/A</v>
      </c>
      <c r="D1424" t="s">
        <v>242</v>
      </c>
      <c r="E1424" s="2">
        <f t="shared" si="204"/>
        <v>46226</v>
      </c>
      <c r="F1424" s="3" t="e">
        <f t="shared" si="203"/>
        <v>#N/A</v>
      </c>
      <c r="G1424" t="s">
        <v>243</v>
      </c>
      <c r="H1424" t="s">
        <v>244</v>
      </c>
      <c r="I1424" t="s">
        <v>123</v>
      </c>
      <c r="J1424" s="2">
        <v>46226</v>
      </c>
      <c r="K1424" s="1">
        <v>0.94444444444444453</v>
      </c>
      <c r="L1424" s="10" t="e">
        <f t="shared" si="199"/>
        <v>#N/A</v>
      </c>
      <c r="M1424" s="1" t="e">
        <f t="shared" si="198"/>
        <v>#N/A</v>
      </c>
      <c r="N1424" s="27" t="str">
        <f t="shared" si="200"/>
        <v>Turkish Airlines</v>
      </c>
      <c r="O1424" s="3" t="e">
        <v>#N/A</v>
      </c>
      <c r="P1424" s="20" t="e">
        <f t="shared" si="201"/>
        <v>#N/A</v>
      </c>
      <c r="Q1424" s="3" t="e">
        <v>#N/A</v>
      </c>
      <c r="R1424" s="23" t="str">
        <f t="shared" si="202"/>
        <v>Thursday</v>
      </c>
      <c r="S1424" s="3" t="e">
        <v>#N/A</v>
      </c>
      <c r="T1424" s="23" t="s">
        <v>96</v>
      </c>
    </row>
    <row r="1425" spans="1:21" x14ac:dyDescent="0.25">
      <c r="A1425" t="s">
        <v>250</v>
      </c>
      <c r="B1425" t="s">
        <v>7</v>
      </c>
      <c r="C1425" s="10">
        <v>-23</v>
      </c>
      <c r="D1425" t="s">
        <v>259</v>
      </c>
      <c r="E1425" s="2">
        <f t="shared" si="204"/>
        <v>46226</v>
      </c>
      <c r="F1425" s="3">
        <f t="shared" si="203"/>
        <v>0.97291666666666676</v>
      </c>
      <c r="G1425" t="s">
        <v>252</v>
      </c>
      <c r="H1425" t="s">
        <v>253</v>
      </c>
      <c r="I1425" t="s">
        <v>11</v>
      </c>
      <c r="J1425" s="2">
        <v>46226</v>
      </c>
      <c r="K1425" s="1">
        <v>0.96180555555555547</v>
      </c>
      <c r="L1425" s="10">
        <f t="shared" si="199"/>
        <v>-16.000000000000263</v>
      </c>
      <c r="M1425" s="1" t="str">
        <f t="shared" si="198"/>
        <v>Delayed</v>
      </c>
      <c r="N1425" s="27" t="str">
        <f t="shared" si="200"/>
        <v>airBaltic</v>
      </c>
      <c r="O1425" s="3" t="s">
        <v>1318</v>
      </c>
      <c r="P1425" s="20">
        <f t="shared" si="201"/>
        <v>23</v>
      </c>
      <c r="Q1425" s="3" t="s">
        <v>1318</v>
      </c>
      <c r="R1425" s="23" t="str">
        <f t="shared" si="202"/>
        <v>Thursday</v>
      </c>
      <c r="S1425" s="3" t="s">
        <v>1318</v>
      </c>
      <c r="T1425" s="23" t="s">
        <v>7</v>
      </c>
      <c r="U1425" s="3" t="s">
        <v>1318</v>
      </c>
    </row>
    <row r="1426" spans="1:21" x14ac:dyDescent="0.25">
      <c r="A1426" t="s">
        <v>387</v>
      </c>
      <c r="B1426" t="s">
        <v>388</v>
      </c>
      <c r="C1426" s="10">
        <v>-19</v>
      </c>
      <c r="D1426" t="s">
        <v>806</v>
      </c>
      <c r="E1426" s="2">
        <f t="shared" si="204"/>
        <v>46226</v>
      </c>
      <c r="F1426" s="3">
        <f t="shared" si="203"/>
        <v>0.97083333333333333</v>
      </c>
      <c r="G1426" t="s">
        <v>119</v>
      </c>
      <c r="H1426" t="s">
        <v>120</v>
      </c>
      <c r="I1426" t="s">
        <v>390</v>
      </c>
      <c r="J1426" s="2">
        <v>46226</v>
      </c>
      <c r="K1426" s="1">
        <v>0.97083333333333333</v>
      </c>
      <c r="L1426" s="10">
        <f t="shared" si="199"/>
        <v>0</v>
      </c>
      <c r="M1426" s="1" t="str">
        <f t="shared" si="198"/>
        <v>On Time</v>
      </c>
      <c r="N1426" s="27" t="e">
        <f t="shared" si="200"/>
        <v>#N/A</v>
      </c>
      <c r="O1426" s="3" t="s">
        <v>1385</v>
      </c>
      <c r="P1426" s="20">
        <f t="shared" si="201"/>
        <v>23</v>
      </c>
      <c r="Q1426" s="3" t="s">
        <v>1385</v>
      </c>
      <c r="R1426" s="23" t="str">
        <f t="shared" si="202"/>
        <v>Thursday</v>
      </c>
      <c r="S1426" s="3" t="s">
        <v>1385</v>
      </c>
      <c r="T1426" s="23" t="s">
        <v>388</v>
      </c>
      <c r="U1426" s="3" t="s">
        <v>1385</v>
      </c>
    </row>
    <row r="1427" spans="1:21" x14ac:dyDescent="0.25">
      <c r="A1427" t="s">
        <v>254</v>
      </c>
      <c r="B1427" t="s">
        <v>85</v>
      </c>
      <c r="C1427" s="10">
        <v>7</v>
      </c>
      <c r="D1427" t="s">
        <v>1110</v>
      </c>
      <c r="E1427" s="2">
        <f t="shared" si="204"/>
        <v>46226</v>
      </c>
      <c r="F1427" s="3">
        <f t="shared" si="203"/>
        <v>0.99375000000000002</v>
      </c>
      <c r="G1427" t="s">
        <v>256</v>
      </c>
      <c r="H1427" t="s">
        <v>257</v>
      </c>
      <c r="I1427" t="s">
        <v>89</v>
      </c>
      <c r="J1427" s="2">
        <v>46226</v>
      </c>
      <c r="K1427" s="1">
        <v>0.97569444444444453</v>
      </c>
      <c r="L1427" s="10">
        <f t="shared" si="199"/>
        <v>-25.999999999999908</v>
      </c>
      <c r="M1427" s="1" t="str">
        <f t="shared" ref="M1427:M1490" si="205">IF(L1427&gt;=-15, "On Time", "Delayed")</f>
        <v>Delayed</v>
      </c>
      <c r="N1427" s="27" t="str">
        <f t="shared" si="200"/>
        <v>Ryanair</v>
      </c>
      <c r="O1427" s="3" t="s">
        <v>1318</v>
      </c>
      <c r="P1427" s="20">
        <f t="shared" si="201"/>
        <v>23</v>
      </c>
      <c r="Q1427" s="3" t="s">
        <v>1318</v>
      </c>
      <c r="R1427" s="23" t="str">
        <f t="shared" si="202"/>
        <v>Thursday</v>
      </c>
      <c r="S1427" s="3" t="s">
        <v>1318</v>
      </c>
      <c r="T1427" s="23" t="s">
        <v>85</v>
      </c>
      <c r="U1427" s="3" t="s">
        <v>1318</v>
      </c>
    </row>
    <row r="1428" spans="1:21" x14ac:dyDescent="0.25">
      <c r="A1428" t="s">
        <v>258</v>
      </c>
      <c r="B1428" t="s">
        <v>190</v>
      </c>
      <c r="C1428" s="10">
        <v>-32</v>
      </c>
      <c r="D1428" t="s">
        <v>1265</v>
      </c>
      <c r="E1428" s="2">
        <f t="shared" si="204"/>
        <v>46226</v>
      </c>
      <c r="F1428" s="3">
        <f t="shared" si="203"/>
        <v>0.99583333333333324</v>
      </c>
      <c r="G1428" t="s">
        <v>110</v>
      </c>
      <c r="H1428" t="s">
        <v>111</v>
      </c>
      <c r="I1428" t="s">
        <v>210</v>
      </c>
      <c r="J1428" s="2">
        <v>46226</v>
      </c>
      <c r="K1428" s="1">
        <v>0.98263888888888884</v>
      </c>
      <c r="L1428" s="10">
        <f t="shared" si="199"/>
        <v>-18.999999999999932</v>
      </c>
      <c r="M1428" s="1" t="str">
        <f t="shared" si="205"/>
        <v>Delayed</v>
      </c>
      <c r="N1428" s="27" t="str">
        <f t="shared" si="200"/>
        <v>Lufthansa</v>
      </c>
      <c r="O1428" s="3" t="s">
        <v>1318</v>
      </c>
      <c r="P1428" s="20">
        <f t="shared" si="201"/>
        <v>23</v>
      </c>
      <c r="Q1428" s="3" t="s">
        <v>1318</v>
      </c>
      <c r="R1428" s="23" t="str">
        <f t="shared" si="202"/>
        <v>Thursday</v>
      </c>
      <c r="S1428" s="3" t="s">
        <v>1318</v>
      </c>
      <c r="T1428" s="23" t="s">
        <v>190</v>
      </c>
      <c r="U1428" s="3" t="s">
        <v>1318</v>
      </c>
    </row>
    <row r="1429" spans="1:21" x14ac:dyDescent="0.25">
      <c r="A1429" t="s">
        <v>261</v>
      </c>
      <c r="B1429" t="s">
        <v>85</v>
      </c>
      <c r="C1429" s="10">
        <v>7</v>
      </c>
      <c r="D1429" t="s">
        <v>468</v>
      </c>
      <c r="E1429" s="2">
        <f t="shared" si="204"/>
        <v>46226</v>
      </c>
      <c r="F1429" s="3">
        <f t="shared" si="203"/>
        <v>0.97638888888888886</v>
      </c>
      <c r="G1429" t="s">
        <v>263</v>
      </c>
      <c r="H1429" t="s">
        <v>264</v>
      </c>
      <c r="I1429" t="s">
        <v>89</v>
      </c>
      <c r="J1429" s="2">
        <v>46226</v>
      </c>
      <c r="K1429" s="1">
        <v>0.99652777777777779</v>
      </c>
      <c r="L1429" s="10">
        <f t="shared" si="199"/>
        <v>29.000000000000057</v>
      </c>
      <c r="M1429" s="1" t="str">
        <f t="shared" si="205"/>
        <v>On Time</v>
      </c>
      <c r="N1429" s="27" t="str">
        <f t="shared" si="200"/>
        <v>Ryanair</v>
      </c>
      <c r="O1429" s="3" t="s">
        <v>1385</v>
      </c>
      <c r="P1429" s="20">
        <f t="shared" si="201"/>
        <v>23</v>
      </c>
      <c r="Q1429" s="3" t="s">
        <v>1385</v>
      </c>
      <c r="R1429" s="23" t="str">
        <f t="shared" si="202"/>
        <v>Thursday</v>
      </c>
      <c r="S1429" s="3" t="s">
        <v>1385</v>
      </c>
      <c r="T1429" s="23" t="s">
        <v>85</v>
      </c>
      <c r="U1429" s="3" t="s">
        <v>1385</v>
      </c>
    </row>
    <row r="1430" spans="1:21" x14ac:dyDescent="0.25">
      <c r="A1430" t="s">
        <v>265</v>
      </c>
      <c r="B1430" t="s">
        <v>7</v>
      </c>
      <c r="C1430" s="10">
        <v>-102</v>
      </c>
      <c r="D1430" t="s">
        <v>1266</v>
      </c>
      <c r="E1430" s="2">
        <f t="shared" si="204"/>
        <v>46227</v>
      </c>
      <c r="F1430" s="3">
        <f t="shared" si="203"/>
        <v>7.3611111111111113E-2</v>
      </c>
      <c r="G1430" t="s">
        <v>180</v>
      </c>
      <c r="H1430" t="s">
        <v>181</v>
      </c>
      <c r="I1430" t="s">
        <v>11</v>
      </c>
      <c r="J1430" s="2">
        <v>46227</v>
      </c>
      <c r="K1430" s="1">
        <v>1.0416666666666666E-2</v>
      </c>
      <c r="L1430" s="10">
        <f t="shared" si="199"/>
        <v>-91</v>
      </c>
      <c r="M1430" s="1" t="str">
        <f t="shared" si="205"/>
        <v>Delayed</v>
      </c>
      <c r="N1430" s="27" t="str">
        <f t="shared" si="200"/>
        <v>airBaltic</v>
      </c>
      <c r="O1430" s="3" t="s">
        <v>1318</v>
      </c>
      <c r="P1430" s="20">
        <f t="shared" si="201"/>
        <v>1</v>
      </c>
      <c r="Q1430" s="3" t="s">
        <v>1318</v>
      </c>
      <c r="R1430" s="23" t="str">
        <f t="shared" si="202"/>
        <v>Friday</v>
      </c>
      <c r="S1430" s="3" t="s">
        <v>1318</v>
      </c>
      <c r="T1430" s="23" t="s">
        <v>7</v>
      </c>
      <c r="U1430" s="3" t="s">
        <v>1318</v>
      </c>
    </row>
    <row r="1431" spans="1:21" x14ac:dyDescent="0.25">
      <c r="A1431" t="s">
        <v>267</v>
      </c>
      <c r="B1431" t="s">
        <v>13</v>
      </c>
      <c r="C1431" s="10">
        <v>-2</v>
      </c>
      <c r="D1431" t="s">
        <v>471</v>
      </c>
      <c r="E1431" s="2">
        <v>46226</v>
      </c>
      <c r="F1431" s="3">
        <f t="shared" si="203"/>
        <v>0.99722222222222223</v>
      </c>
      <c r="G1431" t="s">
        <v>269</v>
      </c>
      <c r="H1431" t="s">
        <v>270</v>
      </c>
      <c r="I1431" t="s">
        <v>17</v>
      </c>
      <c r="J1431" s="2">
        <v>46227</v>
      </c>
      <c r="K1431" s="1">
        <v>1.0416666666666666E-2</v>
      </c>
      <c r="L1431" s="10">
        <f t="shared" si="199"/>
        <v>19.000000000000092</v>
      </c>
      <c r="M1431" s="1" t="str">
        <f t="shared" si="205"/>
        <v>On Time</v>
      </c>
      <c r="N1431" s="27" t="str">
        <f t="shared" si="200"/>
        <v>Wizz Air</v>
      </c>
      <c r="O1431" s="3" t="s">
        <v>1385</v>
      </c>
      <c r="P1431" s="20">
        <f t="shared" si="201"/>
        <v>23</v>
      </c>
      <c r="Q1431" s="3" t="s">
        <v>1385</v>
      </c>
      <c r="R1431" s="23" t="str">
        <f t="shared" si="202"/>
        <v>Thursday</v>
      </c>
      <c r="S1431" s="3" t="s">
        <v>1385</v>
      </c>
      <c r="T1431" s="23" t="s">
        <v>13</v>
      </c>
      <c r="U1431" s="3" t="s">
        <v>1385</v>
      </c>
    </row>
    <row r="1432" spans="1:21" x14ac:dyDescent="0.25">
      <c r="A1432" t="s">
        <v>6</v>
      </c>
      <c r="B1432" t="s">
        <v>7</v>
      </c>
      <c r="C1432" s="10">
        <v>-89</v>
      </c>
      <c r="D1432" t="s">
        <v>20</v>
      </c>
      <c r="E1432" s="2">
        <f t="shared" si="204"/>
        <v>46227</v>
      </c>
      <c r="F1432" s="3">
        <f t="shared" si="203"/>
        <v>7.1527777777777787E-2</v>
      </c>
      <c r="G1432" t="s">
        <v>9</v>
      </c>
      <c r="H1432" t="s">
        <v>10</v>
      </c>
      <c r="I1432" t="s">
        <v>11</v>
      </c>
      <c r="J1432" s="2">
        <v>46227</v>
      </c>
      <c r="K1432" s="1">
        <v>2.0833333333333332E-2</v>
      </c>
      <c r="L1432" s="10">
        <f t="shared" si="199"/>
        <v>-73.000000000000014</v>
      </c>
      <c r="M1432" s="1" t="str">
        <f t="shared" si="205"/>
        <v>Delayed</v>
      </c>
      <c r="N1432" s="27" t="str">
        <f t="shared" si="200"/>
        <v>airBaltic</v>
      </c>
      <c r="O1432" s="3" t="s">
        <v>1318</v>
      </c>
      <c r="P1432" s="20">
        <f t="shared" si="201"/>
        <v>1</v>
      </c>
      <c r="Q1432" s="3" t="s">
        <v>1318</v>
      </c>
      <c r="R1432" s="23" t="str">
        <f t="shared" si="202"/>
        <v>Friday</v>
      </c>
      <c r="S1432" s="3" t="s">
        <v>1318</v>
      </c>
      <c r="T1432" s="23" t="s">
        <v>7</v>
      </c>
      <c r="U1432" s="3" t="s">
        <v>1318</v>
      </c>
    </row>
    <row r="1433" spans="1:21" x14ac:dyDescent="0.25">
      <c r="A1433" t="s">
        <v>12</v>
      </c>
      <c r="B1433" t="s">
        <v>13</v>
      </c>
      <c r="C1433" s="10">
        <v>-22</v>
      </c>
      <c r="D1433" t="s">
        <v>965</v>
      </c>
      <c r="E1433" s="2">
        <f t="shared" si="204"/>
        <v>46227</v>
      </c>
      <c r="F1433" s="3">
        <f t="shared" si="203"/>
        <v>1.1111111111111112E-2</v>
      </c>
      <c r="G1433" t="s">
        <v>15</v>
      </c>
      <c r="H1433" t="s">
        <v>16</v>
      </c>
      <c r="I1433" t="s">
        <v>17</v>
      </c>
      <c r="J1433" s="2">
        <v>46227</v>
      </c>
      <c r="K1433" s="1">
        <v>2.0833333333333332E-2</v>
      </c>
      <c r="L1433" s="10">
        <f t="shared" si="199"/>
        <v>13.999999999999998</v>
      </c>
      <c r="M1433" s="1" t="str">
        <f t="shared" si="205"/>
        <v>On Time</v>
      </c>
      <c r="N1433" s="27" t="str">
        <f t="shared" si="200"/>
        <v>Wizz Air</v>
      </c>
      <c r="O1433" s="3" t="s">
        <v>1385</v>
      </c>
      <c r="P1433" s="20">
        <f t="shared" si="201"/>
        <v>0</v>
      </c>
      <c r="Q1433" s="3" t="s">
        <v>1385</v>
      </c>
      <c r="R1433" s="23" t="str">
        <f t="shared" si="202"/>
        <v>Friday</v>
      </c>
      <c r="S1433" s="3" t="s">
        <v>1385</v>
      </c>
      <c r="T1433" s="23" t="s">
        <v>13</v>
      </c>
      <c r="U1433" s="3" t="s">
        <v>1385</v>
      </c>
    </row>
    <row r="1434" spans="1:21" x14ac:dyDescent="0.25">
      <c r="A1434" t="s">
        <v>18</v>
      </c>
      <c r="B1434" t="s">
        <v>19</v>
      </c>
      <c r="C1434" s="10">
        <v>-45</v>
      </c>
      <c r="D1434" t="s">
        <v>558</v>
      </c>
      <c r="E1434" s="2">
        <f t="shared" si="204"/>
        <v>46227</v>
      </c>
      <c r="F1434" s="3">
        <f t="shared" si="203"/>
        <v>4.5833333333333337E-2</v>
      </c>
      <c r="G1434" t="s">
        <v>21</v>
      </c>
      <c r="H1434" t="s">
        <v>22</v>
      </c>
      <c r="I1434" t="s">
        <v>594</v>
      </c>
      <c r="J1434" s="2">
        <v>46227</v>
      </c>
      <c r="K1434" s="1">
        <v>2.7777777777777776E-2</v>
      </c>
      <c r="L1434" s="10">
        <f t="shared" si="199"/>
        <v>-26.000000000000007</v>
      </c>
      <c r="M1434" s="1" t="str">
        <f t="shared" si="205"/>
        <v>Delayed</v>
      </c>
      <c r="N1434" s="27" t="str">
        <f t="shared" si="200"/>
        <v>LOT</v>
      </c>
      <c r="O1434" s="3" t="s">
        <v>1318</v>
      </c>
      <c r="P1434" s="20">
        <f t="shared" si="201"/>
        <v>1</v>
      </c>
      <c r="Q1434" s="3" t="s">
        <v>1318</v>
      </c>
      <c r="R1434" s="23" t="str">
        <f t="shared" si="202"/>
        <v>Friday</v>
      </c>
      <c r="S1434" s="3" t="s">
        <v>1318</v>
      </c>
      <c r="T1434" s="23" t="s">
        <v>19</v>
      </c>
      <c r="U1434" s="3" t="s">
        <v>1318</v>
      </c>
    </row>
    <row r="1435" spans="1:21" x14ac:dyDescent="0.25">
      <c r="A1435" t="s">
        <v>24</v>
      </c>
      <c r="B1435" t="s">
        <v>7</v>
      </c>
      <c r="C1435" s="10" t="e">
        <f>NA()</f>
        <v>#N/A</v>
      </c>
      <c r="D1435" t="s">
        <v>377</v>
      </c>
      <c r="E1435" s="2">
        <f t="shared" si="204"/>
        <v>46227</v>
      </c>
      <c r="F1435" s="3" t="e">
        <f t="shared" si="203"/>
        <v>#N/A</v>
      </c>
      <c r="G1435" t="s">
        <v>26</v>
      </c>
      <c r="H1435" t="s">
        <v>27</v>
      </c>
      <c r="I1435" t="s">
        <v>123</v>
      </c>
      <c r="J1435" s="2">
        <v>46227</v>
      </c>
      <c r="K1435" s="1">
        <v>3.125E-2</v>
      </c>
      <c r="L1435" s="10" t="e">
        <f t="shared" si="199"/>
        <v>#N/A</v>
      </c>
      <c r="M1435" s="1" t="e">
        <f t="shared" si="205"/>
        <v>#N/A</v>
      </c>
      <c r="N1435" s="27" t="str">
        <f t="shared" si="200"/>
        <v>airBaltic</v>
      </c>
      <c r="O1435" s="3" t="e">
        <v>#N/A</v>
      </c>
      <c r="P1435" s="20" t="e">
        <f t="shared" si="201"/>
        <v>#N/A</v>
      </c>
      <c r="Q1435" s="3" t="e">
        <v>#N/A</v>
      </c>
      <c r="R1435" s="23" t="str">
        <f t="shared" si="202"/>
        <v>Friday</v>
      </c>
      <c r="S1435" s="3" t="e">
        <v>#N/A</v>
      </c>
      <c r="T1435" s="23" t="s">
        <v>7</v>
      </c>
    </row>
    <row r="1436" spans="1:21" x14ac:dyDescent="0.25">
      <c r="A1436" t="s">
        <v>36</v>
      </c>
      <c r="B1436" t="s">
        <v>7</v>
      </c>
      <c r="C1436" s="10">
        <v>-10</v>
      </c>
      <c r="D1436" t="s">
        <v>8</v>
      </c>
      <c r="E1436" s="2">
        <f t="shared" si="204"/>
        <v>46227</v>
      </c>
      <c r="F1436" s="3">
        <f t="shared" si="203"/>
        <v>5.1388888888888894E-2</v>
      </c>
      <c r="G1436" t="s">
        <v>38</v>
      </c>
      <c r="H1436" t="s">
        <v>39</v>
      </c>
      <c r="I1436" t="s">
        <v>11</v>
      </c>
      <c r="J1436" s="2">
        <v>46227</v>
      </c>
      <c r="K1436" s="1">
        <v>5.9027777777777783E-2</v>
      </c>
      <c r="L1436" s="10">
        <f t="shared" si="199"/>
        <v>11</v>
      </c>
      <c r="M1436" s="1" t="str">
        <f t="shared" si="205"/>
        <v>On Time</v>
      </c>
      <c r="N1436" s="27" t="str">
        <f t="shared" si="200"/>
        <v>airBaltic</v>
      </c>
      <c r="O1436" s="3" t="s">
        <v>1385</v>
      </c>
      <c r="P1436" s="20">
        <f t="shared" si="201"/>
        <v>1</v>
      </c>
      <c r="Q1436" s="3" t="s">
        <v>1385</v>
      </c>
      <c r="R1436" s="23" t="str">
        <f t="shared" si="202"/>
        <v>Friday</v>
      </c>
      <c r="S1436" s="3" t="s">
        <v>1385</v>
      </c>
      <c r="T1436" s="23" t="s">
        <v>7</v>
      </c>
      <c r="U1436" s="3" t="s">
        <v>1385</v>
      </c>
    </row>
    <row r="1437" spans="1:21" x14ac:dyDescent="0.25">
      <c r="A1437" t="s">
        <v>40</v>
      </c>
      <c r="B1437" t="s">
        <v>41</v>
      </c>
      <c r="C1437" s="10">
        <v>-19</v>
      </c>
      <c r="D1437" t="s">
        <v>554</v>
      </c>
      <c r="E1437" s="2">
        <f t="shared" si="204"/>
        <v>46227</v>
      </c>
      <c r="F1437" s="3">
        <f t="shared" si="203"/>
        <v>5.9722222222222225E-2</v>
      </c>
      <c r="G1437" t="s">
        <v>43</v>
      </c>
      <c r="H1437" t="s">
        <v>44</v>
      </c>
      <c r="I1437" t="s">
        <v>158</v>
      </c>
      <c r="J1437" s="2">
        <v>46227</v>
      </c>
      <c r="K1437" s="1">
        <v>5.9027777777777783E-2</v>
      </c>
      <c r="L1437" s="10">
        <f t="shared" si="199"/>
        <v>-0.99999999999999645</v>
      </c>
      <c r="M1437" s="1" t="str">
        <f t="shared" si="205"/>
        <v>On Time</v>
      </c>
      <c r="N1437" s="27" t="str">
        <f t="shared" si="200"/>
        <v>SAS</v>
      </c>
      <c r="O1437" s="3" t="s">
        <v>1385</v>
      </c>
      <c r="P1437" s="20">
        <f t="shared" si="201"/>
        <v>1</v>
      </c>
      <c r="Q1437" s="3" t="s">
        <v>1385</v>
      </c>
      <c r="R1437" s="23" t="str">
        <f t="shared" si="202"/>
        <v>Friday</v>
      </c>
      <c r="S1437" s="3" t="s">
        <v>1385</v>
      </c>
      <c r="T1437" s="23" t="s">
        <v>41</v>
      </c>
      <c r="U1437" s="3" t="s">
        <v>1385</v>
      </c>
    </row>
    <row r="1438" spans="1:21" x14ac:dyDescent="0.25">
      <c r="A1438" t="s">
        <v>285</v>
      </c>
      <c r="B1438" t="s">
        <v>13</v>
      </c>
      <c r="C1438" s="10">
        <v>-3</v>
      </c>
      <c r="D1438" t="s">
        <v>966</v>
      </c>
      <c r="E1438" s="2">
        <f t="shared" si="204"/>
        <v>46227</v>
      </c>
      <c r="F1438" s="3">
        <f t="shared" si="203"/>
        <v>4.5138888888888888E-2</v>
      </c>
      <c r="G1438" t="s">
        <v>287</v>
      </c>
      <c r="H1438" t="s">
        <v>288</v>
      </c>
      <c r="I1438" t="s">
        <v>17</v>
      </c>
      <c r="J1438" s="2">
        <v>46227</v>
      </c>
      <c r="K1438" s="1">
        <v>5.9027777777777783E-2</v>
      </c>
      <c r="L1438" s="10">
        <f t="shared" si="199"/>
        <v>20.000000000000007</v>
      </c>
      <c r="M1438" s="1" t="str">
        <f t="shared" si="205"/>
        <v>On Time</v>
      </c>
      <c r="N1438" s="27" t="str">
        <f t="shared" si="200"/>
        <v>Wizz Air</v>
      </c>
      <c r="O1438" s="3" t="s">
        <v>1385</v>
      </c>
      <c r="P1438" s="20">
        <f t="shared" si="201"/>
        <v>1</v>
      </c>
      <c r="Q1438" s="3" t="s">
        <v>1385</v>
      </c>
      <c r="R1438" s="23" t="str">
        <f t="shared" si="202"/>
        <v>Friday</v>
      </c>
      <c r="S1438" s="3" t="s">
        <v>1385</v>
      </c>
      <c r="T1438" s="23" t="s">
        <v>13</v>
      </c>
      <c r="U1438" s="3" t="s">
        <v>1385</v>
      </c>
    </row>
    <row r="1439" spans="1:21" x14ac:dyDescent="0.25">
      <c r="A1439" t="s">
        <v>123</v>
      </c>
      <c r="B1439" t="s">
        <v>1267</v>
      </c>
      <c r="C1439" s="10" t="e">
        <f>NA()</f>
        <v>#N/A</v>
      </c>
      <c r="D1439" t="s">
        <v>1172</v>
      </c>
      <c r="E1439" s="2">
        <f t="shared" si="204"/>
        <v>46227</v>
      </c>
      <c r="F1439" s="3">
        <f t="shared" si="203"/>
        <v>9.5138888888888884E-2</v>
      </c>
      <c r="G1439" t="s">
        <v>102</v>
      </c>
      <c r="H1439" t="s">
        <v>1268</v>
      </c>
      <c r="I1439" t="s">
        <v>701</v>
      </c>
      <c r="J1439" s="2">
        <v>46227</v>
      </c>
      <c r="K1439" s="1">
        <v>9.6527777777777768E-2</v>
      </c>
      <c r="L1439" s="10">
        <f t="shared" si="199"/>
        <v>1.9999999999999929</v>
      </c>
      <c r="M1439" s="1" t="str">
        <f t="shared" si="205"/>
        <v>On Time</v>
      </c>
      <c r="N1439" s="27" t="e">
        <f t="shared" si="200"/>
        <v>#N/A</v>
      </c>
      <c r="O1439" s="3" t="s">
        <v>1385</v>
      </c>
      <c r="P1439" s="20">
        <f t="shared" si="201"/>
        <v>2</v>
      </c>
      <c r="Q1439" s="3" t="s">
        <v>1385</v>
      </c>
      <c r="R1439" s="23" t="str">
        <f t="shared" si="202"/>
        <v>Friday</v>
      </c>
      <c r="S1439" s="3" t="s">
        <v>1385</v>
      </c>
      <c r="T1439" s="23" t="s">
        <v>1267</v>
      </c>
      <c r="U1439" s="3" t="s">
        <v>1385</v>
      </c>
    </row>
    <row r="1440" spans="1:21" x14ac:dyDescent="0.25">
      <c r="A1440" t="s">
        <v>1269</v>
      </c>
      <c r="B1440" t="s">
        <v>1270</v>
      </c>
      <c r="D1440" t="s">
        <v>1271</v>
      </c>
      <c r="E1440" s="2">
        <f t="shared" si="204"/>
        <v>46227</v>
      </c>
      <c r="F1440" s="3">
        <f t="shared" si="203"/>
        <v>0.32291666666666669</v>
      </c>
      <c r="G1440" t="s">
        <v>57</v>
      </c>
      <c r="H1440" t="s">
        <v>58</v>
      </c>
      <c r="I1440" t="s">
        <v>1272</v>
      </c>
      <c r="J1440" s="2">
        <v>46227</v>
      </c>
      <c r="K1440" s="1">
        <v>0.32291666666666669</v>
      </c>
      <c r="L1440" s="10">
        <f t="shared" si="199"/>
        <v>0</v>
      </c>
      <c r="M1440" s="1" t="str">
        <f t="shared" si="205"/>
        <v>On Time</v>
      </c>
      <c r="N1440" s="27" t="e">
        <f t="shared" si="200"/>
        <v>#N/A</v>
      </c>
      <c r="O1440" s="3" t="s">
        <v>1385</v>
      </c>
      <c r="P1440" s="20">
        <f t="shared" si="201"/>
        <v>7</v>
      </c>
      <c r="Q1440" s="3" t="s">
        <v>1385</v>
      </c>
      <c r="R1440" s="23" t="str">
        <f t="shared" si="202"/>
        <v>Friday</v>
      </c>
      <c r="S1440" s="3" t="s">
        <v>1385</v>
      </c>
      <c r="T1440" s="23" t="s">
        <v>1270</v>
      </c>
      <c r="U1440" s="3" t="s">
        <v>1385</v>
      </c>
    </row>
    <row r="1441" spans="1:21" x14ac:dyDescent="0.25">
      <c r="A1441" t="s">
        <v>60</v>
      </c>
      <c r="B1441" t="s">
        <v>7</v>
      </c>
      <c r="C1441" s="10">
        <v>-169</v>
      </c>
      <c r="D1441" t="s">
        <v>996</v>
      </c>
      <c r="E1441" s="2">
        <f t="shared" si="204"/>
        <v>46227</v>
      </c>
      <c r="F1441" s="3">
        <f t="shared" si="203"/>
        <v>0.46388888888888885</v>
      </c>
      <c r="G1441" t="s">
        <v>9</v>
      </c>
      <c r="H1441" t="s">
        <v>10</v>
      </c>
      <c r="I1441" t="s">
        <v>11</v>
      </c>
      <c r="J1441" s="2">
        <v>46227</v>
      </c>
      <c r="K1441" s="1">
        <v>0.3611111111111111</v>
      </c>
      <c r="L1441" s="10">
        <f t="shared" si="199"/>
        <v>-147.99999999999994</v>
      </c>
      <c r="M1441" s="1" t="str">
        <f t="shared" si="205"/>
        <v>Delayed</v>
      </c>
      <c r="N1441" s="27" t="str">
        <f t="shared" si="200"/>
        <v>airBaltic</v>
      </c>
      <c r="O1441" s="3" t="s">
        <v>1318</v>
      </c>
      <c r="P1441" s="20">
        <f t="shared" si="201"/>
        <v>11</v>
      </c>
      <c r="Q1441" s="3" t="s">
        <v>1318</v>
      </c>
      <c r="R1441" s="23" t="str">
        <f t="shared" si="202"/>
        <v>Friday</v>
      </c>
      <c r="S1441" s="3" t="s">
        <v>1318</v>
      </c>
      <c r="T1441" s="23" t="s">
        <v>7</v>
      </c>
      <c r="U1441" s="3" t="s">
        <v>1318</v>
      </c>
    </row>
    <row r="1442" spans="1:21" x14ac:dyDescent="0.25">
      <c r="A1442" t="s">
        <v>291</v>
      </c>
      <c r="B1442" t="s">
        <v>13</v>
      </c>
      <c r="C1442" s="10">
        <v>0</v>
      </c>
      <c r="D1442" t="s">
        <v>570</v>
      </c>
      <c r="E1442" s="2">
        <f t="shared" si="204"/>
        <v>46227</v>
      </c>
      <c r="F1442" s="3">
        <f t="shared" si="203"/>
        <v>0.36319444444444443</v>
      </c>
      <c r="G1442" t="s">
        <v>293</v>
      </c>
      <c r="H1442" t="s">
        <v>294</v>
      </c>
      <c r="I1442" t="s">
        <v>17</v>
      </c>
      <c r="J1442" s="2">
        <v>46227</v>
      </c>
      <c r="K1442" s="1">
        <v>0.36805555555555558</v>
      </c>
      <c r="L1442" s="10">
        <f t="shared" si="199"/>
        <v>7.0000000000000551</v>
      </c>
      <c r="M1442" s="1" t="str">
        <f t="shared" si="205"/>
        <v>On Time</v>
      </c>
      <c r="N1442" s="27" t="str">
        <f t="shared" si="200"/>
        <v>Wizz Air</v>
      </c>
      <c r="O1442" s="3" t="s">
        <v>1385</v>
      </c>
      <c r="P1442" s="20">
        <f t="shared" si="201"/>
        <v>8</v>
      </c>
      <c r="Q1442" s="3" t="s">
        <v>1385</v>
      </c>
      <c r="R1442" s="23" t="str">
        <f t="shared" si="202"/>
        <v>Friday</v>
      </c>
      <c r="S1442" s="3" t="s">
        <v>1385</v>
      </c>
      <c r="T1442" s="23" t="s">
        <v>13</v>
      </c>
      <c r="U1442" s="3" t="s">
        <v>1385</v>
      </c>
    </row>
    <row r="1443" spans="1:21" x14ac:dyDescent="0.25">
      <c r="A1443" t="s">
        <v>68</v>
      </c>
      <c r="B1443" t="s">
        <v>69</v>
      </c>
      <c r="C1443" s="10">
        <v>-24</v>
      </c>
      <c r="D1443" t="s">
        <v>1273</v>
      </c>
      <c r="E1443" s="2">
        <f t="shared" si="204"/>
        <v>46227</v>
      </c>
      <c r="F1443" s="3">
        <f t="shared" si="203"/>
        <v>0.38125000000000003</v>
      </c>
      <c r="G1443" t="s">
        <v>71</v>
      </c>
      <c r="H1443" t="s">
        <v>72</v>
      </c>
      <c r="I1443" t="s">
        <v>295</v>
      </c>
      <c r="J1443" s="2">
        <v>46227</v>
      </c>
      <c r="K1443" s="1">
        <v>0.37152777777777773</v>
      </c>
      <c r="L1443" s="10">
        <f t="shared" si="199"/>
        <v>-14.00000000000011</v>
      </c>
      <c r="M1443" s="1" t="str">
        <f t="shared" si="205"/>
        <v>On Time</v>
      </c>
      <c r="N1443" s="27" t="str">
        <f t="shared" si="200"/>
        <v>Finnair</v>
      </c>
      <c r="O1443" s="3" t="s">
        <v>1385</v>
      </c>
      <c r="P1443" s="20">
        <f t="shared" si="201"/>
        <v>9</v>
      </c>
      <c r="Q1443" s="3" t="s">
        <v>1385</v>
      </c>
      <c r="R1443" s="23" t="str">
        <f t="shared" si="202"/>
        <v>Friday</v>
      </c>
      <c r="S1443" s="3" t="s">
        <v>1385</v>
      </c>
      <c r="T1443" s="23" t="s">
        <v>69</v>
      </c>
      <c r="U1443" s="3" t="s">
        <v>1385</v>
      </c>
    </row>
    <row r="1444" spans="1:21" x14ac:dyDescent="0.25">
      <c r="A1444" t="s">
        <v>1274</v>
      </c>
      <c r="B1444" t="s">
        <v>1275</v>
      </c>
      <c r="D1444" t="s">
        <v>1242</v>
      </c>
      <c r="E1444" s="2">
        <f t="shared" si="204"/>
        <v>46227</v>
      </c>
      <c r="F1444" s="3">
        <f t="shared" si="203"/>
        <v>0.41111111111111115</v>
      </c>
      <c r="G1444" t="s">
        <v>1276</v>
      </c>
      <c r="H1444" t="s">
        <v>1277</v>
      </c>
      <c r="I1444" t="s">
        <v>983</v>
      </c>
      <c r="J1444" s="2">
        <v>46227</v>
      </c>
      <c r="K1444" s="1">
        <v>0.375</v>
      </c>
      <c r="L1444" s="10">
        <f t="shared" si="199"/>
        <v>-52.000000000000057</v>
      </c>
      <c r="M1444" s="1" t="str">
        <f t="shared" si="205"/>
        <v>Delayed</v>
      </c>
      <c r="N1444" s="27" t="e">
        <f t="shared" si="200"/>
        <v>#N/A</v>
      </c>
      <c r="O1444" s="3" t="s">
        <v>1318</v>
      </c>
      <c r="P1444" s="20">
        <f t="shared" si="201"/>
        <v>9</v>
      </c>
      <c r="Q1444" s="3" t="s">
        <v>1318</v>
      </c>
      <c r="R1444" s="23" t="str">
        <f t="shared" si="202"/>
        <v>Friday</v>
      </c>
      <c r="S1444" s="3" t="s">
        <v>1318</v>
      </c>
      <c r="T1444" s="23" t="s">
        <v>1275</v>
      </c>
      <c r="U1444" s="3" t="s">
        <v>1318</v>
      </c>
    </row>
    <row r="1445" spans="1:21" x14ac:dyDescent="0.25">
      <c r="A1445" t="s">
        <v>74</v>
      </c>
      <c r="B1445" t="s">
        <v>13</v>
      </c>
      <c r="C1445" s="10">
        <v>4</v>
      </c>
      <c r="D1445" t="s">
        <v>1217</v>
      </c>
      <c r="E1445" s="2">
        <f t="shared" si="204"/>
        <v>46227</v>
      </c>
      <c r="F1445" s="3">
        <f t="shared" si="203"/>
        <v>0.36736111111111108</v>
      </c>
      <c r="G1445" t="s">
        <v>76</v>
      </c>
      <c r="H1445" t="s">
        <v>77</v>
      </c>
      <c r="I1445" t="s">
        <v>17</v>
      </c>
      <c r="J1445" s="2">
        <v>46227</v>
      </c>
      <c r="K1445" s="1">
        <v>0.3888888888888889</v>
      </c>
      <c r="L1445" s="10">
        <f t="shared" si="199"/>
        <v>31.00000000000005</v>
      </c>
      <c r="M1445" s="1" t="str">
        <f t="shared" si="205"/>
        <v>On Time</v>
      </c>
      <c r="N1445" s="27" t="str">
        <f t="shared" si="200"/>
        <v>Wizz Air</v>
      </c>
      <c r="O1445" s="3" t="s">
        <v>1385</v>
      </c>
      <c r="P1445" s="20">
        <f t="shared" si="201"/>
        <v>8</v>
      </c>
      <c r="Q1445" s="3" t="s">
        <v>1385</v>
      </c>
      <c r="R1445" s="23" t="str">
        <f t="shared" si="202"/>
        <v>Friday</v>
      </c>
      <c r="S1445" s="3" t="s">
        <v>1385</v>
      </c>
      <c r="T1445" s="23" t="s">
        <v>13</v>
      </c>
      <c r="U1445" s="3" t="s">
        <v>1385</v>
      </c>
    </row>
    <row r="1446" spans="1:21" x14ac:dyDescent="0.25">
      <c r="A1446" t="s">
        <v>159</v>
      </c>
      <c r="B1446" t="s">
        <v>85</v>
      </c>
      <c r="C1446" s="10">
        <v>-10</v>
      </c>
      <c r="D1446" t="s">
        <v>574</v>
      </c>
      <c r="E1446" s="2">
        <f t="shared" si="204"/>
        <v>46227</v>
      </c>
      <c r="F1446" s="3">
        <f t="shared" si="203"/>
        <v>0.39861111111111108</v>
      </c>
      <c r="G1446" t="s">
        <v>34</v>
      </c>
      <c r="H1446" t="s">
        <v>161</v>
      </c>
      <c r="I1446" t="s">
        <v>89</v>
      </c>
      <c r="J1446" s="2">
        <v>46227</v>
      </c>
      <c r="K1446" s="1">
        <v>0.39930555555555558</v>
      </c>
      <c r="L1446" s="10">
        <f t="shared" si="199"/>
        <v>1.0000000000000764</v>
      </c>
      <c r="M1446" s="1" t="str">
        <f t="shared" si="205"/>
        <v>On Time</v>
      </c>
      <c r="N1446" s="27" t="str">
        <f t="shared" si="200"/>
        <v>Ryanair</v>
      </c>
      <c r="O1446" s="3" t="s">
        <v>1385</v>
      </c>
      <c r="P1446" s="20">
        <f t="shared" si="201"/>
        <v>9</v>
      </c>
      <c r="Q1446" s="3" t="s">
        <v>1385</v>
      </c>
      <c r="R1446" s="23" t="str">
        <f t="shared" si="202"/>
        <v>Friday</v>
      </c>
      <c r="S1446" s="3" t="s">
        <v>1385</v>
      </c>
      <c r="T1446" s="23" t="s">
        <v>85</v>
      </c>
      <c r="U1446" s="3" t="s">
        <v>1385</v>
      </c>
    </row>
    <row r="1447" spans="1:21" x14ac:dyDescent="0.25">
      <c r="A1447" t="s">
        <v>90</v>
      </c>
      <c r="B1447" t="s">
        <v>19</v>
      </c>
      <c r="C1447" s="10">
        <v>-23</v>
      </c>
      <c r="D1447" t="s">
        <v>644</v>
      </c>
      <c r="E1447" s="2">
        <f t="shared" si="204"/>
        <v>46227</v>
      </c>
      <c r="F1447" s="3">
        <f t="shared" si="203"/>
        <v>0.42083333333333334</v>
      </c>
      <c r="G1447" t="s">
        <v>21</v>
      </c>
      <c r="H1447" t="s">
        <v>22</v>
      </c>
      <c r="I1447" t="s">
        <v>143</v>
      </c>
      <c r="J1447" s="2">
        <v>46227</v>
      </c>
      <c r="K1447" s="1">
        <v>0.4201388888888889</v>
      </c>
      <c r="L1447" s="10">
        <f t="shared" si="199"/>
        <v>-0.99999999999999645</v>
      </c>
      <c r="M1447" s="1" t="str">
        <f t="shared" si="205"/>
        <v>On Time</v>
      </c>
      <c r="N1447" s="27" t="str">
        <f t="shared" si="200"/>
        <v>LOT</v>
      </c>
      <c r="O1447" s="3" t="s">
        <v>1385</v>
      </c>
      <c r="P1447" s="20">
        <f t="shared" si="201"/>
        <v>10</v>
      </c>
      <c r="Q1447" s="3" t="s">
        <v>1385</v>
      </c>
      <c r="R1447" s="23" t="str">
        <f t="shared" si="202"/>
        <v>Friday</v>
      </c>
      <c r="S1447" s="3" t="s">
        <v>1385</v>
      </c>
      <c r="T1447" s="23" t="s">
        <v>19</v>
      </c>
      <c r="U1447" s="3" t="s">
        <v>1385</v>
      </c>
    </row>
    <row r="1448" spans="1:21" x14ac:dyDescent="0.25">
      <c r="A1448" t="s">
        <v>95</v>
      </c>
      <c r="B1448" t="s">
        <v>96</v>
      </c>
      <c r="C1448" s="10">
        <v>-29</v>
      </c>
      <c r="D1448" t="s">
        <v>936</v>
      </c>
      <c r="E1448" s="2">
        <f t="shared" si="204"/>
        <v>46227</v>
      </c>
      <c r="F1448" s="3">
        <f t="shared" si="203"/>
        <v>0.44305555555555554</v>
      </c>
      <c r="G1448" t="s">
        <v>98</v>
      </c>
      <c r="H1448" t="s">
        <v>99</v>
      </c>
      <c r="I1448" t="s">
        <v>188</v>
      </c>
      <c r="J1448" s="2">
        <v>46227</v>
      </c>
      <c r="K1448" s="1">
        <v>0.44791666666666669</v>
      </c>
      <c r="L1448" s="10">
        <f t="shared" si="199"/>
        <v>7.0000000000000551</v>
      </c>
      <c r="M1448" s="1" t="str">
        <f t="shared" si="205"/>
        <v>On Time</v>
      </c>
      <c r="N1448" s="27" t="str">
        <f t="shared" si="200"/>
        <v>Turkish Airlines</v>
      </c>
      <c r="O1448" s="3" t="s">
        <v>1385</v>
      </c>
      <c r="P1448" s="20">
        <f t="shared" si="201"/>
        <v>10</v>
      </c>
      <c r="Q1448" s="3" t="s">
        <v>1385</v>
      </c>
      <c r="R1448" s="23" t="str">
        <f t="shared" si="202"/>
        <v>Friday</v>
      </c>
      <c r="S1448" s="3" t="s">
        <v>1385</v>
      </c>
      <c r="T1448" s="23" t="s">
        <v>96</v>
      </c>
      <c r="U1448" s="3" t="s">
        <v>1385</v>
      </c>
    </row>
    <row r="1449" spans="1:21" x14ac:dyDescent="0.25">
      <c r="A1449" t="s">
        <v>306</v>
      </c>
      <c r="B1449" t="s">
        <v>239</v>
      </c>
      <c r="D1449" t="s">
        <v>1278</v>
      </c>
      <c r="E1449" s="2">
        <f t="shared" si="204"/>
        <v>46227</v>
      </c>
      <c r="F1449" s="3">
        <f t="shared" si="203"/>
        <v>0.61041666666666672</v>
      </c>
      <c r="G1449" t="s">
        <v>308</v>
      </c>
      <c r="H1449" t="s">
        <v>309</v>
      </c>
      <c r="I1449" t="s">
        <v>83</v>
      </c>
      <c r="J1449" s="2">
        <v>46227</v>
      </c>
      <c r="K1449" s="1">
        <v>0.45833333333333331</v>
      </c>
      <c r="L1449" s="10">
        <f t="shared" si="199"/>
        <v>-219.00000000000011</v>
      </c>
      <c r="M1449" s="1" t="str">
        <f t="shared" si="205"/>
        <v>Delayed</v>
      </c>
      <c r="N1449" s="27" t="str">
        <f t="shared" si="200"/>
        <v>Eurowings</v>
      </c>
      <c r="O1449" s="3" t="s">
        <v>1318</v>
      </c>
      <c r="P1449" s="20">
        <f t="shared" si="201"/>
        <v>14</v>
      </c>
      <c r="Q1449" s="3" t="s">
        <v>1318</v>
      </c>
      <c r="R1449" s="23" t="str">
        <f t="shared" si="202"/>
        <v>Friday</v>
      </c>
      <c r="S1449" s="3" t="s">
        <v>1318</v>
      </c>
      <c r="T1449" s="23" t="s">
        <v>239</v>
      </c>
      <c r="U1449" s="3" t="s">
        <v>1318</v>
      </c>
    </row>
    <row r="1450" spans="1:21" x14ac:dyDescent="0.25">
      <c r="A1450" t="s">
        <v>213</v>
      </c>
      <c r="B1450" t="s">
        <v>85</v>
      </c>
      <c r="C1450" s="10">
        <v>-9</v>
      </c>
      <c r="D1450" t="s">
        <v>495</v>
      </c>
      <c r="E1450" s="2">
        <f t="shared" si="204"/>
        <v>46227</v>
      </c>
      <c r="F1450" s="3">
        <f t="shared" si="203"/>
        <v>0.4513888888888889</v>
      </c>
      <c r="G1450" t="s">
        <v>102</v>
      </c>
      <c r="H1450" t="s">
        <v>115</v>
      </c>
      <c r="I1450" t="s">
        <v>162</v>
      </c>
      <c r="J1450" s="2">
        <v>46227</v>
      </c>
      <c r="K1450" s="1">
        <v>0.46527777777777773</v>
      </c>
      <c r="L1450" s="10">
        <f t="shared" si="199"/>
        <v>19.999999999999929</v>
      </c>
      <c r="M1450" s="1" t="str">
        <f t="shared" si="205"/>
        <v>On Time</v>
      </c>
      <c r="N1450" s="27" t="str">
        <f t="shared" si="200"/>
        <v>Ryanair</v>
      </c>
      <c r="O1450" s="3" t="s">
        <v>1385</v>
      </c>
      <c r="P1450" s="20">
        <f t="shared" si="201"/>
        <v>10</v>
      </c>
      <c r="Q1450" s="3" t="s">
        <v>1385</v>
      </c>
      <c r="R1450" s="23" t="str">
        <f t="shared" si="202"/>
        <v>Friday</v>
      </c>
      <c r="S1450" s="3" t="s">
        <v>1385</v>
      </c>
      <c r="T1450" s="23" t="s">
        <v>85</v>
      </c>
      <c r="U1450" s="3" t="s">
        <v>1385</v>
      </c>
    </row>
    <row r="1451" spans="1:21" x14ac:dyDescent="0.25">
      <c r="A1451" t="s">
        <v>123</v>
      </c>
      <c r="B1451" t="s">
        <v>124</v>
      </c>
      <c r="D1451" t="s">
        <v>1184</v>
      </c>
      <c r="E1451" s="2">
        <f t="shared" si="204"/>
        <v>46227</v>
      </c>
      <c r="F1451" s="3">
        <f t="shared" si="203"/>
        <v>0.50624999999999998</v>
      </c>
      <c r="G1451" t="s">
        <v>312</v>
      </c>
      <c r="H1451" t="s">
        <v>313</v>
      </c>
      <c r="I1451" t="s">
        <v>126</v>
      </c>
      <c r="J1451" s="2">
        <v>46227</v>
      </c>
      <c r="K1451" s="1">
        <v>0.51250000000000007</v>
      </c>
      <c r="L1451" s="10">
        <f t="shared" si="199"/>
        <v>9.0000000000001279</v>
      </c>
      <c r="M1451" s="1" t="str">
        <f t="shared" si="205"/>
        <v>On Time</v>
      </c>
      <c r="N1451" s="27" t="str">
        <f t="shared" si="200"/>
        <v>GetJet Airlines</v>
      </c>
      <c r="O1451" s="3" t="s">
        <v>1385</v>
      </c>
      <c r="P1451" s="20">
        <f t="shared" si="201"/>
        <v>12</v>
      </c>
      <c r="Q1451" s="3" t="s">
        <v>1385</v>
      </c>
      <c r="R1451" s="23" t="str">
        <f t="shared" si="202"/>
        <v>Friday</v>
      </c>
      <c r="S1451" s="3" t="s">
        <v>1385</v>
      </c>
      <c r="T1451" s="23" t="s">
        <v>124</v>
      </c>
      <c r="U1451" s="3" t="s">
        <v>1385</v>
      </c>
    </row>
    <row r="1452" spans="1:21" x14ac:dyDescent="0.25">
      <c r="A1452" t="s">
        <v>28</v>
      </c>
      <c r="B1452" t="s">
        <v>7</v>
      </c>
      <c r="C1452" s="10" t="e">
        <f>NA()</f>
        <v>#N/A</v>
      </c>
      <c r="D1452" t="s">
        <v>377</v>
      </c>
      <c r="E1452" s="2">
        <f t="shared" si="204"/>
        <v>46227</v>
      </c>
      <c r="F1452" s="3" t="e">
        <f t="shared" si="203"/>
        <v>#N/A</v>
      </c>
      <c r="G1452" t="s">
        <v>30</v>
      </c>
      <c r="H1452" t="s">
        <v>31</v>
      </c>
      <c r="I1452" t="s">
        <v>123</v>
      </c>
      <c r="J1452" s="2">
        <v>46227</v>
      </c>
      <c r="K1452" s="1">
        <v>0.51736111111111105</v>
      </c>
      <c r="L1452" s="10" t="e">
        <f t="shared" si="199"/>
        <v>#N/A</v>
      </c>
      <c r="M1452" s="1" t="e">
        <f t="shared" si="205"/>
        <v>#N/A</v>
      </c>
      <c r="N1452" s="27" t="str">
        <f t="shared" si="200"/>
        <v>airBaltic</v>
      </c>
      <c r="O1452" s="3" t="e">
        <v>#N/A</v>
      </c>
      <c r="P1452" s="20" t="e">
        <f t="shared" si="201"/>
        <v>#N/A</v>
      </c>
      <c r="Q1452" s="3" t="e">
        <v>#N/A</v>
      </c>
      <c r="R1452" s="23" t="str">
        <f t="shared" si="202"/>
        <v>Friday</v>
      </c>
      <c r="S1452" s="3" t="e">
        <v>#N/A</v>
      </c>
      <c r="T1452" s="23" t="s">
        <v>7</v>
      </c>
    </row>
    <row r="1453" spans="1:21" x14ac:dyDescent="0.25">
      <c r="A1453" t="s">
        <v>108</v>
      </c>
      <c r="B1453" t="s">
        <v>190</v>
      </c>
      <c r="C1453" s="10">
        <v>-12</v>
      </c>
      <c r="D1453" t="s">
        <v>898</v>
      </c>
      <c r="E1453" s="2">
        <f t="shared" si="204"/>
        <v>46227</v>
      </c>
      <c r="F1453" s="3">
        <f t="shared" si="203"/>
        <v>0.52361111111111114</v>
      </c>
      <c r="G1453" t="s">
        <v>110</v>
      </c>
      <c r="H1453" t="s">
        <v>111</v>
      </c>
      <c r="I1453" t="s">
        <v>210</v>
      </c>
      <c r="J1453" s="2">
        <v>46227</v>
      </c>
      <c r="K1453" s="1">
        <v>0.52777777777777779</v>
      </c>
      <c r="L1453" s="10">
        <f t="shared" si="199"/>
        <v>5.9999999999999787</v>
      </c>
      <c r="M1453" s="1" t="str">
        <f t="shared" si="205"/>
        <v>On Time</v>
      </c>
      <c r="N1453" s="27" t="str">
        <f t="shared" si="200"/>
        <v>Lufthansa</v>
      </c>
      <c r="O1453" s="3" t="s">
        <v>1385</v>
      </c>
      <c r="P1453" s="20">
        <f t="shared" si="201"/>
        <v>12</v>
      </c>
      <c r="Q1453" s="3" t="s">
        <v>1385</v>
      </c>
      <c r="R1453" s="23" t="str">
        <f t="shared" si="202"/>
        <v>Friday</v>
      </c>
      <c r="S1453" s="3" t="s">
        <v>1385</v>
      </c>
      <c r="T1453" s="23" t="s">
        <v>190</v>
      </c>
      <c r="U1453" s="3" t="s">
        <v>1385</v>
      </c>
    </row>
    <row r="1454" spans="1:21" x14ac:dyDescent="0.25">
      <c r="A1454" t="s">
        <v>113</v>
      </c>
      <c r="B1454" t="s">
        <v>13</v>
      </c>
      <c r="C1454" s="10">
        <v>-21</v>
      </c>
      <c r="D1454" t="s">
        <v>899</v>
      </c>
      <c r="E1454" s="2">
        <f t="shared" si="204"/>
        <v>46227</v>
      </c>
      <c r="F1454" s="3">
        <f t="shared" si="203"/>
        <v>0.52986111111111112</v>
      </c>
      <c r="G1454" t="s">
        <v>102</v>
      </c>
      <c r="H1454" t="s">
        <v>115</v>
      </c>
      <c r="I1454" t="s">
        <v>17</v>
      </c>
      <c r="J1454" s="2">
        <v>46227</v>
      </c>
      <c r="K1454" s="1">
        <v>0.53472222222222221</v>
      </c>
      <c r="L1454" s="10">
        <f t="shared" si="199"/>
        <v>6.9999999999999751</v>
      </c>
      <c r="M1454" s="1" t="str">
        <f t="shared" si="205"/>
        <v>On Time</v>
      </c>
      <c r="N1454" s="27" t="str">
        <f t="shared" si="200"/>
        <v>Wizz Air</v>
      </c>
      <c r="O1454" s="3" t="s">
        <v>1385</v>
      </c>
      <c r="P1454" s="20">
        <f t="shared" si="201"/>
        <v>12</v>
      </c>
      <c r="Q1454" s="3" t="s">
        <v>1385</v>
      </c>
      <c r="R1454" s="23" t="str">
        <f t="shared" si="202"/>
        <v>Friday</v>
      </c>
      <c r="S1454" s="3" t="s">
        <v>1385</v>
      </c>
      <c r="T1454" s="23" t="s">
        <v>13</v>
      </c>
      <c r="U1454" s="3" t="s">
        <v>1385</v>
      </c>
    </row>
    <row r="1455" spans="1:21" x14ac:dyDescent="0.25">
      <c r="A1455" t="s">
        <v>121</v>
      </c>
      <c r="B1455" t="s">
        <v>69</v>
      </c>
      <c r="C1455" s="10">
        <v>-7</v>
      </c>
      <c r="D1455" t="s">
        <v>823</v>
      </c>
      <c r="E1455" s="2">
        <f t="shared" si="204"/>
        <v>46227</v>
      </c>
      <c r="F1455" s="3">
        <f t="shared" si="203"/>
        <v>0.53541666666666665</v>
      </c>
      <c r="G1455" t="s">
        <v>71</v>
      </c>
      <c r="H1455" t="s">
        <v>72</v>
      </c>
      <c r="I1455" t="s">
        <v>73</v>
      </c>
      <c r="J1455" s="2">
        <v>46227</v>
      </c>
      <c r="K1455" s="1">
        <v>0.54166666666666663</v>
      </c>
      <c r="L1455" s="10">
        <f t="shared" si="199"/>
        <v>8.999999999999968</v>
      </c>
      <c r="M1455" s="1" t="str">
        <f t="shared" si="205"/>
        <v>On Time</v>
      </c>
      <c r="N1455" s="27" t="str">
        <f t="shared" si="200"/>
        <v>Finnair</v>
      </c>
      <c r="O1455" s="3" t="s">
        <v>1385</v>
      </c>
      <c r="P1455" s="20">
        <f t="shared" si="201"/>
        <v>12</v>
      </c>
      <c r="Q1455" s="3" t="s">
        <v>1385</v>
      </c>
      <c r="R1455" s="23" t="str">
        <f t="shared" si="202"/>
        <v>Friday</v>
      </c>
      <c r="S1455" s="3" t="s">
        <v>1385</v>
      </c>
      <c r="T1455" s="23" t="s">
        <v>69</v>
      </c>
      <c r="U1455" s="3" t="s">
        <v>1385</v>
      </c>
    </row>
    <row r="1456" spans="1:21" x14ac:dyDescent="0.25">
      <c r="A1456" t="s">
        <v>317</v>
      </c>
      <c r="B1456" t="s">
        <v>117</v>
      </c>
      <c r="C1456" s="10">
        <v>-19</v>
      </c>
      <c r="D1456" t="s">
        <v>435</v>
      </c>
      <c r="E1456" s="2">
        <f t="shared" si="204"/>
        <v>46227</v>
      </c>
      <c r="F1456" s="3">
        <f t="shared" si="203"/>
        <v>0.5444444444444444</v>
      </c>
      <c r="G1456" t="s">
        <v>119</v>
      </c>
      <c r="H1456" t="s">
        <v>120</v>
      </c>
      <c r="I1456" t="s">
        <v>67</v>
      </c>
      <c r="J1456" s="2">
        <v>46227</v>
      </c>
      <c r="K1456" s="1">
        <v>0.54513888888888895</v>
      </c>
      <c r="L1456" s="10">
        <f t="shared" si="199"/>
        <v>1.0000000000001563</v>
      </c>
      <c r="M1456" s="1" t="str">
        <f t="shared" si="205"/>
        <v>On Time</v>
      </c>
      <c r="N1456" s="27" t="str">
        <f t="shared" si="200"/>
        <v>Heston Airlines</v>
      </c>
      <c r="O1456" s="3" t="s">
        <v>1385</v>
      </c>
      <c r="P1456" s="20">
        <f t="shared" si="201"/>
        <v>13</v>
      </c>
      <c r="Q1456" s="3" t="s">
        <v>1385</v>
      </c>
      <c r="R1456" s="23" t="str">
        <f t="shared" si="202"/>
        <v>Friday</v>
      </c>
      <c r="S1456" s="3" t="s">
        <v>1385</v>
      </c>
      <c r="T1456" s="23" t="s">
        <v>117</v>
      </c>
      <c r="U1456" s="3" t="s">
        <v>1385</v>
      </c>
    </row>
    <row r="1457" spans="1:21" x14ac:dyDescent="0.25">
      <c r="A1457" t="s">
        <v>319</v>
      </c>
      <c r="B1457" t="s">
        <v>85</v>
      </c>
      <c r="C1457" s="10">
        <v>-16</v>
      </c>
      <c r="D1457" t="s">
        <v>589</v>
      </c>
      <c r="E1457" s="2">
        <f t="shared" si="204"/>
        <v>46227</v>
      </c>
      <c r="F1457" s="3">
        <f t="shared" si="203"/>
        <v>0.55138888888888882</v>
      </c>
      <c r="G1457" t="s">
        <v>15</v>
      </c>
      <c r="H1457" t="s">
        <v>16</v>
      </c>
      <c r="I1457" t="s">
        <v>89</v>
      </c>
      <c r="J1457" s="2">
        <v>46227</v>
      </c>
      <c r="K1457" s="1">
        <v>0.55555555555555558</v>
      </c>
      <c r="L1457" s="10">
        <f t="shared" si="199"/>
        <v>6.0000000000001386</v>
      </c>
      <c r="M1457" s="1" t="str">
        <f t="shared" si="205"/>
        <v>On Time</v>
      </c>
      <c r="N1457" s="27" t="str">
        <f t="shared" si="200"/>
        <v>Ryanair</v>
      </c>
      <c r="O1457" s="3" t="s">
        <v>1385</v>
      </c>
      <c r="P1457" s="20">
        <f t="shared" si="201"/>
        <v>13</v>
      </c>
      <c r="Q1457" s="3" t="s">
        <v>1385</v>
      </c>
      <c r="R1457" s="23" t="str">
        <f t="shared" si="202"/>
        <v>Friday</v>
      </c>
      <c r="S1457" s="3" t="s">
        <v>1385</v>
      </c>
      <c r="T1457" s="23" t="s">
        <v>85</v>
      </c>
      <c r="U1457" s="3" t="s">
        <v>1385</v>
      </c>
    </row>
    <row r="1458" spans="1:21" x14ac:dyDescent="0.25">
      <c r="A1458" t="s">
        <v>321</v>
      </c>
      <c r="B1458" t="s">
        <v>85</v>
      </c>
      <c r="C1458" s="10">
        <v>-17</v>
      </c>
      <c r="D1458" t="s">
        <v>711</v>
      </c>
      <c r="E1458" s="2">
        <f t="shared" si="204"/>
        <v>46227</v>
      </c>
      <c r="F1458" s="3">
        <f t="shared" si="203"/>
        <v>0.54791666666666672</v>
      </c>
      <c r="G1458" t="s">
        <v>323</v>
      </c>
      <c r="H1458" t="s">
        <v>324</v>
      </c>
      <c r="I1458" t="s">
        <v>89</v>
      </c>
      <c r="J1458" s="2">
        <v>46227</v>
      </c>
      <c r="K1458" s="1">
        <v>0.55555555555555558</v>
      </c>
      <c r="L1458" s="10">
        <f t="shared" si="199"/>
        <v>10.999999999999961</v>
      </c>
      <c r="M1458" s="1" t="str">
        <f t="shared" si="205"/>
        <v>On Time</v>
      </c>
      <c r="N1458" s="27" t="str">
        <f t="shared" si="200"/>
        <v>Ryanair</v>
      </c>
      <c r="O1458" s="3" t="s">
        <v>1385</v>
      </c>
      <c r="P1458" s="20">
        <f t="shared" si="201"/>
        <v>13</v>
      </c>
      <c r="Q1458" s="3" t="s">
        <v>1385</v>
      </c>
      <c r="R1458" s="23" t="str">
        <f t="shared" si="202"/>
        <v>Friday</v>
      </c>
      <c r="S1458" s="3" t="s">
        <v>1385</v>
      </c>
      <c r="T1458" s="23" t="s">
        <v>85</v>
      </c>
      <c r="U1458" s="3" t="s">
        <v>1385</v>
      </c>
    </row>
    <row r="1459" spans="1:21" x14ac:dyDescent="0.25">
      <c r="A1459" t="s">
        <v>133</v>
      </c>
      <c r="B1459" t="s">
        <v>7</v>
      </c>
      <c r="C1459" s="10">
        <v>-40</v>
      </c>
      <c r="D1459" t="s">
        <v>1279</v>
      </c>
      <c r="E1459" s="2">
        <f t="shared" si="204"/>
        <v>46227</v>
      </c>
      <c r="F1459" s="3">
        <f t="shared" si="203"/>
        <v>0.57152777777777775</v>
      </c>
      <c r="G1459" t="s">
        <v>135</v>
      </c>
      <c r="H1459" t="s">
        <v>136</v>
      </c>
      <c r="I1459" t="s">
        <v>11</v>
      </c>
      <c r="J1459" s="2">
        <v>46227</v>
      </c>
      <c r="K1459" s="1">
        <v>0.55902777777777779</v>
      </c>
      <c r="L1459" s="10">
        <f t="shared" si="199"/>
        <v>-17.999999999999936</v>
      </c>
      <c r="M1459" s="1" t="str">
        <f t="shared" si="205"/>
        <v>Delayed</v>
      </c>
      <c r="N1459" s="27" t="str">
        <f t="shared" si="200"/>
        <v>airBaltic</v>
      </c>
      <c r="O1459" s="3" t="s">
        <v>1318</v>
      </c>
      <c r="P1459" s="20">
        <f t="shared" si="201"/>
        <v>13</v>
      </c>
      <c r="Q1459" s="3" t="s">
        <v>1318</v>
      </c>
      <c r="R1459" s="23" t="str">
        <f t="shared" si="202"/>
        <v>Friday</v>
      </c>
      <c r="S1459" s="3" t="s">
        <v>1318</v>
      </c>
      <c r="T1459" s="23" t="s">
        <v>7</v>
      </c>
      <c r="U1459" s="3" t="s">
        <v>1318</v>
      </c>
    </row>
    <row r="1460" spans="1:21" x14ac:dyDescent="0.25">
      <c r="A1460" t="s">
        <v>141</v>
      </c>
      <c r="B1460" t="s">
        <v>19</v>
      </c>
      <c r="C1460" s="10">
        <v>-16</v>
      </c>
      <c r="D1460" t="s">
        <v>654</v>
      </c>
      <c r="E1460" s="2">
        <f t="shared" si="204"/>
        <v>46227</v>
      </c>
      <c r="F1460" s="3">
        <f t="shared" si="203"/>
        <v>0.57291666666666663</v>
      </c>
      <c r="G1460" t="s">
        <v>21</v>
      </c>
      <c r="H1460" t="s">
        <v>22</v>
      </c>
      <c r="I1460" t="s">
        <v>276</v>
      </c>
      <c r="J1460" s="2">
        <v>46227</v>
      </c>
      <c r="K1460" s="1">
        <v>0.57638888888888895</v>
      </c>
      <c r="L1460" s="10">
        <f t="shared" si="199"/>
        <v>5.0000000000001421</v>
      </c>
      <c r="M1460" s="1" t="str">
        <f t="shared" si="205"/>
        <v>On Time</v>
      </c>
      <c r="N1460" s="27" t="str">
        <f t="shared" si="200"/>
        <v>LOT</v>
      </c>
      <c r="O1460" s="3" t="s">
        <v>1385</v>
      </c>
      <c r="P1460" s="20">
        <f t="shared" si="201"/>
        <v>13</v>
      </c>
      <c r="Q1460" s="3" t="s">
        <v>1385</v>
      </c>
      <c r="R1460" s="23" t="str">
        <f t="shared" si="202"/>
        <v>Friday</v>
      </c>
      <c r="S1460" s="3" t="s">
        <v>1385</v>
      </c>
      <c r="T1460" s="23" t="s">
        <v>19</v>
      </c>
      <c r="U1460" s="3" t="s">
        <v>1385</v>
      </c>
    </row>
    <row r="1461" spans="1:21" x14ac:dyDescent="0.25">
      <c r="A1461" t="s">
        <v>327</v>
      </c>
      <c r="B1461" t="s">
        <v>13</v>
      </c>
      <c r="C1461" s="10">
        <v>-5</v>
      </c>
      <c r="D1461" t="s">
        <v>593</v>
      </c>
      <c r="E1461" s="2">
        <f t="shared" si="204"/>
        <v>46227</v>
      </c>
      <c r="F1461" s="3">
        <f t="shared" si="203"/>
        <v>0.5805555555555556</v>
      </c>
      <c r="G1461" t="s">
        <v>329</v>
      </c>
      <c r="H1461" t="s">
        <v>330</v>
      </c>
      <c r="I1461" t="s">
        <v>17</v>
      </c>
      <c r="J1461" s="2">
        <v>46227</v>
      </c>
      <c r="K1461" s="1">
        <v>0.59027777777777779</v>
      </c>
      <c r="L1461" s="10">
        <f t="shared" si="199"/>
        <v>13.99999999999995</v>
      </c>
      <c r="M1461" s="1" t="str">
        <f t="shared" si="205"/>
        <v>On Time</v>
      </c>
      <c r="N1461" s="27" t="str">
        <f t="shared" si="200"/>
        <v>Wizz Air</v>
      </c>
      <c r="O1461" s="3" t="s">
        <v>1385</v>
      </c>
      <c r="P1461" s="20">
        <f t="shared" si="201"/>
        <v>13</v>
      </c>
      <c r="Q1461" s="3" t="s">
        <v>1385</v>
      </c>
      <c r="R1461" s="23" t="str">
        <f t="shared" si="202"/>
        <v>Friday</v>
      </c>
      <c r="S1461" s="3" t="s">
        <v>1385</v>
      </c>
      <c r="T1461" s="23" t="s">
        <v>13</v>
      </c>
      <c r="U1461" s="3" t="s">
        <v>1385</v>
      </c>
    </row>
    <row r="1462" spans="1:21" x14ac:dyDescent="0.25">
      <c r="A1462" t="s">
        <v>331</v>
      </c>
      <c r="B1462" t="s">
        <v>7</v>
      </c>
      <c r="C1462" s="10">
        <v>-94</v>
      </c>
      <c r="D1462" t="s">
        <v>716</v>
      </c>
      <c r="E1462" s="2">
        <f t="shared" si="204"/>
        <v>46227</v>
      </c>
      <c r="F1462" s="3">
        <f t="shared" si="203"/>
        <v>0.6479166666666667</v>
      </c>
      <c r="G1462" t="s">
        <v>247</v>
      </c>
      <c r="H1462" t="s">
        <v>248</v>
      </c>
      <c r="I1462" t="s">
        <v>11</v>
      </c>
      <c r="J1462" s="2">
        <v>46227</v>
      </c>
      <c r="K1462" s="1">
        <v>0.60416666666666663</v>
      </c>
      <c r="L1462" s="10">
        <f t="shared" si="199"/>
        <v>-63.000000000000099</v>
      </c>
      <c r="M1462" s="1" t="str">
        <f t="shared" si="205"/>
        <v>Delayed</v>
      </c>
      <c r="N1462" s="27" t="str">
        <f t="shared" si="200"/>
        <v>airBaltic</v>
      </c>
      <c r="O1462" s="3" t="s">
        <v>1318</v>
      </c>
      <c r="P1462" s="20">
        <f t="shared" si="201"/>
        <v>15</v>
      </c>
      <c r="Q1462" s="3" t="s">
        <v>1318</v>
      </c>
      <c r="R1462" s="23" t="str">
        <f t="shared" si="202"/>
        <v>Friday</v>
      </c>
      <c r="S1462" s="3" t="s">
        <v>1318</v>
      </c>
      <c r="T1462" s="23" t="s">
        <v>7</v>
      </c>
      <c r="U1462" s="3" t="s">
        <v>1318</v>
      </c>
    </row>
    <row r="1463" spans="1:21" x14ac:dyDescent="0.25">
      <c r="A1463" t="s">
        <v>148</v>
      </c>
      <c r="B1463" t="s">
        <v>7</v>
      </c>
      <c r="C1463" s="10">
        <v>-48</v>
      </c>
      <c r="D1463" t="s">
        <v>157</v>
      </c>
      <c r="E1463" s="2">
        <f t="shared" si="204"/>
        <v>46227</v>
      </c>
      <c r="F1463" s="3">
        <f t="shared" si="203"/>
        <v>0.62986111111111109</v>
      </c>
      <c r="G1463" t="s">
        <v>9</v>
      </c>
      <c r="H1463" t="s">
        <v>10</v>
      </c>
      <c r="I1463" t="s">
        <v>11</v>
      </c>
      <c r="J1463" s="2">
        <v>46227</v>
      </c>
      <c r="K1463" s="1">
        <v>0.60763888888888895</v>
      </c>
      <c r="L1463" s="10">
        <f t="shared" si="199"/>
        <v>-31.999999999999886</v>
      </c>
      <c r="M1463" s="1" t="str">
        <f t="shared" si="205"/>
        <v>Delayed</v>
      </c>
      <c r="N1463" s="27" t="str">
        <f t="shared" si="200"/>
        <v>airBaltic</v>
      </c>
      <c r="O1463" s="3" t="s">
        <v>1318</v>
      </c>
      <c r="P1463" s="20">
        <f t="shared" si="201"/>
        <v>15</v>
      </c>
      <c r="Q1463" s="3" t="s">
        <v>1318</v>
      </c>
      <c r="R1463" s="23" t="str">
        <f t="shared" si="202"/>
        <v>Friday</v>
      </c>
      <c r="S1463" s="3" t="s">
        <v>1318</v>
      </c>
      <c r="T1463" s="23" t="s">
        <v>7</v>
      </c>
      <c r="U1463" s="3" t="s">
        <v>1318</v>
      </c>
    </row>
    <row r="1464" spans="1:21" x14ac:dyDescent="0.25">
      <c r="A1464" t="s">
        <v>1280</v>
      </c>
      <c r="B1464" t="s">
        <v>117</v>
      </c>
      <c r="D1464" t="s">
        <v>1039</v>
      </c>
      <c r="E1464" s="2">
        <f t="shared" si="204"/>
        <v>46227</v>
      </c>
      <c r="F1464" s="3">
        <f t="shared" si="203"/>
        <v>0.62569444444444444</v>
      </c>
      <c r="G1464" t="s">
        <v>1281</v>
      </c>
      <c r="H1464" t="s">
        <v>1282</v>
      </c>
      <c r="I1464" t="s">
        <v>83</v>
      </c>
      <c r="J1464" s="2">
        <v>46227</v>
      </c>
      <c r="K1464" s="1">
        <v>0.63402777777777775</v>
      </c>
      <c r="L1464" s="10">
        <f t="shared" si="199"/>
        <v>11.999999999999957</v>
      </c>
      <c r="M1464" s="1" t="str">
        <f t="shared" si="205"/>
        <v>On Time</v>
      </c>
      <c r="N1464" s="27" t="str">
        <f t="shared" si="200"/>
        <v>Heston Airlines</v>
      </c>
      <c r="O1464" s="3" t="s">
        <v>1385</v>
      </c>
      <c r="P1464" s="20">
        <f t="shared" si="201"/>
        <v>15</v>
      </c>
      <c r="Q1464" s="3" t="s">
        <v>1385</v>
      </c>
      <c r="R1464" s="23" t="str">
        <f t="shared" si="202"/>
        <v>Friday</v>
      </c>
      <c r="S1464" s="3" t="s">
        <v>1385</v>
      </c>
      <c r="T1464" s="23" t="s">
        <v>117</v>
      </c>
      <c r="U1464" s="3" t="s">
        <v>1385</v>
      </c>
    </row>
    <row r="1465" spans="1:21" x14ac:dyDescent="0.25">
      <c r="A1465" t="s">
        <v>156</v>
      </c>
      <c r="B1465" t="s">
        <v>555</v>
      </c>
      <c r="C1465" s="10">
        <v>-24</v>
      </c>
      <c r="D1465" t="s">
        <v>340</v>
      </c>
      <c r="E1465" s="2">
        <f t="shared" si="204"/>
        <v>46227</v>
      </c>
      <c r="F1465" s="3">
        <f t="shared" si="203"/>
        <v>0.63541666666666663</v>
      </c>
      <c r="G1465" t="s">
        <v>43</v>
      </c>
      <c r="H1465" t="s">
        <v>44</v>
      </c>
      <c r="I1465" t="s">
        <v>557</v>
      </c>
      <c r="J1465" s="2">
        <v>46227</v>
      </c>
      <c r="K1465" s="1">
        <v>0.63541666666666663</v>
      </c>
      <c r="L1465" s="10">
        <f t="shared" si="199"/>
        <v>0</v>
      </c>
      <c r="M1465" s="1" t="str">
        <f t="shared" si="205"/>
        <v>On Time</v>
      </c>
      <c r="N1465" s="27" t="e">
        <f t="shared" si="200"/>
        <v>#N/A</v>
      </c>
      <c r="O1465" s="3" t="s">
        <v>1385</v>
      </c>
      <c r="P1465" s="20">
        <f t="shared" si="201"/>
        <v>15</v>
      </c>
      <c r="Q1465" s="3" t="s">
        <v>1385</v>
      </c>
      <c r="R1465" s="23" t="str">
        <f t="shared" si="202"/>
        <v>Friday</v>
      </c>
      <c r="S1465" s="3" t="s">
        <v>1385</v>
      </c>
      <c r="T1465" s="23" t="s">
        <v>555</v>
      </c>
      <c r="U1465" s="3" t="s">
        <v>1385</v>
      </c>
    </row>
    <row r="1466" spans="1:21" x14ac:dyDescent="0.25">
      <c r="A1466" t="s">
        <v>335</v>
      </c>
      <c r="B1466" t="s">
        <v>7</v>
      </c>
      <c r="C1466" s="10">
        <v>-24</v>
      </c>
      <c r="D1466" t="s">
        <v>164</v>
      </c>
      <c r="E1466" s="2">
        <f t="shared" si="204"/>
        <v>46227</v>
      </c>
      <c r="F1466" s="3">
        <f t="shared" si="203"/>
        <v>0.64166666666666672</v>
      </c>
      <c r="G1466" t="s">
        <v>337</v>
      </c>
      <c r="H1466" t="s">
        <v>338</v>
      </c>
      <c r="I1466" t="s">
        <v>11</v>
      </c>
      <c r="J1466" s="2">
        <v>46227</v>
      </c>
      <c r="K1466" s="1">
        <v>0.64236111111111105</v>
      </c>
      <c r="L1466" s="10">
        <f t="shared" si="199"/>
        <v>0.99999999999983658</v>
      </c>
      <c r="M1466" s="1" t="str">
        <f t="shared" si="205"/>
        <v>On Time</v>
      </c>
      <c r="N1466" s="27" t="str">
        <f t="shared" si="200"/>
        <v>airBaltic</v>
      </c>
      <c r="O1466" s="3" t="s">
        <v>1385</v>
      </c>
      <c r="P1466" s="20">
        <f t="shared" si="201"/>
        <v>15</v>
      </c>
      <c r="Q1466" s="3" t="s">
        <v>1385</v>
      </c>
      <c r="R1466" s="23" t="str">
        <f t="shared" si="202"/>
        <v>Friday</v>
      </c>
      <c r="S1466" s="3" t="s">
        <v>1385</v>
      </c>
      <c r="T1466" s="23" t="s">
        <v>7</v>
      </c>
      <c r="U1466" s="3" t="s">
        <v>1385</v>
      </c>
    </row>
    <row r="1467" spans="1:21" x14ac:dyDescent="0.25">
      <c r="A1467" t="s">
        <v>344</v>
      </c>
      <c r="B1467" t="s">
        <v>85</v>
      </c>
      <c r="C1467" s="10">
        <v>5</v>
      </c>
      <c r="D1467" t="s">
        <v>662</v>
      </c>
      <c r="E1467" s="2">
        <f t="shared" si="204"/>
        <v>46227</v>
      </c>
      <c r="F1467" s="3">
        <f t="shared" si="203"/>
        <v>0.63194444444444442</v>
      </c>
      <c r="G1467" t="s">
        <v>346</v>
      </c>
      <c r="H1467" t="s">
        <v>347</v>
      </c>
      <c r="I1467" t="s">
        <v>89</v>
      </c>
      <c r="J1467" s="2">
        <v>46227</v>
      </c>
      <c r="K1467" s="1">
        <v>0.64583333333333337</v>
      </c>
      <c r="L1467" s="10">
        <f t="shared" si="199"/>
        <v>20.000000000000089</v>
      </c>
      <c r="M1467" s="1" t="str">
        <f t="shared" si="205"/>
        <v>On Time</v>
      </c>
      <c r="N1467" s="27" t="str">
        <f t="shared" si="200"/>
        <v>Ryanair</v>
      </c>
      <c r="O1467" s="3" t="s">
        <v>1385</v>
      </c>
      <c r="P1467" s="20">
        <f t="shared" si="201"/>
        <v>15</v>
      </c>
      <c r="Q1467" s="3" t="s">
        <v>1385</v>
      </c>
      <c r="R1467" s="23" t="str">
        <f t="shared" si="202"/>
        <v>Friday</v>
      </c>
      <c r="S1467" s="3" t="s">
        <v>1385</v>
      </c>
      <c r="T1467" s="23" t="s">
        <v>85</v>
      </c>
      <c r="U1467" s="3" t="s">
        <v>1385</v>
      </c>
    </row>
    <row r="1468" spans="1:21" x14ac:dyDescent="0.25">
      <c r="A1468" t="s">
        <v>348</v>
      </c>
      <c r="B1468" t="s">
        <v>13</v>
      </c>
      <c r="C1468" s="10">
        <v>-46</v>
      </c>
      <c r="D1468" t="s">
        <v>1283</v>
      </c>
      <c r="E1468" s="2">
        <f t="shared" si="204"/>
        <v>46227</v>
      </c>
      <c r="F1468" s="3">
        <f t="shared" si="203"/>
        <v>0.6645833333333333</v>
      </c>
      <c r="G1468" t="s">
        <v>349</v>
      </c>
      <c r="H1468" t="s">
        <v>350</v>
      </c>
      <c r="I1468" t="s">
        <v>17</v>
      </c>
      <c r="J1468" s="2">
        <v>46227</v>
      </c>
      <c r="K1468" s="1">
        <v>0.64930555555555558</v>
      </c>
      <c r="L1468" s="10">
        <f t="shared" si="199"/>
        <v>-21.999999999999922</v>
      </c>
      <c r="M1468" s="1" t="str">
        <f t="shared" si="205"/>
        <v>Delayed</v>
      </c>
      <c r="N1468" s="27" t="str">
        <f t="shared" si="200"/>
        <v>Wizz Air</v>
      </c>
      <c r="O1468" s="3" t="s">
        <v>1318</v>
      </c>
      <c r="P1468" s="20">
        <f t="shared" si="201"/>
        <v>15</v>
      </c>
      <c r="Q1468" s="3" t="s">
        <v>1318</v>
      </c>
      <c r="R1468" s="23" t="str">
        <f t="shared" si="202"/>
        <v>Friday</v>
      </c>
      <c r="S1468" s="3" t="s">
        <v>1318</v>
      </c>
      <c r="T1468" s="23" t="s">
        <v>13</v>
      </c>
      <c r="U1468" s="3" t="s">
        <v>1318</v>
      </c>
    </row>
    <row r="1469" spans="1:21" x14ac:dyDescent="0.25">
      <c r="A1469" t="s">
        <v>351</v>
      </c>
      <c r="B1469" t="s">
        <v>85</v>
      </c>
      <c r="C1469" s="10">
        <v>0</v>
      </c>
      <c r="D1469" t="s">
        <v>777</v>
      </c>
      <c r="E1469" s="2">
        <f t="shared" si="204"/>
        <v>46227</v>
      </c>
      <c r="F1469" s="3">
        <f t="shared" si="203"/>
        <v>0.64097222222222217</v>
      </c>
      <c r="G1469" t="s">
        <v>252</v>
      </c>
      <c r="H1469" t="s">
        <v>352</v>
      </c>
      <c r="I1469" t="s">
        <v>89</v>
      </c>
      <c r="J1469" s="2">
        <v>46227</v>
      </c>
      <c r="K1469" s="1">
        <v>0.65277777777777779</v>
      </c>
      <c r="L1469" s="10">
        <f t="shared" si="199"/>
        <v>17.000000000000099</v>
      </c>
      <c r="M1469" s="1" t="str">
        <f t="shared" si="205"/>
        <v>On Time</v>
      </c>
      <c r="N1469" s="27" t="str">
        <f t="shared" si="200"/>
        <v>Ryanair</v>
      </c>
      <c r="O1469" s="3" t="s">
        <v>1385</v>
      </c>
      <c r="P1469" s="20">
        <f t="shared" si="201"/>
        <v>15</v>
      </c>
      <c r="Q1469" s="3" t="s">
        <v>1385</v>
      </c>
      <c r="R1469" s="23" t="str">
        <f t="shared" si="202"/>
        <v>Friday</v>
      </c>
      <c r="S1469" s="3" t="s">
        <v>1385</v>
      </c>
      <c r="T1469" s="23" t="s">
        <v>85</v>
      </c>
      <c r="U1469" s="3" t="s">
        <v>1385</v>
      </c>
    </row>
    <row r="1470" spans="1:21" x14ac:dyDescent="0.25">
      <c r="A1470" t="s">
        <v>175</v>
      </c>
      <c r="B1470" t="s">
        <v>19</v>
      </c>
      <c r="C1470" s="10">
        <v>-17</v>
      </c>
      <c r="D1470" t="s">
        <v>1284</v>
      </c>
      <c r="E1470" s="2">
        <f t="shared" si="204"/>
        <v>46227</v>
      </c>
      <c r="F1470" s="3">
        <f t="shared" si="203"/>
        <v>0.6777777777777777</v>
      </c>
      <c r="G1470" t="s">
        <v>21</v>
      </c>
      <c r="H1470" t="s">
        <v>22</v>
      </c>
      <c r="I1470" t="s">
        <v>836</v>
      </c>
      <c r="J1470" s="2">
        <v>46227</v>
      </c>
      <c r="K1470" s="1">
        <v>0.68055555555555547</v>
      </c>
      <c r="L1470" s="10">
        <f t="shared" si="199"/>
        <v>3.9999999999999858</v>
      </c>
      <c r="M1470" s="1" t="str">
        <f t="shared" si="205"/>
        <v>On Time</v>
      </c>
      <c r="N1470" s="27" t="str">
        <f t="shared" si="200"/>
        <v>LOT</v>
      </c>
      <c r="O1470" s="3" t="s">
        <v>1385</v>
      </c>
      <c r="P1470" s="20">
        <f t="shared" si="201"/>
        <v>16</v>
      </c>
      <c r="Q1470" s="3" t="s">
        <v>1385</v>
      </c>
      <c r="R1470" s="23" t="str">
        <f t="shared" si="202"/>
        <v>Friday</v>
      </c>
      <c r="S1470" s="3" t="s">
        <v>1385</v>
      </c>
      <c r="T1470" s="23" t="s">
        <v>19</v>
      </c>
      <c r="U1470" s="3" t="s">
        <v>1385</v>
      </c>
    </row>
    <row r="1471" spans="1:21" x14ac:dyDescent="0.25">
      <c r="A1471" t="s">
        <v>84</v>
      </c>
      <c r="B1471" t="s">
        <v>85</v>
      </c>
      <c r="C1471" s="10">
        <v>69</v>
      </c>
      <c r="D1471" t="s">
        <v>191</v>
      </c>
      <c r="E1471" s="2">
        <f t="shared" si="204"/>
        <v>46227</v>
      </c>
      <c r="F1471" s="3">
        <f t="shared" si="203"/>
        <v>0.78402777777777777</v>
      </c>
      <c r="G1471" t="s">
        <v>87</v>
      </c>
      <c r="H1471" t="s">
        <v>88</v>
      </c>
      <c r="I1471" t="s">
        <v>162</v>
      </c>
      <c r="J1471" s="2">
        <v>46227</v>
      </c>
      <c r="K1471" s="1">
        <v>0.71875</v>
      </c>
      <c r="L1471" s="10">
        <f t="shared" si="199"/>
        <v>-93.999999999999986</v>
      </c>
      <c r="M1471" s="1" t="str">
        <f t="shared" si="205"/>
        <v>Delayed</v>
      </c>
      <c r="N1471" s="27" t="str">
        <f t="shared" si="200"/>
        <v>Ryanair</v>
      </c>
      <c r="O1471" s="3" t="s">
        <v>1318</v>
      </c>
      <c r="P1471" s="20">
        <f t="shared" si="201"/>
        <v>18</v>
      </c>
      <c r="Q1471" s="3" t="s">
        <v>1318</v>
      </c>
      <c r="R1471" s="23" t="str">
        <f t="shared" si="202"/>
        <v>Friday</v>
      </c>
      <c r="S1471" s="3" t="s">
        <v>1318</v>
      </c>
      <c r="T1471" s="23" t="s">
        <v>85</v>
      </c>
      <c r="U1471" s="3" t="s">
        <v>1318</v>
      </c>
    </row>
    <row r="1472" spans="1:21" x14ac:dyDescent="0.25">
      <c r="A1472" t="s">
        <v>356</v>
      </c>
      <c r="B1472" t="s">
        <v>7</v>
      </c>
      <c r="C1472" s="10">
        <v>-21</v>
      </c>
      <c r="D1472" t="s">
        <v>522</v>
      </c>
      <c r="E1472" s="2">
        <f t="shared" si="204"/>
        <v>46227</v>
      </c>
      <c r="F1472" s="3">
        <f t="shared" si="203"/>
        <v>0.72361111111111109</v>
      </c>
      <c r="G1472" t="s">
        <v>76</v>
      </c>
      <c r="H1472" t="s">
        <v>77</v>
      </c>
      <c r="I1472" t="s">
        <v>11</v>
      </c>
      <c r="J1472" s="2">
        <v>46227</v>
      </c>
      <c r="K1472" s="1">
        <v>0.72222222222222221</v>
      </c>
      <c r="L1472" s="10">
        <f t="shared" si="199"/>
        <v>-1.9999999999999929</v>
      </c>
      <c r="M1472" s="1" t="str">
        <f t="shared" si="205"/>
        <v>On Time</v>
      </c>
      <c r="N1472" s="27" t="str">
        <f t="shared" si="200"/>
        <v>airBaltic</v>
      </c>
      <c r="O1472" s="3" t="s">
        <v>1385</v>
      </c>
      <c r="P1472" s="20">
        <f t="shared" si="201"/>
        <v>17</v>
      </c>
      <c r="Q1472" s="3" t="s">
        <v>1385</v>
      </c>
      <c r="R1472" s="23" t="str">
        <f t="shared" si="202"/>
        <v>Friday</v>
      </c>
      <c r="S1472" s="3" t="s">
        <v>1385</v>
      </c>
      <c r="T1472" s="23" t="s">
        <v>7</v>
      </c>
      <c r="U1472" s="3" t="s">
        <v>1385</v>
      </c>
    </row>
    <row r="1473" spans="1:21" x14ac:dyDescent="0.25">
      <c r="A1473" t="s">
        <v>182</v>
      </c>
      <c r="B1473" t="s">
        <v>69</v>
      </c>
      <c r="C1473" s="10">
        <v>-43</v>
      </c>
      <c r="D1473" t="s">
        <v>980</v>
      </c>
      <c r="E1473" s="2">
        <f t="shared" si="204"/>
        <v>46227</v>
      </c>
      <c r="F1473" s="3">
        <f t="shared" si="203"/>
        <v>0.75624999999999998</v>
      </c>
      <c r="G1473" t="s">
        <v>71</v>
      </c>
      <c r="H1473" t="s">
        <v>72</v>
      </c>
      <c r="I1473" t="s">
        <v>73</v>
      </c>
      <c r="J1473" s="2">
        <v>46227</v>
      </c>
      <c r="K1473" s="1">
        <v>0.73263888888888884</v>
      </c>
      <c r="L1473" s="10">
        <f t="shared" si="199"/>
        <v>-34.000000000000043</v>
      </c>
      <c r="M1473" s="1" t="str">
        <f t="shared" si="205"/>
        <v>Delayed</v>
      </c>
      <c r="N1473" s="27" t="str">
        <f t="shared" si="200"/>
        <v>Finnair</v>
      </c>
      <c r="O1473" s="3" t="s">
        <v>1318</v>
      </c>
      <c r="P1473" s="20">
        <f t="shared" si="201"/>
        <v>18</v>
      </c>
      <c r="Q1473" s="3" t="s">
        <v>1318</v>
      </c>
      <c r="R1473" s="23" t="str">
        <f t="shared" si="202"/>
        <v>Friday</v>
      </c>
      <c r="S1473" s="3" t="s">
        <v>1318</v>
      </c>
      <c r="T1473" s="23" t="s">
        <v>69</v>
      </c>
      <c r="U1473" s="3" t="s">
        <v>1318</v>
      </c>
    </row>
    <row r="1474" spans="1:21" x14ac:dyDescent="0.25">
      <c r="A1474" t="s">
        <v>184</v>
      </c>
      <c r="B1474" t="s">
        <v>85</v>
      </c>
      <c r="C1474" s="10">
        <v>-13</v>
      </c>
      <c r="D1474" t="s">
        <v>1185</v>
      </c>
      <c r="E1474" s="2">
        <f t="shared" si="204"/>
        <v>46227</v>
      </c>
      <c r="F1474" s="3" t="e">
        <f t="shared" si="203"/>
        <v>#N/A</v>
      </c>
      <c r="G1474" t="s">
        <v>153</v>
      </c>
      <c r="H1474" t="s">
        <v>154</v>
      </c>
      <c r="I1474" t="s">
        <v>89</v>
      </c>
      <c r="J1474" s="2">
        <v>46227</v>
      </c>
      <c r="K1474" s="1">
        <v>0.76388888888888884</v>
      </c>
      <c r="L1474" s="10">
        <v>-26</v>
      </c>
      <c r="M1474" s="1" t="str">
        <f t="shared" si="205"/>
        <v>Delayed</v>
      </c>
      <c r="N1474" s="27" t="str">
        <f t="shared" ref="N1474:N1537" si="206">IF(COUNTIFS($B$2:$B$1553,B1474,$M$2:$M$1553,"&lt;&gt;#N/A")&gt;=30,B1474,NA())</f>
        <v>Ryanair</v>
      </c>
      <c r="O1474" s="3" t="e">
        <v>#N/A</v>
      </c>
      <c r="P1474" s="20" t="e">
        <f t="shared" ref="P1474:P1537" si="207">HOUR(F1474)</f>
        <v>#N/A</v>
      </c>
      <c r="Q1474" s="3" t="e">
        <v>#N/A</v>
      </c>
      <c r="R1474" s="23" t="str">
        <f t="shared" ref="R1474:R1537" si="208">TEXT(E1474, "dddd")</f>
        <v>Friday</v>
      </c>
      <c r="S1474" s="3" t="e">
        <v>#N/A</v>
      </c>
      <c r="T1474" s="23" t="s">
        <v>85</v>
      </c>
    </row>
    <row r="1475" spans="1:21" x14ac:dyDescent="0.25">
      <c r="A1475" t="s">
        <v>78</v>
      </c>
      <c r="B1475" t="s">
        <v>363</v>
      </c>
      <c r="C1475" s="10">
        <v>-223</v>
      </c>
      <c r="D1475" t="s">
        <v>620</v>
      </c>
      <c r="E1475" s="2">
        <f t="shared" si="204"/>
        <v>46227</v>
      </c>
      <c r="F1475" s="3">
        <f t="shared" ref="F1475:F1538" si="209">IF(ISNUMBER(SEARCH("Landed", D1475)), TIMEVALUE(_xlfn.TEXTAFTER(D1475, " ")), NA())</f>
        <v>0.90625</v>
      </c>
      <c r="G1475" t="s">
        <v>81</v>
      </c>
      <c r="H1475" t="s">
        <v>82</v>
      </c>
      <c r="I1475" t="s">
        <v>83</v>
      </c>
      <c r="J1475" s="2">
        <v>46227</v>
      </c>
      <c r="K1475" s="1">
        <v>0.77083333333333337</v>
      </c>
      <c r="L1475" s="10">
        <f t="shared" ref="L1475:L1537" si="210">IF(J1475&gt;E1475,(K1475+1-F1475)*1440,IF(J1475&lt;E1475,-(F1475+1-K1475)*1440,(K1475-F1475)*1440))</f>
        <v>-194.99999999999994</v>
      </c>
      <c r="M1475" s="1" t="str">
        <f t="shared" si="205"/>
        <v>Delayed</v>
      </c>
      <c r="N1475" s="27" t="e">
        <f t="shared" si="206"/>
        <v>#N/A</v>
      </c>
      <c r="O1475" s="3" t="s">
        <v>1318</v>
      </c>
      <c r="P1475" s="20">
        <f t="shared" si="207"/>
        <v>21</v>
      </c>
      <c r="Q1475" s="3" t="s">
        <v>1318</v>
      </c>
      <c r="R1475" s="23" t="str">
        <f t="shared" si="208"/>
        <v>Friday</v>
      </c>
      <c r="S1475" s="3" t="s">
        <v>1318</v>
      </c>
      <c r="T1475" s="23" t="s">
        <v>363</v>
      </c>
      <c r="U1475" s="3" t="s">
        <v>1318</v>
      </c>
    </row>
    <row r="1476" spans="1:21" x14ac:dyDescent="0.25">
      <c r="A1476" t="s">
        <v>186</v>
      </c>
      <c r="B1476" t="s">
        <v>19</v>
      </c>
      <c r="C1476" s="10">
        <v>-31</v>
      </c>
      <c r="D1476" t="s">
        <v>530</v>
      </c>
      <c r="E1476" s="2">
        <f t="shared" si="204"/>
        <v>46227</v>
      </c>
      <c r="F1476" s="3">
        <f t="shared" si="209"/>
        <v>0.79027777777777775</v>
      </c>
      <c r="G1476" t="s">
        <v>21</v>
      </c>
      <c r="H1476" t="s">
        <v>22</v>
      </c>
      <c r="I1476" t="s">
        <v>276</v>
      </c>
      <c r="J1476" s="2">
        <v>46227</v>
      </c>
      <c r="K1476" s="1">
        <v>0.77430555555555547</v>
      </c>
      <c r="L1476" s="10">
        <f t="shared" si="210"/>
        <v>-23.000000000000078</v>
      </c>
      <c r="M1476" s="1" t="str">
        <f t="shared" si="205"/>
        <v>Delayed</v>
      </c>
      <c r="N1476" s="27" t="str">
        <f t="shared" si="206"/>
        <v>LOT</v>
      </c>
      <c r="O1476" s="3" t="s">
        <v>1318</v>
      </c>
      <c r="P1476" s="20">
        <f t="shared" si="207"/>
        <v>18</v>
      </c>
      <c r="Q1476" s="3" t="s">
        <v>1318</v>
      </c>
      <c r="R1476" s="23" t="str">
        <f t="shared" si="208"/>
        <v>Friday</v>
      </c>
      <c r="S1476" s="3" t="s">
        <v>1318</v>
      </c>
      <c r="T1476" s="23" t="s">
        <v>19</v>
      </c>
      <c r="U1476" s="3" t="s">
        <v>1318</v>
      </c>
    </row>
    <row r="1477" spans="1:21" x14ac:dyDescent="0.25">
      <c r="A1477" t="s">
        <v>366</v>
      </c>
      <c r="B1477" t="s">
        <v>13</v>
      </c>
      <c r="C1477" s="10">
        <v>-26</v>
      </c>
      <c r="D1477" t="s">
        <v>357</v>
      </c>
      <c r="E1477" s="2">
        <f t="shared" si="204"/>
        <v>46227</v>
      </c>
      <c r="F1477" s="3">
        <f t="shared" si="209"/>
        <v>0.78680555555555554</v>
      </c>
      <c r="G1477" t="s">
        <v>368</v>
      </c>
      <c r="H1477" t="s">
        <v>369</v>
      </c>
      <c r="I1477" t="s">
        <v>17</v>
      </c>
      <c r="J1477" s="2">
        <v>46227</v>
      </c>
      <c r="K1477" s="1">
        <v>0.78125</v>
      </c>
      <c r="L1477" s="10">
        <f t="shared" si="210"/>
        <v>-7.9999999999999716</v>
      </c>
      <c r="M1477" s="1" t="str">
        <f t="shared" si="205"/>
        <v>On Time</v>
      </c>
      <c r="N1477" s="27" t="str">
        <f t="shared" si="206"/>
        <v>Wizz Air</v>
      </c>
      <c r="O1477" s="3" t="s">
        <v>1385</v>
      </c>
      <c r="P1477" s="20">
        <f t="shared" si="207"/>
        <v>18</v>
      </c>
      <c r="Q1477" s="3" t="s">
        <v>1385</v>
      </c>
      <c r="R1477" s="23" t="str">
        <f t="shared" si="208"/>
        <v>Friday</v>
      </c>
      <c r="S1477" s="3" t="s">
        <v>1385</v>
      </c>
      <c r="T1477" s="23" t="s">
        <v>13</v>
      </c>
      <c r="U1477" s="3" t="s">
        <v>1385</v>
      </c>
    </row>
    <row r="1478" spans="1:21" x14ac:dyDescent="0.25">
      <c r="A1478" t="s">
        <v>1285</v>
      </c>
      <c r="B1478" t="s">
        <v>124</v>
      </c>
      <c r="D1478" t="s">
        <v>727</v>
      </c>
      <c r="E1478" s="2">
        <f t="shared" si="204"/>
        <v>46227</v>
      </c>
      <c r="F1478" s="3">
        <f t="shared" si="209"/>
        <v>0.79791666666666661</v>
      </c>
      <c r="G1478" t="s">
        <v>1286</v>
      </c>
      <c r="H1478" t="s">
        <v>1287</v>
      </c>
      <c r="I1478" t="s">
        <v>282</v>
      </c>
      <c r="J1478" s="2">
        <v>46227</v>
      </c>
      <c r="K1478" s="1">
        <v>0.78749999999999998</v>
      </c>
      <c r="L1478" s="10">
        <f t="shared" si="210"/>
        <v>-14.999999999999947</v>
      </c>
      <c r="M1478" s="1" t="str">
        <f t="shared" si="205"/>
        <v>On Time</v>
      </c>
      <c r="N1478" s="27" t="str">
        <f t="shared" si="206"/>
        <v>GetJet Airlines</v>
      </c>
      <c r="O1478" s="3" t="s">
        <v>1385</v>
      </c>
      <c r="P1478" s="20">
        <f t="shared" si="207"/>
        <v>19</v>
      </c>
      <c r="Q1478" s="3" t="s">
        <v>1385</v>
      </c>
      <c r="R1478" s="23" t="str">
        <f t="shared" si="208"/>
        <v>Friday</v>
      </c>
      <c r="S1478" s="3" t="s">
        <v>1385</v>
      </c>
      <c r="T1478" s="23" t="s">
        <v>124</v>
      </c>
      <c r="U1478" s="3" t="s">
        <v>1385</v>
      </c>
    </row>
    <row r="1479" spans="1:21" x14ac:dyDescent="0.25">
      <c r="A1479" t="s">
        <v>189</v>
      </c>
      <c r="B1479" t="s">
        <v>190</v>
      </c>
      <c r="C1479" s="10">
        <v>-18</v>
      </c>
      <c r="D1479" t="s">
        <v>838</v>
      </c>
      <c r="E1479" s="2">
        <f t="shared" si="204"/>
        <v>46227</v>
      </c>
      <c r="F1479" s="3">
        <f t="shared" si="209"/>
        <v>0.78819444444444453</v>
      </c>
      <c r="G1479" t="s">
        <v>110</v>
      </c>
      <c r="H1479" t="s">
        <v>111</v>
      </c>
      <c r="I1479" t="s">
        <v>112</v>
      </c>
      <c r="J1479" s="2">
        <v>46227</v>
      </c>
      <c r="K1479" s="1">
        <v>0.78819444444444453</v>
      </c>
      <c r="L1479" s="10">
        <f t="shared" si="210"/>
        <v>0</v>
      </c>
      <c r="M1479" s="1" t="str">
        <f t="shared" si="205"/>
        <v>On Time</v>
      </c>
      <c r="N1479" s="27" t="str">
        <f t="shared" si="206"/>
        <v>Lufthansa</v>
      </c>
      <c r="O1479" s="3" t="s">
        <v>1385</v>
      </c>
      <c r="P1479" s="20">
        <f t="shared" si="207"/>
        <v>18</v>
      </c>
      <c r="Q1479" s="3" t="s">
        <v>1385</v>
      </c>
      <c r="R1479" s="23" t="str">
        <f t="shared" si="208"/>
        <v>Friday</v>
      </c>
      <c r="S1479" s="3" t="s">
        <v>1385</v>
      </c>
      <c r="T1479" s="23" t="s">
        <v>190</v>
      </c>
      <c r="U1479" s="3" t="s">
        <v>1385</v>
      </c>
    </row>
    <row r="1480" spans="1:21" x14ac:dyDescent="0.25">
      <c r="A1480" t="s">
        <v>254</v>
      </c>
      <c r="B1480" t="s">
        <v>85</v>
      </c>
      <c r="C1480" s="10">
        <v>-16</v>
      </c>
      <c r="D1480" t="s">
        <v>1051</v>
      </c>
      <c r="E1480" s="2">
        <f t="shared" si="204"/>
        <v>46227</v>
      </c>
      <c r="F1480" s="3">
        <f t="shared" si="209"/>
        <v>0.7993055555555556</v>
      </c>
      <c r="G1480" t="s">
        <v>256</v>
      </c>
      <c r="H1480" t="s">
        <v>257</v>
      </c>
      <c r="I1480" t="s">
        <v>162</v>
      </c>
      <c r="J1480" s="2">
        <v>46227</v>
      </c>
      <c r="K1480" s="1">
        <v>0.79513888888888884</v>
      </c>
      <c r="L1480" s="10">
        <f t="shared" si="210"/>
        <v>-6.0000000000001386</v>
      </c>
      <c r="M1480" s="1" t="str">
        <f t="shared" si="205"/>
        <v>On Time</v>
      </c>
      <c r="N1480" s="27" t="str">
        <f t="shared" si="206"/>
        <v>Ryanair</v>
      </c>
      <c r="O1480" s="3" t="s">
        <v>1385</v>
      </c>
      <c r="P1480" s="20">
        <f t="shared" si="207"/>
        <v>19</v>
      </c>
      <c r="Q1480" s="3" t="s">
        <v>1385</v>
      </c>
      <c r="R1480" s="23" t="str">
        <f t="shared" si="208"/>
        <v>Friday</v>
      </c>
      <c r="S1480" s="3" t="s">
        <v>1385</v>
      </c>
      <c r="T1480" s="23" t="s">
        <v>85</v>
      </c>
      <c r="U1480" s="3" t="s">
        <v>1385</v>
      </c>
    </row>
    <row r="1481" spans="1:21" x14ac:dyDescent="0.25">
      <c r="A1481" t="s">
        <v>372</v>
      </c>
      <c r="B1481" t="s">
        <v>85</v>
      </c>
      <c r="C1481" s="10">
        <v>-38</v>
      </c>
      <c r="D1481" t="s">
        <v>908</v>
      </c>
      <c r="E1481" s="2">
        <f t="shared" si="204"/>
        <v>46227</v>
      </c>
      <c r="F1481" s="3">
        <f t="shared" si="209"/>
        <v>0.80625000000000002</v>
      </c>
      <c r="G1481" t="s">
        <v>368</v>
      </c>
      <c r="H1481" t="s">
        <v>369</v>
      </c>
      <c r="I1481" t="s">
        <v>89</v>
      </c>
      <c r="J1481" s="2">
        <v>46227</v>
      </c>
      <c r="K1481" s="1">
        <v>0.79513888888888884</v>
      </c>
      <c r="L1481" s="10">
        <f t="shared" si="210"/>
        <v>-16.000000000000103</v>
      </c>
      <c r="M1481" s="1" t="str">
        <f t="shared" si="205"/>
        <v>Delayed</v>
      </c>
      <c r="N1481" s="27" t="str">
        <f t="shared" si="206"/>
        <v>Ryanair</v>
      </c>
      <c r="O1481" s="3" t="s">
        <v>1318</v>
      </c>
      <c r="P1481" s="20">
        <f t="shared" si="207"/>
        <v>19</v>
      </c>
      <c r="Q1481" s="3" t="s">
        <v>1318</v>
      </c>
      <c r="R1481" s="23" t="str">
        <f t="shared" si="208"/>
        <v>Friday</v>
      </c>
      <c r="S1481" s="3" t="s">
        <v>1318</v>
      </c>
      <c r="T1481" s="23" t="s">
        <v>85</v>
      </c>
      <c r="U1481" s="3" t="s">
        <v>1318</v>
      </c>
    </row>
    <row r="1482" spans="1:21" x14ac:dyDescent="0.25">
      <c r="A1482" t="s">
        <v>208</v>
      </c>
      <c r="B1482" t="s">
        <v>96</v>
      </c>
      <c r="C1482" s="10">
        <v>-31</v>
      </c>
      <c r="D1482" t="s">
        <v>531</v>
      </c>
      <c r="E1482" s="2">
        <f t="shared" si="204"/>
        <v>46227</v>
      </c>
      <c r="F1482" s="3">
        <f t="shared" si="209"/>
        <v>0.81527777777777777</v>
      </c>
      <c r="G1482" t="s">
        <v>98</v>
      </c>
      <c r="H1482" t="s">
        <v>99</v>
      </c>
      <c r="I1482" t="s">
        <v>17</v>
      </c>
      <c r="J1482" s="2">
        <v>46227</v>
      </c>
      <c r="K1482" s="1">
        <v>0.8125</v>
      </c>
      <c r="L1482" s="10">
        <f t="shared" si="210"/>
        <v>-3.9999999999999858</v>
      </c>
      <c r="M1482" s="1" t="str">
        <f t="shared" si="205"/>
        <v>On Time</v>
      </c>
      <c r="N1482" s="27" t="str">
        <f t="shared" si="206"/>
        <v>Turkish Airlines</v>
      </c>
      <c r="O1482" s="3" t="s">
        <v>1385</v>
      </c>
      <c r="P1482" s="20">
        <f t="shared" si="207"/>
        <v>19</v>
      </c>
      <c r="Q1482" s="3" t="s">
        <v>1385</v>
      </c>
      <c r="R1482" s="23" t="str">
        <f t="shared" si="208"/>
        <v>Friday</v>
      </c>
      <c r="S1482" s="3" t="s">
        <v>1385</v>
      </c>
      <c r="T1482" s="23" t="s">
        <v>96</v>
      </c>
      <c r="U1482" s="3" t="s">
        <v>1385</v>
      </c>
    </row>
    <row r="1483" spans="1:21" x14ac:dyDescent="0.25">
      <c r="A1483" t="s">
        <v>211</v>
      </c>
      <c r="B1483" t="s">
        <v>7</v>
      </c>
      <c r="C1483" s="10">
        <v>-97</v>
      </c>
      <c r="D1483" t="s">
        <v>676</v>
      </c>
      <c r="E1483" s="2">
        <f t="shared" si="204"/>
        <v>46227</v>
      </c>
      <c r="F1483" s="3">
        <f t="shared" si="209"/>
        <v>0.87777777777777777</v>
      </c>
      <c r="G1483" t="s">
        <v>135</v>
      </c>
      <c r="H1483" t="s">
        <v>136</v>
      </c>
      <c r="I1483" t="s">
        <v>11</v>
      </c>
      <c r="J1483" s="2">
        <v>46227</v>
      </c>
      <c r="K1483" s="1">
        <v>0.82638888888888884</v>
      </c>
      <c r="L1483" s="10">
        <f t="shared" si="210"/>
        <v>-74.000000000000057</v>
      </c>
      <c r="M1483" s="1" t="str">
        <f t="shared" si="205"/>
        <v>Delayed</v>
      </c>
      <c r="N1483" s="27" t="str">
        <f t="shared" si="206"/>
        <v>airBaltic</v>
      </c>
      <c r="O1483" s="3" t="s">
        <v>1318</v>
      </c>
      <c r="P1483" s="20">
        <f t="shared" si="207"/>
        <v>21</v>
      </c>
      <c r="Q1483" s="3" t="s">
        <v>1318</v>
      </c>
      <c r="R1483" s="23" t="str">
        <f t="shared" si="208"/>
        <v>Friday</v>
      </c>
      <c r="S1483" s="3" t="s">
        <v>1318</v>
      </c>
      <c r="T1483" s="23" t="s">
        <v>7</v>
      </c>
      <c r="U1483" s="3" t="s">
        <v>1318</v>
      </c>
    </row>
    <row r="1484" spans="1:21" x14ac:dyDescent="0.25">
      <c r="A1484" t="s">
        <v>123</v>
      </c>
      <c r="B1484" t="s">
        <v>85</v>
      </c>
      <c r="D1484" t="s">
        <v>609</v>
      </c>
      <c r="E1484" s="2">
        <f t="shared" si="204"/>
        <v>46227</v>
      </c>
      <c r="F1484" s="3">
        <f t="shared" si="209"/>
        <v>0.82916666666666661</v>
      </c>
      <c r="G1484" t="s">
        <v>1191</v>
      </c>
      <c r="H1484" t="s">
        <v>1192</v>
      </c>
      <c r="I1484" t="s">
        <v>89</v>
      </c>
      <c r="J1484" s="2">
        <v>46227</v>
      </c>
      <c r="K1484" s="1">
        <v>0.83124999999999993</v>
      </c>
      <c r="L1484" s="10">
        <f t="shared" si="210"/>
        <v>2.9999999999999893</v>
      </c>
      <c r="M1484" s="1" t="str">
        <f t="shared" si="205"/>
        <v>On Time</v>
      </c>
      <c r="N1484" s="27" t="str">
        <f t="shared" si="206"/>
        <v>Ryanair</v>
      </c>
      <c r="O1484" s="3" t="s">
        <v>1385</v>
      </c>
      <c r="P1484" s="20">
        <f t="shared" si="207"/>
        <v>19</v>
      </c>
      <c r="Q1484" s="3" t="s">
        <v>1385</v>
      </c>
      <c r="R1484" s="23" t="str">
        <f t="shared" si="208"/>
        <v>Friday</v>
      </c>
      <c r="S1484" s="3" t="s">
        <v>1385</v>
      </c>
      <c r="T1484" s="23" t="s">
        <v>85</v>
      </c>
      <c r="U1484" s="3" t="s">
        <v>1385</v>
      </c>
    </row>
    <row r="1485" spans="1:21" x14ac:dyDescent="0.25">
      <c r="A1485" t="s">
        <v>78</v>
      </c>
      <c r="B1485" t="s">
        <v>363</v>
      </c>
      <c r="C1485" s="10" t="e">
        <f>NA()</f>
        <v>#N/A</v>
      </c>
      <c r="D1485" t="s">
        <v>242</v>
      </c>
      <c r="E1485" s="2">
        <f t="shared" ref="E1485:E1494" si="211">J1485</f>
        <v>46227</v>
      </c>
      <c r="F1485" s="3" t="e">
        <f t="shared" si="209"/>
        <v>#N/A</v>
      </c>
      <c r="G1485" t="s">
        <v>81</v>
      </c>
      <c r="H1485" t="s">
        <v>82</v>
      </c>
      <c r="I1485" t="s">
        <v>83</v>
      </c>
      <c r="J1485" s="2">
        <v>46227</v>
      </c>
      <c r="K1485" s="1">
        <v>0.88124999999999998</v>
      </c>
      <c r="L1485" s="10" t="e">
        <f t="shared" si="210"/>
        <v>#N/A</v>
      </c>
      <c r="M1485" s="1" t="e">
        <f t="shared" si="205"/>
        <v>#N/A</v>
      </c>
      <c r="N1485" s="27" t="e">
        <f t="shared" si="206"/>
        <v>#N/A</v>
      </c>
      <c r="O1485" s="3" t="e">
        <v>#N/A</v>
      </c>
      <c r="P1485" s="20" t="e">
        <f t="shared" si="207"/>
        <v>#N/A</v>
      </c>
      <c r="Q1485" s="3" t="e">
        <v>#N/A</v>
      </c>
      <c r="R1485" s="23" t="str">
        <f t="shared" si="208"/>
        <v>Friday</v>
      </c>
      <c r="S1485" s="3" t="e">
        <v>#N/A</v>
      </c>
      <c r="T1485" s="23" t="s">
        <v>363</v>
      </c>
    </row>
    <row r="1486" spans="1:21" x14ac:dyDescent="0.25">
      <c r="A1486" t="s">
        <v>228</v>
      </c>
      <c r="B1486" t="s">
        <v>69</v>
      </c>
      <c r="C1486" s="10">
        <v>0</v>
      </c>
      <c r="D1486" t="s">
        <v>794</v>
      </c>
      <c r="E1486" s="2">
        <f t="shared" si="211"/>
        <v>46227</v>
      </c>
      <c r="F1486" s="3">
        <f t="shared" si="209"/>
        <v>0.87152777777777779</v>
      </c>
      <c r="G1486" t="s">
        <v>71</v>
      </c>
      <c r="H1486" t="s">
        <v>72</v>
      </c>
      <c r="I1486" t="s">
        <v>73</v>
      </c>
      <c r="J1486" s="2">
        <v>46227</v>
      </c>
      <c r="K1486" s="1">
        <v>0.88194444444444453</v>
      </c>
      <c r="L1486" s="10">
        <f t="shared" si="210"/>
        <v>15.000000000000107</v>
      </c>
      <c r="M1486" s="1" t="str">
        <f t="shared" si="205"/>
        <v>On Time</v>
      </c>
      <c r="N1486" s="27" t="str">
        <f t="shared" si="206"/>
        <v>Finnair</v>
      </c>
      <c r="O1486" s="3" t="s">
        <v>1385</v>
      </c>
      <c r="P1486" s="20">
        <f t="shared" si="207"/>
        <v>20</v>
      </c>
      <c r="Q1486" s="3" t="s">
        <v>1385</v>
      </c>
      <c r="R1486" s="23" t="str">
        <f t="shared" si="208"/>
        <v>Friday</v>
      </c>
      <c r="S1486" s="3" t="s">
        <v>1385</v>
      </c>
      <c r="T1486" s="23" t="s">
        <v>69</v>
      </c>
      <c r="U1486" s="3" t="s">
        <v>1385</v>
      </c>
    </row>
    <row r="1487" spans="1:21" x14ac:dyDescent="0.25">
      <c r="A1487" t="s">
        <v>250</v>
      </c>
      <c r="B1487" t="s">
        <v>7</v>
      </c>
      <c r="C1487" s="10">
        <v>-190</v>
      </c>
      <c r="D1487" t="s">
        <v>1028</v>
      </c>
      <c r="E1487" s="2">
        <v>46228</v>
      </c>
      <c r="F1487" s="3">
        <f t="shared" si="209"/>
        <v>2.7083333333333334E-2</v>
      </c>
      <c r="G1487" t="s">
        <v>252</v>
      </c>
      <c r="H1487" t="s">
        <v>253</v>
      </c>
      <c r="I1487" t="s">
        <v>11</v>
      </c>
      <c r="J1487" s="2">
        <v>46227</v>
      </c>
      <c r="K1487" s="1">
        <v>0.91319444444444453</v>
      </c>
      <c r="L1487" s="10">
        <f t="shared" si="210"/>
        <v>-163.99999999999989</v>
      </c>
      <c r="M1487" s="1" t="str">
        <f t="shared" si="205"/>
        <v>Delayed</v>
      </c>
      <c r="N1487" s="27" t="str">
        <f t="shared" si="206"/>
        <v>airBaltic</v>
      </c>
      <c r="O1487" s="3" t="s">
        <v>1318</v>
      </c>
      <c r="P1487" s="20">
        <f t="shared" si="207"/>
        <v>0</v>
      </c>
      <c r="Q1487" s="3" t="s">
        <v>1318</v>
      </c>
      <c r="R1487" s="23" t="str">
        <f t="shared" si="208"/>
        <v>Saturday</v>
      </c>
      <c r="S1487" s="3" t="s">
        <v>1318</v>
      </c>
      <c r="T1487" s="23" t="s">
        <v>7</v>
      </c>
      <c r="U1487" s="3" t="s">
        <v>1318</v>
      </c>
    </row>
    <row r="1488" spans="1:21" x14ac:dyDescent="0.25">
      <c r="A1488" t="s">
        <v>235</v>
      </c>
      <c r="B1488" t="s">
        <v>19</v>
      </c>
      <c r="C1488" s="10">
        <v>-38</v>
      </c>
      <c r="D1488" t="s">
        <v>681</v>
      </c>
      <c r="E1488" s="2">
        <f t="shared" si="211"/>
        <v>46227</v>
      </c>
      <c r="F1488" s="3">
        <f t="shared" si="209"/>
        <v>0.94027777777777777</v>
      </c>
      <c r="G1488" t="s">
        <v>21</v>
      </c>
      <c r="H1488" t="s">
        <v>22</v>
      </c>
      <c r="I1488" t="s">
        <v>177</v>
      </c>
      <c r="J1488" s="2">
        <v>46227</v>
      </c>
      <c r="K1488" s="1">
        <v>0.93055555555555547</v>
      </c>
      <c r="L1488" s="10">
        <f t="shared" si="210"/>
        <v>-14.00000000000011</v>
      </c>
      <c r="M1488" s="1" t="str">
        <f t="shared" si="205"/>
        <v>On Time</v>
      </c>
      <c r="N1488" s="27" t="str">
        <f t="shared" si="206"/>
        <v>LOT</v>
      </c>
      <c r="O1488" s="3" t="s">
        <v>1385</v>
      </c>
      <c r="P1488" s="20">
        <f t="shared" si="207"/>
        <v>22</v>
      </c>
      <c r="Q1488" s="3" t="s">
        <v>1385</v>
      </c>
      <c r="R1488" s="23" t="str">
        <f t="shared" si="208"/>
        <v>Friday</v>
      </c>
      <c r="S1488" s="3" t="s">
        <v>1385</v>
      </c>
      <c r="T1488" s="23" t="s">
        <v>19</v>
      </c>
      <c r="U1488" s="3" t="s">
        <v>1385</v>
      </c>
    </row>
    <row r="1489" spans="1:21" x14ac:dyDescent="0.25">
      <c r="A1489" t="s">
        <v>383</v>
      </c>
      <c r="B1489" t="s">
        <v>7</v>
      </c>
      <c r="C1489" s="10">
        <v>-247</v>
      </c>
      <c r="D1489" t="s">
        <v>1288</v>
      </c>
      <c r="E1489" s="2">
        <f t="shared" si="211"/>
        <v>46227</v>
      </c>
      <c r="F1489" s="3" t="e">
        <f t="shared" si="209"/>
        <v>#N/A</v>
      </c>
      <c r="G1489" t="s">
        <v>26</v>
      </c>
      <c r="H1489" t="s">
        <v>27</v>
      </c>
      <c r="I1489" t="s">
        <v>11</v>
      </c>
      <c r="J1489" s="2">
        <v>46227</v>
      </c>
      <c r="K1489" s="1">
        <v>0.94791666666666663</v>
      </c>
      <c r="L1489" s="10">
        <v>-227</v>
      </c>
      <c r="M1489" s="1" t="str">
        <f t="shared" si="205"/>
        <v>Delayed</v>
      </c>
      <c r="N1489" s="27" t="str">
        <f t="shared" si="206"/>
        <v>airBaltic</v>
      </c>
      <c r="O1489" s="3" t="e">
        <v>#N/A</v>
      </c>
      <c r="P1489" s="20" t="e">
        <f t="shared" si="207"/>
        <v>#N/A</v>
      </c>
      <c r="Q1489" s="3" t="e">
        <v>#N/A</v>
      </c>
      <c r="R1489" s="23" t="str">
        <f t="shared" si="208"/>
        <v>Friday</v>
      </c>
      <c r="S1489" s="3" t="e">
        <v>#N/A</v>
      </c>
      <c r="T1489" s="23" t="s">
        <v>7</v>
      </c>
    </row>
    <row r="1490" spans="1:21" x14ac:dyDescent="0.25">
      <c r="A1490" t="s">
        <v>385</v>
      </c>
      <c r="B1490" t="s">
        <v>239</v>
      </c>
      <c r="D1490" t="s">
        <v>1211</v>
      </c>
      <c r="E1490" s="2">
        <v>46228</v>
      </c>
      <c r="F1490" s="3">
        <f t="shared" si="209"/>
        <v>2.2222222222222223E-2</v>
      </c>
      <c r="G1490" t="s">
        <v>15</v>
      </c>
      <c r="H1490" t="s">
        <v>16</v>
      </c>
      <c r="I1490" t="s">
        <v>83</v>
      </c>
      <c r="J1490" s="2">
        <v>46227</v>
      </c>
      <c r="K1490" s="1">
        <v>0.96180555555555547</v>
      </c>
      <c r="L1490" s="10">
        <f t="shared" si="210"/>
        <v>-87.000000000000014</v>
      </c>
      <c r="M1490" s="1" t="str">
        <f t="shared" si="205"/>
        <v>Delayed</v>
      </c>
      <c r="N1490" s="27" t="str">
        <f t="shared" si="206"/>
        <v>Eurowings</v>
      </c>
      <c r="O1490" s="3" t="s">
        <v>1318</v>
      </c>
      <c r="P1490" s="20">
        <f t="shared" si="207"/>
        <v>0</v>
      </c>
      <c r="Q1490" s="3" t="s">
        <v>1318</v>
      </c>
      <c r="R1490" s="23" t="str">
        <f t="shared" si="208"/>
        <v>Saturday</v>
      </c>
      <c r="S1490" s="3" t="s">
        <v>1318</v>
      </c>
      <c r="T1490" s="23" t="s">
        <v>239</v>
      </c>
      <c r="U1490" s="3" t="s">
        <v>1318</v>
      </c>
    </row>
    <row r="1491" spans="1:21" x14ac:dyDescent="0.25">
      <c r="A1491" t="s">
        <v>100</v>
      </c>
      <c r="B1491" t="s">
        <v>85</v>
      </c>
      <c r="C1491" s="10">
        <v>-8</v>
      </c>
      <c r="D1491" t="s">
        <v>1080</v>
      </c>
      <c r="E1491" s="2">
        <f t="shared" si="211"/>
        <v>46227</v>
      </c>
      <c r="F1491" s="3">
        <f t="shared" si="209"/>
        <v>0.97430555555555554</v>
      </c>
      <c r="G1491" t="s">
        <v>102</v>
      </c>
      <c r="H1491" t="s">
        <v>103</v>
      </c>
      <c r="I1491" t="s">
        <v>89</v>
      </c>
      <c r="J1491" s="2">
        <v>46227</v>
      </c>
      <c r="K1491" s="1">
        <v>0.98263888888888884</v>
      </c>
      <c r="L1491" s="10">
        <f t="shared" si="210"/>
        <v>11.999999999999957</v>
      </c>
      <c r="M1491" s="1" t="str">
        <f t="shared" ref="M1491:M1553" si="212">IF(L1491&gt;=-15, "On Time", "Delayed")</f>
        <v>On Time</v>
      </c>
      <c r="N1491" s="27" t="str">
        <f t="shared" si="206"/>
        <v>Ryanair</v>
      </c>
      <c r="O1491" s="3" t="s">
        <v>1385</v>
      </c>
      <c r="P1491" s="20">
        <f t="shared" si="207"/>
        <v>23</v>
      </c>
      <c r="Q1491" s="3" t="s">
        <v>1385</v>
      </c>
      <c r="R1491" s="23" t="str">
        <f t="shared" si="208"/>
        <v>Friday</v>
      </c>
      <c r="S1491" s="3" t="s">
        <v>1385</v>
      </c>
      <c r="T1491" s="23" t="s">
        <v>85</v>
      </c>
      <c r="U1491" s="3" t="s">
        <v>1385</v>
      </c>
    </row>
    <row r="1492" spans="1:21" x14ac:dyDescent="0.25">
      <c r="A1492" t="s">
        <v>258</v>
      </c>
      <c r="B1492" t="s">
        <v>190</v>
      </c>
      <c r="C1492" s="10">
        <v>-13</v>
      </c>
      <c r="D1492" t="s">
        <v>468</v>
      </c>
      <c r="E1492" s="2">
        <f t="shared" si="211"/>
        <v>46227</v>
      </c>
      <c r="F1492" s="3">
        <f t="shared" si="209"/>
        <v>0.97638888888888886</v>
      </c>
      <c r="G1492" t="s">
        <v>110</v>
      </c>
      <c r="H1492" t="s">
        <v>111</v>
      </c>
      <c r="I1492" t="s">
        <v>112</v>
      </c>
      <c r="J1492" s="2">
        <v>46227</v>
      </c>
      <c r="K1492" s="1">
        <v>0.98263888888888884</v>
      </c>
      <c r="L1492" s="10">
        <f t="shared" si="210"/>
        <v>8.999999999999968</v>
      </c>
      <c r="M1492" s="1" t="str">
        <f t="shared" si="212"/>
        <v>On Time</v>
      </c>
      <c r="N1492" s="27" t="str">
        <f t="shared" si="206"/>
        <v>Lufthansa</v>
      </c>
      <c r="O1492" s="3" t="s">
        <v>1385</v>
      </c>
      <c r="P1492" s="20">
        <f t="shared" si="207"/>
        <v>23</v>
      </c>
      <c r="Q1492" s="3" t="s">
        <v>1385</v>
      </c>
      <c r="R1492" s="23" t="str">
        <f t="shared" si="208"/>
        <v>Friday</v>
      </c>
      <c r="S1492" s="3" t="s">
        <v>1385</v>
      </c>
      <c r="T1492" s="23" t="s">
        <v>190</v>
      </c>
      <c r="U1492" s="3" t="s">
        <v>1385</v>
      </c>
    </row>
    <row r="1493" spans="1:21" x14ac:dyDescent="0.25">
      <c r="A1493" t="s">
        <v>393</v>
      </c>
      <c r="B1493" t="s">
        <v>85</v>
      </c>
      <c r="C1493" s="10">
        <v>-100</v>
      </c>
      <c r="D1493" t="s">
        <v>1289</v>
      </c>
      <c r="E1493" s="2">
        <v>46228</v>
      </c>
      <c r="F1493" s="3">
        <f t="shared" si="209"/>
        <v>4.4444444444444446E-2</v>
      </c>
      <c r="G1493" t="s">
        <v>153</v>
      </c>
      <c r="H1493" t="s">
        <v>154</v>
      </c>
      <c r="I1493" t="s">
        <v>89</v>
      </c>
      <c r="J1493" s="2">
        <v>46227</v>
      </c>
      <c r="K1493" s="1">
        <v>0.99305555555555547</v>
      </c>
      <c r="L1493" s="10">
        <f t="shared" si="210"/>
        <v>-74.000000000000213</v>
      </c>
      <c r="M1493" s="1" t="str">
        <f t="shared" si="212"/>
        <v>Delayed</v>
      </c>
      <c r="N1493" s="27" t="str">
        <f t="shared" si="206"/>
        <v>Ryanair</v>
      </c>
      <c r="O1493" s="3" t="s">
        <v>1318</v>
      </c>
      <c r="P1493" s="20">
        <f t="shared" si="207"/>
        <v>1</v>
      </c>
      <c r="Q1493" s="3" t="s">
        <v>1318</v>
      </c>
      <c r="R1493" s="23" t="str">
        <f t="shared" si="208"/>
        <v>Saturday</v>
      </c>
      <c r="S1493" s="3" t="s">
        <v>1318</v>
      </c>
      <c r="T1493" s="23" t="s">
        <v>85</v>
      </c>
      <c r="U1493" s="3" t="s">
        <v>1318</v>
      </c>
    </row>
    <row r="1494" spans="1:21" x14ac:dyDescent="0.25">
      <c r="A1494" t="s">
        <v>395</v>
      </c>
      <c r="B1494" t="s">
        <v>85</v>
      </c>
      <c r="C1494" s="10">
        <v>-99</v>
      </c>
      <c r="D1494" t="s">
        <v>751</v>
      </c>
      <c r="E1494" s="2">
        <f t="shared" si="211"/>
        <v>46228</v>
      </c>
      <c r="F1494" s="3">
        <f t="shared" si="209"/>
        <v>6.25E-2</v>
      </c>
      <c r="G1494" t="s">
        <v>34</v>
      </c>
      <c r="H1494" t="s">
        <v>161</v>
      </c>
      <c r="I1494" t="s">
        <v>89</v>
      </c>
      <c r="J1494" s="2">
        <v>46228</v>
      </c>
      <c r="K1494" s="1">
        <v>6.9444444444444441E-3</v>
      </c>
      <c r="L1494" s="10">
        <f t="shared" si="210"/>
        <v>-80</v>
      </c>
      <c r="M1494" s="1" t="str">
        <f t="shared" si="212"/>
        <v>Delayed</v>
      </c>
      <c r="N1494" s="27" t="str">
        <f t="shared" si="206"/>
        <v>Ryanair</v>
      </c>
      <c r="O1494" s="3" t="s">
        <v>1318</v>
      </c>
      <c r="P1494" s="20">
        <f t="shared" si="207"/>
        <v>1</v>
      </c>
      <c r="Q1494" s="3" t="s">
        <v>1318</v>
      </c>
      <c r="R1494" s="23" t="str">
        <f t="shared" si="208"/>
        <v>Saturday</v>
      </c>
      <c r="S1494" s="3" t="s">
        <v>1318</v>
      </c>
      <c r="T1494" s="23" t="s">
        <v>85</v>
      </c>
      <c r="U1494" s="3" t="s">
        <v>1318</v>
      </c>
    </row>
    <row r="1495" spans="1:21" x14ac:dyDescent="0.25">
      <c r="A1495" t="s">
        <v>6</v>
      </c>
      <c r="B1495" t="s">
        <v>7</v>
      </c>
      <c r="C1495" s="10">
        <v>-111</v>
      </c>
      <c r="D1495" t="s">
        <v>990</v>
      </c>
      <c r="E1495" s="2">
        <f>J1495</f>
        <v>46228</v>
      </c>
      <c r="F1495" s="3">
        <f t="shared" si="209"/>
        <v>8.4027777777777771E-2</v>
      </c>
      <c r="G1495" t="s">
        <v>9</v>
      </c>
      <c r="H1495" t="s">
        <v>10</v>
      </c>
      <c r="I1495" t="s">
        <v>11</v>
      </c>
      <c r="J1495" s="2">
        <v>46228</v>
      </c>
      <c r="K1495" s="1">
        <v>2.0833333333333332E-2</v>
      </c>
      <c r="L1495" s="10">
        <f t="shared" si="210"/>
        <v>-91</v>
      </c>
      <c r="M1495" s="1" t="str">
        <f t="shared" si="212"/>
        <v>Delayed</v>
      </c>
      <c r="N1495" s="27" t="str">
        <f t="shared" si="206"/>
        <v>airBaltic</v>
      </c>
      <c r="O1495" s="3" t="s">
        <v>1318</v>
      </c>
      <c r="P1495" s="20">
        <f t="shared" si="207"/>
        <v>2</v>
      </c>
      <c r="Q1495" s="3" t="s">
        <v>1318</v>
      </c>
      <c r="R1495" s="23" t="str">
        <f t="shared" si="208"/>
        <v>Saturday</v>
      </c>
      <c r="S1495" s="3" t="s">
        <v>1318</v>
      </c>
      <c r="T1495" s="23" t="s">
        <v>7</v>
      </c>
      <c r="U1495" s="3" t="s">
        <v>1318</v>
      </c>
    </row>
    <row r="1496" spans="1:21" x14ac:dyDescent="0.25">
      <c r="A1496" t="s">
        <v>18</v>
      </c>
      <c r="B1496" t="s">
        <v>19</v>
      </c>
      <c r="C1496" s="10">
        <v>-79</v>
      </c>
      <c r="D1496" t="s">
        <v>1290</v>
      </c>
      <c r="E1496" s="2">
        <f t="shared" ref="E1496:E1553" si="213">J1496</f>
        <v>46228</v>
      </c>
      <c r="F1496" s="3">
        <f t="shared" si="209"/>
        <v>6.5277777777777782E-2</v>
      </c>
      <c r="G1496" t="s">
        <v>21</v>
      </c>
      <c r="H1496" t="s">
        <v>22</v>
      </c>
      <c r="I1496" t="s">
        <v>836</v>
      </c>
      <c r="J1496" s="2">
        <v>46228</v>
      </c>
      <c r="K1496" s="1">
        <v>2.7777777777777776E-2</v>
      </c>
      <c r="L1496" s="10">
        <f t="shared" si="210"/>
        <v>-54.000000000000007</v>
      </c>
      <c r="M1496" s="1" t="str">
        <f t="shared" si="212"/>
        <v>Delayed</v>
      </c>
      <c r="N1496" s="27" t="str">
        <f t="shared" si="206"/>
        <v>LOT</v>
      </c>
      <c r="O1496" s="3" t="s">
        <v>1318</v>
      </c>
      <c r="P1496" s="20">
        <f t="shared" si="207"/>
        <v>1</v>
      </c>
      <c r="Q1496" s="3" t="s">
        <v>1318</v>
      </c>
      <c r="R1496" s="23" t="str">
        <f t="shared" si="208"/>
        <v>Saturday</v>
      </c>
      <c r="S1496" s="3" t="s">
        <v>1318</v>
      </c>
      <c r="T1496" s="23" t="s">
        <v>19</v>
      </c>
      <c r="U1496" s="3" t="s">
        <v>1318</v>
      </c>
    </row>
    <row r="1497" spans="1:21" x14ac:dyDescent="0.25">
      <c r="A1497" t="s">
        <v>163</v>
      </c>
      <c r="B1497" t="s">
        <v>13</v>
      </c>
      <c r="C1497" s="10">
        <v>-46</v>
      </c>
      <c r="D1497" t="s">
        <v>552</v>
      </c>
      <c r="E1497" s="2">
        <f t="shared" si="213"/>
        <v>46228</v>
      </c>
      <c r="F1497" s="3">
        <f t="shared" si="209"/>
        <v>3.6111111111111115E-2</v>
      </c>
      <c r="G1497" t="s">
        <v>165</v>
      </c>
      <c r="H1497" t="s">
        <v>166</v>
      </c>
      <c r="I1497" t="s">
        <v>17</v>
      </c>
      <c r="J1497" s="2">
        <v>46228</v>
      </c>
      <c r="K1497" s="1">
        <v>2.7777777777777776E-2</v>
      </c>
      <c r="L1497" s="10">
        <f t="shared" si="210"/>
        <v>-12.000000000000007</v>
      </c>
      <c r="M1497" s="1" t="str">
        <f t="shared" si="212"/>
        <v>On Time</v>
      </c>
      <c r="N1497" s="27" t="str">
        <f t="shared" si="206"/>
        <v>Wizz Air</v>
      </c>
      <c r="O1497" s="3" t="s">
        <v>1385</v>
      </c>
      <c r="P1497" s="20">
        <f t="shared" si="207"/>
        <v>0</v>
      </c>
      <c r="Q1497" s="3" t="s">
        <v>1385</v>
      </c>
      <c r="R1497" s="23" t="str">
        <f t="shared" si="208"/>
        <v>Saturday</v>
      </c>
      <c r="S1497" s="3" t="s">
        <v>1385</v>
      </c>
      <c r="T1497" s="23" t="s">
        <v>13</v>
      </c>
      <c r="U1497" s="3" t="s">
        <v>1385</v>
      </c>
    </row>
    <row r="1498" spans="1:21" x14ac:dyDescent="0.25">
      <c r="A1498" t="s">
        <v>402</v>
      </c>
      <c r="B1498" t="s">
        <v>13</v>
      </c>
      <c r="C1498" s="10">
        <v>-17</v>
      </c>
      <c r="D1498" t="s">
        <v>1291</v>
      </c>
      <c r="E1498" s="2">
        <f t="shared" si="213"/>
        <v>46228</v>
      </c>
      <c r="F1498" s="3">
        <f t="shared" si="209"/>
        <v>3.6805555555555557E-2</v>
      </c>
      <c r="G1498" t="s">
        <v>404</v>
      </c>
      <c r="H1498" t="s">
        <v>405</v>
      </c>
      <c r="I1498" t="s">
        <v>17</v>
      </c>
      <c r="J1498" s="2">
        <v>46228</v>
      </c>
      <c r="K1498" s="1">
        <v>4.5138888888888888E-2</v>
      </c>
      <c r="L1498" s="10">
        <f t="shared" si="210"/>
        <v>11.999999999999996</v>
      </c>
      <c r="M1498" s="1" t="str">
        <f t="shared" si="212"/>
        <v>On Time</v>
      </c>
      <c r="N1498" s="27" t="str">
        <f t="shared" si="206"/>
        <v>Wizz Air</v>
      </c>
      <c r="O1498" s="3" t="s">
        <v>1385</v>
      </c>
      <c r="P1498" s="20">
        <f t="shared" si="207"/>
        <v>0</v>
      </c>
      <c r="Q1498" s="3" t="s">
        <v>1385</v>
      </c>
      <c r="R1498" s="23" t="str">
        <f t="shared" si="208"/>
        <v>Saturday</v>
      </c>
      <c r="S1498" s="3" t="s">
        <v>1385</v>
      </c>
      <c r="T1498" s="23" t="s">
        <v>13</v>
      </c>
      <c r="U1498" s="3" t="s">
        <v>1385</v>
      </c>
    </row>
    <row r="1499" spans="1:21" x14ac:dyDescent="0.25">
      <c r="A1499" t="s">
        <v>32</v>
      </c>
      <c r="B1499" t="s">
        <v>13</v>
      </c>
      <c r="C1499" s="10">
        <v>-21</v>
      </c>
      <c r="D1499" t="s">
        <v>475</v>
      </c>
      <c r="E1499" s="2">
        <f t="shared" si="213"/>
        <v>46228</v>
      </c>
      <c r="F1499" s="3">
        <f t="shared" si="209"/>
        <v>5.6944444444444443E-2</v>
      </c>
      <c r="G1499" t="s">
        <v>34</v>
      </c>
      <c r="H1499" t="s">
        <v>35</v>
      </c>
      <c r="I1499" t="s">
        <v>17</v>
      </c>
      <c r="J1499" s="2">
        <v>46228</v>
      </c>
      <c r="K1499" s="1">
        <v>5.5555555555555552E-2</v>
      </c>
      <c r="L1499" s="10">
        <f t="shared" si="210"/>
        <v>-2.0000000000000027</v>
      </c>
      <c r="M1499" s="1" t="str">
        <f t="shared" si="212"/>
        <v>On Time</v>
      </c>
      <c r="N1499" s="27" t="str">
        <f t="shared" si="206"/>
        <v>Wizz Air</v>
      </c>
      <c r="O1499" s="3" t="s">
        <v>1385</v>
      </c>
      <c r="P1499" s="20">
        <f t="shared" si="207"/>
        <v>1</v>
      </c>
      <c r="Q1499" s="3" t="s">
        <v>1385</v>
      </c>
      <c r="R1499" s="23" t="str">
        <f t="shared" si="208"/>
        <v>Saturday</v>
      </c>
      <c r="S1499" s="3" t="s">
        <v>1385</v>
      </c>
      <c r="T1499" s="23" t="s">
        <v>13</v>
      </c>
      <c r="U1499" s="3" t="s">
        <v>1385</v>
      </c>
    </row>
    <row r="1500" spans="1:21" x14ac:dyDescent="0.25">
      <c r="A1500" t="s">
        <v>36</v>
      </c>
      <c r="B1500" t="s">
        <v>7</v>
      </c>
      <c r="C1500" s="10">
        <v>-34</v>
      </c>
      <c r="D1500" t="s">
        <v>33</v>
      </c>
      <c r="E1500" s="2">
        <f t="shared" si="213"/>
        <v>46228</v>
      </c>
      <c r="F1500" s="3">
        <f t="shared" si="209"/>
        <v>6.3888888888888884E-2</v>
      </c>
      <c r="G1500" t="s">
        <v>38</v>
      </c>
      <c r="H1500" t="s">
        <v>39</v>
      </c>
      <c r="I1500" t="s">
        <v>11</v>
      </c>
      <c r="J1500" s="2">
        <v>46228</v>
      </c>
      <c r="K1500" s="1">
        <v>5.9027777777777783E-2</v>
      </c>
      <c r="L1500" s="10">
        <f t="shared" si="210"/>
        <v>-6.9999999999999849</v>
      </c>
      <c r="M1500" s="1" t="str">
        <f t="shared" si="212"/>
        <v>On Time</v>
      </c>
      <c r="N1500" s="27" t="str">
        <f t="shared" si="206"/>
        <v>airBaltic</v>
      </c>
      <c r="O1500" s="3" t="s">
        <v>1385</v>
      </c>
      <c r="P1500" s="20">
        <f t="shared" si="207"/>
        <v>1</v>
      </c>
      <c r="Q1500" s="3" t="s">
        <v>1385</v>
      </c>
      <c r="R1500" s="23" t="str">
        <f t="shared" si="208"/>
        <v>Saturday</v>
      </c>
      <c r="S1500" s="3" t="s">
        <v>1385</v>
      </c>
      <c r="T1500" s="23" t="s">
        <v>7</v>
      </c>
      <c r="U1500" s="3" t="s">
        <v>1385</v>
      </c>
    </row>
    <row r="1501" spans="1:21" x14ac:dyDescent="0.25">
      <c r="A1501" t="s">
        <v>40</v>
      </c>
      <c r="B1501" t="s">
        <v>41</v>
      </c>
      <c r="C1501" s="10">
        <v>-46</v>
      </c>
      <c r="D1501" t="s">
        <v>406</v>
      </c>
      <c r="E1501" s="2">
        <f t="shared" si="213"/>
        <v>46228</v>
      </c>
      <c r="F1501" s="3">
        <f t="shared" si="209"/>
        <v>7.8472222222222221E-2</v>
      </c>
      <c r="G1501" t="s">
        <v>43</v>
      </c>
      <c r="H1501" t="s">
        <v>44</v>
      </c>
      <c r="I1501" t="s">
        <v>158</v>
      </c>
      <c r="J1501" s="2">
        <v>46228</v>
      </c>
      <c r="K1501" s="1">
        <v>5.9027777777777783E-2</v>
      </c>
      <c r="L1501" s="10">
        <f t="shared" si="210"/>
        <v>-27.999999999999989</v>
      </c>
      <c r="M1501" s="1" t="str">
        <f t="shared" si="212"/>
        <v>Delayed</v>
      </c>
      <c r="N1501" s="27" t="str">
        <f t="shared" si="206"/>
        <v>SAS</v>
      </c>
      <c r="O1501" s="3" t="s">
        <v>1318</v>
      </c>
      <c r="P1501" s="20">
        <f t="shared" si="207"/>
        <v>1</v>
      </c>
      <c r="Q1501" s="3" t="s">
        <v>1318</v>
      </c>
      <c r="R1501" s="23" t="str">
        <f t="shared" si="208"/>
        <v>Saturday</v>
      </c>
      <c r="S1501" s="3" t="s">
        <v>1318</v>
      </c>
      <c r="T1501" s="23" t="s">
        <v>41</v>
      </c>
      <c r="U1501" s="3" t="s">
        <v>1318</v>
      </c>
    </row>
    <row r="1502" spans="1:21" x14ac:dyDescent="0.25">
      <c r="A1502" t="s">
        <v>409</v>
      </c>
      <c r="B1502" t="s">
        <v>96</v>
      </c>
      <c r="C1502" s="10" t="e">
        <f>NA()</f>
        <v>#N/A</v>
      </c>
      <c r="D1502" t="s">
        <v>242</v>
      </c>
      <c r="E1502" s="2">
        <f t="shared" si="213"/>
        <v>46228</v>
      </c>
      <c r="F1502" s="3" t="e">
        <f t="shared" si="209"/>
        <v>#N/A</v>
      </c>
      <c r="G1502" t="s">
        <v>98</v>
      </c>
      <c r="H1502" t="s">
        <v>99</v>
      </c>
      <c r="I1502" t="s">
        <v>123</v>
      </c>
      <c r="J1502" s="2">
        <v>46228</v>
      </c>
      <c r="K1502" s="1">
        <v>0.31597222222222221</v>
      </c>
      <c r="L1502" s="10" t="e">
        <f t="shared" si="210"/>
        <v>#N/A</v>
      </c>
      <c r="M1502" s="1" t="e">
        <f t="shared" si="212"/>
        <v>#N/A</v>
      </c>
      <c r="N1502" s="27" t="str">
        <f t="shared" si="206"/>
        <v>Turkish Airlines</v>
      </c>
      <c r="O1502" s="3" t="e">
        <v>#N/A</v>
      </c>
      <c r="P1502" s="20" t="e">
        <f t="shared" si="207"/>
        <v>#N/A</v>
      </c>
      <c r="Q1502" s="3" t="e">
        <v>#N/A</v>
      </c>
      <c r="R1502" s="23" t="str">
        <f t="shared" si="208"/>
        <v>Saturday</v>
      </c>
      <c r="S1502" s="3" t="e">
        <v>#N/A</v>
      </c>
      <c r="T1502" s="23" t="s">
        <v>96</v>
      </c>
    </row>
    <row r="1503" spans="1:21" x14ac:dyDescent="0.25">
      <c r="A1503" t="s">
        <v>60</v>
      </c>
      <c r="B1503" t="s">
        <v>7</v>
      </c>
      <c r="C1503" s="10">
        <v>-2</v>
      </c>
      <c r="D1503" t="s">
        <v>1292</v>
      </c>
      <c r="E1503" s="2">
        <f t="shared" si="213"/>
        <v>46228</v>
      </c>
      <c r="F1503" s="3">
        <f t="shared" si="209"/>
        <v>0.34791666666666665</v>
      </c>
      <c r="G1503" t="s">
        <v>9</v>
      </c>
      <c r="H1503" t="s">
        <v>10</v>
      </c>
      <c r="I1503" t="s">
        <v>11</v>
      </c>
      <c r="J1503" s="2">
        <v>46228</v>
      </c>
      <c r="K1503" s="1">
        <v>0.3611111111111111</v>
      </c>
      <c r="L1503" s="10">
        <f t="shared" si="210"/>
        <v>19.000000000000014</v>
      </c>
      <c r="M1503" s="1" t="str">
        <f t="shared" si="212"/>
        <v>On Time</v>
      </c>
      <c r="N1503" s="27" t="str">
        <f t="shared" si="206"/>
        <v>airBaltic</v>
      </c>
      <c r="O1503" s="3" t="s">
        <v>1385</v>
      </c>
      <c r="P1503" s="20">
        <f t="shared" si="207"/>
        <v>8</v>
      </c>
      <c r="Q1503" s="3" t="s">
        <v>1385</v>
      </c>
      <c r="R1503" s="23" t="str">
        <f t="shared" si="208"/>
        <v>Saturday</v>
      </c>
      <c r="S1503" s="3" t="s">
        <v>1385</v>
      </c>
      <c r="T1503" s="23" t="s">
        <v>7</v>
      </c>
      <c r="U1503" s="3" t="s">
        <v>1385</v>
      </c>
    </row>
    <row r="1504" spans="1:21" x14ac:dyDescent="0.25">
      <c r="A1504" t="s">
        <v>68</v>
      </c>
      <c r="B1504" t="s">
        <v>69</v>
      </c>
      <c r="C1504" s="10">
        <v>-11</v>
      </c>
      <c r="D1504" t="s">
        <v>853</v>
      </c>
      <c r="E1504" s="2">
        <f t="shared" si="213"/>
        <v>46228</v>
      </c>
      <c r="F1504" s="3">
        <f t="shared" si="209"/>
        <v>0.38680555555555557</v>
      </c>
      <c r="G1504" t="s">
        <v>71</v>
      </c>
      <c r="H1504" t="s">
        <v>72</v>
      </c>
      <c r="I1504" t="s">
        <v>73</v>
      </c>
      <c r="J1504" s="2">
        <v>46228</v>
      </c>
      <c r="K1504" s="1">
        <v>0.3888888888888889</v>
      </c>
      <c r="L1504" s="10">
        <f t="shared" si="210"/>
        <v>2.9999999999999893</v>
      </c>
      <c r="M1504" s="1" t="str">
        <f t="shared" si="212"/>
        <v>On Time</v>
      </c>
      <c r="N1504" s="27" t="str">
        <f t="shared" si="206"/>
        <v>Finnair</v>
      </c>
      <c r="O1504" s="3" t="s">
        <v>1385</v>
      </c>
      <c r="P1504" s="20">
        <f t="shared" si="207"/>
        <v>9</v>
      </c>
      <c r="Q1504" s="3" t="s">
        <v>1385</v>
      </c>
      <c r="R1504" s="23" t="str">
        <f t="shared" si="208"/>
        <v>Saturday</v>
      </c>
      <c r="S1504" s="3" t="s">
        <v>1385</v>
      </c>
      <c r="T1504" s="23" t="s">
        <v>69</v>
      </c>
      <c r="U1504" s="3" t="s">
        <v>1385</v>
      </c>
    </row>
    <row r="1505" spans="1:21" x14ac:dyDescent="0.25">
      <c r="A1505" t="s">
        <v>74</v>
      </c>
      <c r="B1505" t="s">
        <v>13</v>
      </c>
      <c r="C1505" s="10">
        <v>6</v>
      </c>
      <c r="D1505" t="s">
        <v>412</v>
      </c>
      <c r="E1505" s="2">
        <f t="shared" si="213"/>
        <v>46228</v>
      </c>
      <c r="F1505" s="3">
        <f t="shared" si="209"/>
        <v>0.3659722222222222</v>
      </c>
      <c r="G1505" t="s">
        <v>76</v>
      </c>
      <c r="H1505" t="s">
        <v>77</v>
      </c>
      <c r="I1505" t="s">
        <v>17</v>
      </c>
      <c r="J1505" s="2">
        <v>46228</v>
      </c>
      <c r="K1505" s="1">
        <v>0.3888888888888889</v>
      </c>
      <c r="L1505" s="10">
        <f t="shared" si="210"/>
        <v>33.000000000000043</v>
      </c>
      <c r="M1505" s="1" t="str">
        <f t="shared" si="212"/>
        <v>On Time</v>
      </c>
      <c r="N1505" s="27" t="str">
        <f t="shared" si="206"/>
        <v>Wizz Air</v>
      </c>
      <c r="O1505" s="3" t="s">
        <v>1385</v>
      </c>
      <c r="P1505" s="20">
        <f t="shared" si="207"/>
        <v>8</v>
      </c>
      <c r="Q1505" s="3" t="s">
        <v>1385</v>
      </c>
      <c r="R1505" s="23" t="str">
        <f t="shared" si="208"/>
        <v>Saturday</v>
      </c>
      <c r="S1505" s="3" t="s">
        <v>1385</v>
      </c>
      <c r="T1505" s="23" t="s">
        <v>13</v>
      </c>
      <c r="U1505" s="3" t="s">
        <v>1385</v>
      </c>
    </row>
    <row r="1506" spans="1:21" x14ac:dyDescent="0.25">
      <c r="A1506" t="s">
        <v>150</v>
      </c>
      <c r="B1506" t="s">
        <v>151</v>
      </c>
      <c r="C1506" s="10">
        <v>-13</v>
      </c>
      <c r="D1506" t="s">
        <v>1293</v>
      </c>
      <c r="E1506" s="2">
        <f t="shared" si="213"/>
        <v>46228</v>
      </c>
      <c r="F1506" s="3">
        <f t="shared" si="209"/>
        <v>0.39166666666666666</v>
      </c>
      <c r="G1506" t="s">
        <v>153</v>
      </c>
      <c r="H1506" t="s">
        <v>154</v>
      </c>
      <c r="I1506" t="s">
        <v>188</v>
      </c>
      <c r="J1506" s="2">
        <v>46228</v>
      </c>
      <c r="K1506" s="1">
        <v>0.40277777777777773</v>
      </c>
      <c r="L1506" s="10">
        <f t="shared" si="210"/>
        <v>15.999999999999943</v>
      </c>
      <c r="M1506" s="1" t="str">
        <f t="shared" si="212"/>
        <v>On Time</v>
      </c>
      <c r="N1506" s="27" t="e">
        <f t="shared" si="206"/>
        <v>#N/A</v>
      </c>
      <c r="O1506" s="3" t="s">
        <v>1385</v>
      </c>
      <c r="P1506" s="20">
        <f t="shared" si="207"/>
        <v>9</v>
      </c>
      <c r="Q1506" s="3" t="s">
        <v>1385</v>
      </c>
      <c r="R1506" s="23" t="str">
        <f t="shared" si="208"/>
        <v>Saturday</v>
      </c>
      <c r="S1506" s="3" t="s">
        <v>1385</v>
      </c>
      <c r="T1506" s="23" t="s">
        <v>151</v>
      </c>
      <c r="U1506" s="3" t="s">
        <v>1385</v>
      </c>
    </row>
    <row r="1507" spans="1:21" x14ac:dyDescent="0.25">
      <c r="A1507" t="s">
        <v>184</v>
      </c>
      <c r="B1507" t="s">
        <v>85</v>
      </c>
      <c r="C1507" s="10">
        <v>-22</v>
      </c>
      <c r="D1507" t="s">
        <v>493</v>
      </c>
      <c r="E1507" s="2">
        <f t="shared" si="213"/>
        <v>46228</v>
      </c>
      <c r="F1507" s="3">
        <f t="shared" si="209"/>
        <v>0.40833333333333338</v>
      </c>
      <c r="G1507" t="s">
        <v>153</v>
      </c>
      <c r="H1507" t="s">
        <v>154</v>
      </c>
      <c r="I1507" t="s">
        <v>89</v>
      </c>
      <c r="J1507" s="2">
        <v>46228</v>
      </c>
      <c r="K1507" s="1">
        <v>0.41319444444444442</v>
      </c>
      <c r="L1507" s="10">
        <f t="shared" si="210"/>
        <v>6.9999999999998952</v>
      </c>
      <c r="M1507" s="1" t="str">
        <f t="shared" si="212"/>
        <v>On Time</v>
      </c>
      <c r="N1507" s="27" t="str">
        <f t="shared" si="206"/>
        <v>Ryanair</v>
      </c>
      <c r="O1507" s="3" t="s">
        <v>1385</v>
      </c>
      <c r="P1507" s="20">
        <f t="shared" si="207"/>
        <v>9</v>
      </c>
      <c r="Q1507" s="3" t="s">
        <v>1385</v>
      </c>
      <c r="R1507" s="23" t="str">
        <f t="shared" si="208"/>
        <v>Saturday</v>
      </c>
      <c r="S1507" s="3" t="s">
        <v>1385</v>
      </c>
      <c r="T1507" s="23" t="s">
        <v>85</v>
      </c>
      <c r="U1507" s="3" t="s">
        <v>1385</v>
      </c>
    </row>
    <row r="1508" spans="1:21" x14ac:dyDescent="0.25">
      <c r="A1508" t="s">
        <v>90</v>
      </c>
      <c r="B1508" t="s">
        <v>19</v>
      </c>
      <c r="C1508" s="10">
        <v>-35</v>
      </c>
      <c r="D1508" t="s">
        <v>1243</v>
      </c>
      <c r="E1508" s="2">
        <f t="shared" si="213"/>
        <v>46228</v>
      </c>
      <c r="F1508" s="3">
        <f t="shared" si="209"/>
        <v>0.42708333333333331</v>
      </c>
      <c r="G1508" t="s">
        <v>21</v>
      </c>
      <c r="H1508" t="s">
        <v>22</v>
      </c>
      <c r="I1508" t="s">
        <v>237</v>
      </c>
      <c r="J1508" s="2">
        <v>46228</v>
      </c>
      <c r="K1508" s="1">
        <v>0.4201388888888889</v>
      </c>
      <c r="L1508" s="10">
        <f t="shared" si="210"/>
        <v>-9.9999999999999645</v>
      </c>
      <c r="M1508" s="1" t="str">
        <f t="shared" si="212"/>
        <v>On Time</v>
      </c>
      <c r="N1508" s="27" t="str">
        <f t="shared" si="206"/>
        <v>LOT</v>
      </c>
      <c r="O1508" s="3" t="s">
        <v>1385</v>
      </c>
      <c r="P1508" s="20">
        <f t="shared" si="207"/>
        <v>10</v>
      </c>
      <c r="Q1508" s="3" t="s">
        <v>1385</v>
      </c>
      <c r="R1508" s="23" t="str">
        <f t="shared" si="208"/>
        <v>Saturday</v>
      </c>
      <c r="S1508" s="3" t="s">
        <v>1385</v>
      </c>
      <c r="T1508" s="23" t="s">
        <v>19</v>
      </c>
      <c r="U1508" s="3" t="s">
        <v>1385</v>
      </c>
    </row>
    <row r="1509" spans="1:21" x14ac:dyDescent="0.25">
      <c r="A1509" t="s">
        <v>319</v>
      </c>
      <c r="B1509" t="s">
        <v>85</v>
      </c>
      <c r="C1509" s="10">
        <v>-9</v>
      </c>
      <c r="D1509" t="s">
        <v>576</v>
      </c>
      <c r="E1509" s="2">
        <f t="shared" si="213"/>
        <v>46228</v>
      </c>
      <c r="F1509" s="3">
        <f t="shared" si="209"/>
        <v>0.41388888888888892</v>
      </c>
      <c r="G1509" t="s">
        <v>15</v>
      </c>
      <c r="H1509" t="s">
        <v>16</v>
      </c>
      <c r="I1509" t="s">
        <v>89</v>
      </c>
      <c r="J1509" s="2">
        <v>46228</v>
      </c>
      <c r="K1509" s="1">
        <v>0.42708333333333331</v>
      </c>
      <c r="L1509" s="10">
        <f t="shared" si="210"/>
        <v>18.999999999999932</v>
      </c>
      <c r="M1509" s="1" t="str">
        <f t="shared" si="212"/>
        <v>On Time</v>
      </c>
      <c r="N1509" s="27" t="str">
        <f t="shared" si="206"/>
        <v>Ryanair</v>
      </c>
      <c r="O1509" s="3" t="s">
        <v>1385</v>
      </c>
      <c r="P1509" s="20">
        <f t="shared" si="207"/>
        <v>9</v>
      </c>
      <c r="Q1509" s="3" t="s">
        <v>1385</v>
      </c>
      <c r="R1509" s="23" t="str">
        <f t="shared" si="208"/>
        <v>Saturday</v>
      </c>
      <c r="S1509" s="3" t="s">
        <v>1385</v>
      </c>
      <c r="T1509" s="23" t="s">
        <v>85</v>
      </c>
      <c r="U1509" s="3" t="s">
        <v>1385</v>
      </c>
    </row>
    <row r="1510" spans="1:21" x14ac:dyDescent="0.25">
      <c r="A1510" t="s">
        <v>95</v>
      </c>
      <c r="B1510" t="s">
        <v>96</v>
      </c>
      <c r="C1510" s="10">
        <v>-15</v>
      </c>
      <c r="D1510" t="s">
        <v>1142</v>
      </c>
      <c r="E1510" s="2">
        <f t="shared" si="213"/>
        <v>46228</v>
      </c>
      <c r="F1510" s="3">
        <f t="shared" si="209"/>
        <v>0.44166666666666665</v>
      </c>
      <c r="G1510" t="s">
        <v>98</v>
      </c>
      <c r="H1510" t="s">
        <v>99</v>
      </c>
      <c r="I1510" t="s">
        <v>188</v>
      </c>
      <c r="J1510" s="2">
        <v>46228</v>
      </c>
      <c r="K1510" s="1">
        <v>0.44791666666666669</v>
      </c>
      <c r="L1510" s="10">
        <f t="shared" si="210"/>
        <v>9.000000000000048</v>
      </c>
      <c r="M1510" s="1" t="str">
        <f t="shared" si="212"/>
        <v>On Time</v>
      </c>
      <c r="N1510" s="27" t="str">
        <f t="shared" si="206"/>
        <v>Turkish Airlines</v>
      </c>
      <c r="O1510" s="3" t="s">
        <v>1385</v>
      </c>
      <c r="P1510" s="20">
        <f t="shared" si="207"/>
        <v>10</v>
      </c>
      <c r="Q1510" s="3" t="s">
        <v>1385</v>
      </c>
      <c r="R1510" s="23" t="str">
        <f t="shared" si="208"/>
        <v>Saturday</v>
      </c>
      <c r="S1510" s="3" t="s">
        <v>1385</v>
      </c>
      <c r="T1510" s="23" t="s">
        <v>96</v>
      </c>
      <c r="U1510" s="3" t="s">
        <v>1385</v>
      </c>
    </row>
    <row r="1511" spans="1:21" x14ac:dyDescent="0.25">
      <c r="A1511" t="s">
        <v>418</v>
      </c>
      <c r="B1511" t="s">
        <v>85</v>
      </c>
      <c r="C1511" s="10">
        <v>-7</v>
      </c>
      <c r="D1511" t="s">
        <v>310</v>
      </c>
      <c r="E1511" s="2">
        <f t="shared" si="213"/>
        <v>46228</v>
      </c>
      <c r="F1511" s="3">
        <f t="shared" si="209"/>
        <v>0.45</v>
      </c>
      <c r="G1511" t="s">
        <v>419</v>
      </c>
      <c r="H1511" t="s">
        <v>420</v>
      </c>
      <c r="I1511" t="s">
        <v>89</v>
      </c>
      <c r="J1511" s="2">
        <v>46228</v>
      </c>
      <c r="K1511" s="1">
        <v>0.45833333333333331</v>
      </c>
      <c r="L1511" s="10">
        <f t="shared" si="210"/>
        <v>11.999999999999957</v>
      </c>
      <c r="M1511" s="1" t="str">
        <f t="shared" si="212"/>
        <v>On Time</v>
      </c>
      <c r="N1511" s="27" t="str">
        <f t="shared" si="206"/>
        <v>Ryanair</v>
      </c>
      <c r="O1511" s="3" t="s">
        <v>1385</v>
      </c>
      <c r="P1511" s="20">
        <f t="shared" si="207"/>
        <v>10</v>
      </c>
      <c r="Q1511" s="3" t="s">
        <v>1385</v>
      </c>
      <c r="R1511" s="23" t="str">
        <f t="shared" si="208"/>
        <v>Saturday</v>
      </c>
      <c r="S1511" s="3" t="s">
        <v>1385</v>
      </c>
      <c r="T1511" s="23" t="s">
        <v>85</v>
      </c>
      <c r="U1511" s="3" t="s">
        <v>1385</v>
      </c>
    </row>
    <row r="1512" spans="1:21" x14ac:dyDescent="0.25">
      <c r="A1512" t="s">
        <v>178</v>
      </c>
      <c r="B1512" t="s">
        <v>85</v>
      </c>
      <c r="C1512" s="10">
        <v>7</v>
      </c>
      <c r="D1512" t="s">
        <v>1294</v>
      </c>
      <c r="E1512" s="2">
        <f t="shared" si="213"/>
        <v>46228</v>
      </c>
      <c r="F1512" s="3">
        <f t="shared" si="209"/>
        <v>0.4465277777777778</v>
      </c>
      <c r="G1512" t="s">
        <v>180</v>
      </c>
      <c r="H1512" t="s">
        <v>181</v>
      </c>
      <c r="I1512" t="s">
        <v>89</v>
      </c>
      <c r="J1512" s="2">
        <v>46228</v>
      </c>
      <c r="K1512" s="1">
        <v>0.46180555555555558</v>
      </c>
      <c r="L1512" s="10">
        <f t="shared" si="210"/>
        <v>22</v>
      </c>
      <c r="M1512" s="1" t="str">
        <f t="shared" si="212"/>
        <v>On Time</v>
      </c>
      <c r="N1512" s="27" t="str">
        <f t="shared" si="206"/>
        <v>Ryanair</v>
      </c>
      <c r="O1512" s="3" t="s">
        <v>1385</v>
      </c>
      <c r="P1512" s="20">
        <f t="shared" si="207"/>
        <v>10</v>
      </c>
      <c r="Q1512" s="3" t="s">
        <v>1385</v>
      </c>
      <c r="R1512" s="23" t="str">
        <f t="shared" si="208"/>
        <v>Saturday</v>
      </c>
      <c r="S1512" s="3" t="s">
        <v>1385</v>
      </c>
      <c r="T1512" s="23" t="s">
        <v>85</v>
      </c>
      <c r="U1512" s="3" t="s">
        <v>1385</v>
      </c>
    </row>
    <row r="1513" spans="1:21" x14ac:dyDescent="0.25">
      <c r="A1513" t="s">
        <v>422</v>
      </c>
      <c r="B1513" t="s">
        <v>13</v>
      </c>
      <c r="C1513" s="10">
        <v>-2</v>
      </c>
      <c r="D1513" t="s">
        <v>1295</v>
      </c>
      <c r="E1513" s="2">
        <f t="shared" si="213"/>
        <v>46228</v>
      </c>
      <c r="F1513" s="3">
        <f t="shared" si="209"/>
        <v>0.4770833333333333</v>
      </c>
      <c r="G1513" t="s">
        <v>424</v>
      </c>
      <c r="H1513" t="s">
        <v>425</v>
      </c>
      <c r="I1513" t="s">
        <v>17</v>
      </c>
      <c r="J1513" s="2">
        <v>46228</v>
      </c>
      <c r="K1513" s="1">
        <v>0.4826388888888889</v>
      </c>
      <c r="L1513" s="10">
        <f t="shared" si="210"/>
        <v>8.0000000000000515</v>
      </c>
      <c r="M1513" s="1" t="str">
        <f t="shared" si="212"/>
        <v>On Time</v>
      </c>
      <c r="N1513" s="27" t="str">
        <f t="shared" si="206"/>
        <v>Wizz Air</v>
      </c>
      <c r="O1513" s="3" t="s">
        <v>1385</v>
      </c>
      <c r="P1513" s="20">
        <f t="shared" si="207"/>
        <v>11</v>
      </c>
      <c r="Q1513" s="3" t="s">
        <v>1385</v>
      </c>
      <c r="R1513" s="23" t="str">
        <f t="shared" si="208"/>
        <v>Saturday</v>
      </c>
      <c r="S1513" s="3" t="s">
        <v>1385</v>
      </c>
      <c r="T1513" s="23" t="s">
        <v>13</v>
      </c>
      <c r="U1513" s="3" t="s">
        <v>1385</v>
      </c>
    </row>
    <row r="1514" spans="1:21" x14ac:dyDescent="0.25">
      <c r="A1514" t="s">
        <v>383</v>
      </c>
      <c r="B1514" t="s">
        <v>7</v>
      </c>
      <c r="C1514" s="10">
        <v>-17</v>
      </c>
      <c r="D1514" t="s">
        <v>105</v>
      </c>
      <c r="E1514" s="2">
        <f t="shared" si="213"/>
        <v>46228</v>
      </c>
      <c r="F1514" s="3">
        <f t="shared" si="209"/>
        <v>0.50208333333333333</v>
      </c>
      <c r="G1514" t="s">
        <v>26</v>
      </c>
      <c r="H1514" t="s">
        <v>27</v>
      </c>
      <c r="I1514" t="s">
        <v>11</v>
      </c>
      <c r="J1514" s="2">
        <v>46228</v>
      </c>
      <c r="K1514" s="1">
        <v>0.5</v>
      </c>
      <c r="L1514" s="10">
        <f t="shared" si="210"/>
        <v>-2.9999999999999893</v>
      </c>
      <c r="M1514" s="1" t="str">
        <f t="shared" si="212"/>
        <v>On Time</v>
      </c>
      <c r="N1514" s="27" t="str">
        <f t="shared" si="206"/>
        <v>airBaltic</v>
      </c>
      <c r="O1514" s="3" t="s">
        <v>1385</v>
      </c>
      <c r="P1514" s="20">
        <f t="shared" si="207"/>
        <v>12</v>
      </c>
      <c r="Q1514" s="3" t="s">
        <v>1385</v>
      </c>
      <c r="R1514" s="23" t="str">
        <f t="shared" si="208"/>
        <v>Saturday</v>
      </c>
      <c r="S1514" s="3" t="s">
        <v>1385</v>
      </c>
      <c r="T1514" s="23" t="s">
        <v>7</v>
      </c>
      <c r="U1514" s="3" t="s">
        <v>1385</v>
      </c>
    </row>
    <row r="1515" spans="1:21" x14ac:dyDescent="0.25">
      <c r="A1515" t="s">
        <v>108</v>
      </c>
      <c r="B1515" t="s">
        <v>190</v>
      </c>
      <c r="C1515" s="10">
        <v>-24</v>
      </c>
      <c r="D1515" t="s">
        <v>1003</v>
      </c>
      <c r="E1515" s="2">
        <f t="shared" si="213"/>
        <v>46228</v>
      </c>
      <c r="F1515" s="3">
        <f t="shared" si="209"/>
        <v>0.53055555555555556</v>
      </c>
      <c r="G1515" t="s">
        <v>110</v>
      </c>
      <c r="H1515" t="s">
        <v>111</v>
      </c>
      <c r="I1515" t="s">
        <v>210</v>
      </c>
      <c r="J1515" s="2">
        <v>46228</v>
      </c>
      <c r="K1515" s="1">
        <v>0.52777777777777779</v>
      </c>
      <c r="L1515" s="10">
        <f t="shared" si="210"/>
        <v>-3.9999999999999858</v>
      </c>
      <c r="M1515" s="1" t="str">
        <f t="shared" si="212"/>
        <v>On Time</v>
      </c>
      <c r="N1515" s="27" t="str">
        <f t="shared" si="206"/>
        <v>Lufthansa</v>
      </c>
      <c r="O1515" s="3" t="s">
        <v>1385</v>
      </c>
      <c r="P1515" s="20">
        <f t="shared" si="207"/>
        <v>12</v>
      </c>
      <c r="Q1515" s="3" t="s">
        <v>1385</v>
      </c>
      <c r="R1515" s="23" t="str">
        <f t="shared" si="208"/>
        <v>Saturday</v>
      </c>
      <c r="S1515" s="3" t="s">
        <v>1385</v>
      </c>
      <c r="T1515" s="23" t="s">
        <v>190</v>
      </c>
      <c r="U1515" s="3" t="s">
        <v>1385</v>
      </c>
    </row>
    <row r="1516" spans="1:21" x14ac:dyDescent="0.25">
      <c r="A1516" t="s">
        <v>121</v>
      </c>
      <c r="B1516" t="s">
        <v>69</v>
      </c>
      <c r="C1516" s="10">
        <v>-2</v>
      </c>
      <c r="D1516" t="s">
        <v>939</v>
      </c>
      <c r="E1516" s="2">
        <f t="shared" si="213"/>
        <v>46228</v>
      </c>
      <c r="F1516" s="3">
        <f t="shared" si="209"/>
        <v>0.53680555555555554</v>
      </c>
      <c r="G1516" t="s">
        <v>71</v>
      </c>
      <c r="H1516" t="s">
        <v>72</v>
      </c>
      <c r="I1516" t="s">
        <v>73</v>
      </c>
      <c r="J1516" s="2">
        <v>46228</v>
      </c>
      <c r="K1516" s="1">
        <v>0.54166666666666663</v>
      </c>
      <c r="L1516" s="10">
        <f t="shared" si="210"/>
        <v>6.9999999999999751</v>
      </c>
      <c r="M1516" s="1" t="str">
        <f t="shared" si="212"/>
        <v>On Time</v>
      </c>
      <c r="N1516" s="27" t="str">
        <f t="shared" si="206"/>
        <v>Finnair</v>
      </c>
      <c r="O1516" s="3" t="s">
        <v>1385</v>
      </c>
      <c r="P1516" s="20">
        <f t="shared" si="207"/>
        <v>12</v>
      </c>
      <c r="Q1516" s="3" t="s">
        <v>1385</v>
      </c>
      <c r="R1516" s="23" t="str">
        <f t="shared" si="208"/>
        <v>Saturday</v>
      </c>
      <c r="S1516" s="3" t="s">
        <v>1385</v>
      </c>
      <c r="T1516" s="23" t="s">
        <v>69</v>
      </c>
      <c r="U1516" s="3" t="s">
        <v>1385</v>
      </c>
    </row>
    <row r="1517" spans="1:21" x14ac:dyDescent="0.25">
      <c r="A1517" t="s">
        <v>123</v>
      </c>
      <c r="B1517" t="s">
        <v>124</v>
      </c>
      <c r="D1517" t="s">
        <v>711</v>
      </c>
      <c r="E1517" s="2">
        <f t="shared" si="213"/>
        <v>46228</v>
      </c>
      <c r="F1517" s="3">
        <f t="shared" si="209"/>
        <v>0.54791666666666672</v>
      </c>
      <c r="G1517" t="s">
        <v>431</v>
      </c>
      <c r="H1517" t="s">
        <v>432</v>
      </c>
      <c r="I1517" t="s">
        <v>249</v>
      </c>
      <c r="J1517" s="2">
        <v>46228</v>
      </c>
      <c r="K1517" s="1">
        <v>0.5444444444444444</v>
      </c>
      <c r="L1517" s="10">
        <f t="shared" si="210"/>
        <v>-5.0000000000001421</v>
      </c>
      <c r="M1517" s="1" t="str">
        <f t="shared" si="212"/>
        <v>On Time</v>
      </c>
      <c r="N1517" s="27" t="str">
        <f t="shared" si="206"/>
        <v>GetJet Airlines</v>
      </c>
      <c r="O1517" s="3" t="s">
        <v>1385</v>
      </c>
      <c r="P1517" s="20">
        <f t="shared" si="207"/>
        <v>13</v>
      </c>
      <c r="Q1517" s="3" t="s">
        <v>1385</v>
      </c>
      <c r="R1517" s="23" t="str">
        <f t="shared" si="208"/>
        <v>Saturday</v>
      </c>
      <c r="S1517" s="3" t="s">
        <v>1385</v>
      </c>
      <c r="T1517" s="23" t="s">
        <v>124</v>
      </c>
      <c r="U1517" s="3" t="s">
        <v>1385</v>
      </c>
    </row>
    <row r="1518" spans="1:21" x14ac:dyDescent="0.25">
      <c r="A1518" t="s">
        <v>427</v>
      </c>
      <c r="B1518" t="s">
        <v>117</v>
      </c>
      <c r="C1518" s="10">
        <v>-24</v>
      </c>
      <c r="D1518" t="s">
        <v>590</v>
      </c>
      <c r="E1518" s="2">
        <f t="shared" si="213"/>
        <v>46228</v>
      </c>
      <c r="F1518" s="3">
        <f t="shared" si="209"/>
        <v>0.54999999999999993</v>
      </c>
      <c r="G1518" t="s">
        <v>119</v>
      </c>
      <c r="H1518" t="s">
        <v>120</v>
      </c>
      <c r="I1518" t="s">
        <v>67</v>
      </c>
      <c r="J1518" s="2">
        <v>46228</v>
      </c>
      <c r="K1518" s="1">
        <v>0.54722222222222217</v>
      </c>
      <c r="L1518" s="10">
        <f t="shared" si="210"/>
        <v>-3.9999999999999858</v>
      </c>
      <c r="M1518" s="1" t="str">
        <f t="shared" si="212"/>
        <v>On Time</v>
      </c>
      <c r="N1518" s="27" t="str">
        <f t="shared" si="206"/>
        <v>Heston Airlines</v>
      </c>
      <c r="O1518" s="3" t="s">
        <v>1385</v>
      </c>
      <c r="P1518" s="20">
        <f t="shared" si="207"/>
        <v>13</v>
      </c>
      <c r="Q1518" s="3" t="s">
        <v>1385</v>
      </c>
      <c r="R1518" s="23" t="str">
        <f t="shared" si="208"/>
        <v>Saturday</v>
      </c>
      <c r="S1518" s="3" t="s">
        <v>1385</v>
      </c>
      <c r="T1518" s="23" t="s">
        <v>117</v>
      </c>
      <c r="U1518" s="3" t="s">
        <v>1385</v>
      </c>
    </row>
    <row r="1519" spans="1:21" x14ac:dyDescent="0.25">
      <c r="A1519" t="s">
        <v>123</v>
      </c>
      <c r="B1519" t="s">
        <v>124</v>
      </c>
      <c r="D1519" t="s">
        <v>435</v>
      </c>
      <c r="E1519" s="2">
        <f t="shared" si="213"/>
        <v>46228</v>
      </c>
      <c r="F1519" s="3">
        <f t="shared" si="209"/>
        <v>0.5444444444444444</v>
      </c>
      <c r="G1519" t="s">
        <v>119</v>
      </c>
      <c r="H1519" t="s">
        <v>120</v>
      </c>
      <c r="I1519" t="s">
        <v>126</v>
      </c>
      <c r="J1519" s="2">
        <v>46228</v>
      </c>
      <c r="K1519" s="1">
        <v>0.55277777777777781</v>
      </c>
      <c r="L1519" s="10">
        <f t="shared" si="210"/>
        <v>12.000000000000117</v>
      </c>
      <c r="M1519" s="1" t="str">
        <f t="shared" si="212"/>
        <v>On Time</v>
      </c>
      <c r="N1519" s="27" t="str">
        <f t="shared" si="206"/>
        <v>GetJet Airlines</v>
      </c>
      <c r="O1519" s="3" t="s">
        <v>1385</v>
      </c>
      <c r="P1519" s="20">
        <f t="shared" si="207"/>
        <v>13</v>
      </c>
      <c r="Q1519" s="3" t="s">
        <v>1385</v>
      </c>
      <c r="R1519" s="23" t="str">
        <f t="shared" si="208"/>
        <v>Saturday</v>
      </c>
      <c r="S1519" s="3" t="s">
        <v>1385</v>
      </c>
      <c r="T1519" s="23" t="s">
        <v>124</v>
      </c>
      <c r="U1519" s="3" t="s">
        <v>1385</v>
      </c>
    </row>
    <row r="1520" spans="1:21" x14ac:dyDescent="0.25">
      <c r="A1520" t="s">
        <v>133</v>
      </c>
      <c r="B1520" t="s">
        <v>7</v>
      </c>
      <c r="C1520" s="10">
        <v>-71</v>
      </c>
      <c r="D1520" t="s">
        <v>1296</v>
      </c>
      <c r="E1520" s="2">
        <f t="shared" si="213"/>
        <v>46228</v>
      </c>
      <c r="F1520" s="3">
        <f t="shared" si="209"/>
        <v>0.59097222222222223</v>
      </c>
      <c r="G1520" t="s">
        <v>135</v>
      </c>
      <c r="H1520" t="s">
        <v>136</v>
      </c>
      <c r="I1520" t="s">
        <v>11</v>
      </c>
      <c r="J1520" s="2">
        <v>46228</v>
      </c>
      <c r="K1520" s="1">
        <v>0.55902777777777779</v>
      </c>
      <c r="L1520" s="10">
        <f t="shared" si="210"/>
        <v>-46</v>
      </c>
      <c r="M1520" s="1" t="str">
        <f t="shared" si="212"/>
        <v>Delayed</v>
      </c>
      <c r="N1520" s="27" t="str">
        <f t="shared" si="206"/>
        <v>airBaltic</v>
      </c>
      <c r="O1520" s="3" t="s">
        <v>1318</v>
      </c>
      <c r="P1520" s="20">
        <f t="shared" si="207"/>
        <v>14</v>
      </c>
      <c r="Q1520" s="3" t="s">
        <v>1318</v>
      </c>
      <c r="R1520" s="23" t="str">
        <f t="shared" si="208"/>
        <v>Saturday</v>
      </c>
      <c r="S1520" s="3" t="s">
        <v>1318</v>
      </c>
      <c r="T1520" s="23" t="s">
        <v>7</v>
      </c>
      <c r="U1520" s="3" t="s">
        <v>1318</v>
      </c>
    </row>
    <row r="1521" spans="1:21" x14ac:dyDescent="0.25">
      <c r="A1521" t="s">
        <v>213</v>
      </c>
      <c r="B1521" t="s">
        <v>85</v>
      </c>
      <c r="C1521" s="10">
        <v>-5</v>
      </c>
      <c r="D1521" t="s">
        <v>1004</v>
      </c>
      <c r="E1521" s="2">
        <f t="shared" si="213"/>
        <v>46228</v>
      </c>
      <c r="F1521" s="3">
        <f t="shared" si="209"/>
        <v>0.54513888888888895</v>
      </c>
      <c r="G1521" t="s">
        <v>102</v>
      </c>
      <c r="H1521" t="s">
        <v>115</v>
      </c>
      <c r="I1521" t="s">
        <v>162</v>
      </c>
      <c r="J1521" s="2">
        <v>46228</v>
      </c>
      <c r="K1521" s="1">
        <v>0.55902777777777779</v>
      </c>
      <c r="L1521" s="10">
        <f t="shared" si="210"/>
        <v>19.999999999999929</v>
      </c>
      <c r="M1521" s="1" t="str">
        <f t="shared" si="212"/>
        <v>On Time</v>
      </c>
      <c r="N1521" s="27" t="str">
        <f t="shared" si="206"/>
        <v>Ryanair</v>
      </c>
      <c r="O1521" s="3" t="s">
        <v>1385</v>
      </c>
      <c r="P1521" s="20">
        <f t="shared" si="207"/>
        <v>13</v>
      </c>
      <c r="Q1521" s="3" t="s">
        <v>1385</v>
      </c>
      <c r="R1521" s="23" t="str">
        <f t="shared" si="208"/>
        <v>Saturday</v>
      </c>
      <c r="S1521" s="3" t="s">
        <v>1385</v>
      </c>
      <c r="T1521" s="23" t="s">
        <v>85</v>
      </c>
      <c r="U1521" s="3" t="s">
        <v>1385</v>
      </c>
    </row>
    <row r="1522" spans="1:21" x14ac:dyDescent="0.25">
      <c r="A1522" t="s">
        <v>254</v>
      </c>
      <c r="B1522" t="s">
        <v>85</v>
      </c>
      <c r="C1522" s="10">
        <v>-26</v>
      </c>
      <c r="D1522" t="s">
        <v>142</v>
      </c>
      <c r="E1522" s="2">
        <f t="shared" si="213"/>
        <v>46228</v>
      </c>
      <c r="F1522" s="3">
        <f t="shared" si="209"/>
        <v>0.5756944444444444</v>
      </c>
      <c r="G1522" t="s">
        <v>256</v>
      </c>
      <c r="H1522" t="s">
        <v>257</v>
      </c>
      <c r="I1522" t="s">
        <v>162</v>
      </c>
      <c r="J1522" s="2">
        <v>46228</v>
      </c>
      <c r="K1522" s="1">
        <v>0.56944444444444442</v>
      </c>
      <c r="L1522" s="10">
        <f t="shared" si="210"/>
        <v>-8.999999999999968</v>
      </c>
      <c r="M1522" s="1" t="str">
        <f t="shared" si="212"/>
        <v>On Time</v>
      </c>
      <c r="N1522" s="27" t="str">
        <f t="shared" si="206"/>
        <v>Ryanair</v>
      </c>
      <c r="O1522" s="3" t="s">
        <v>1385</v>
      </c>
      <c r="P1522" s="20">
        <f t="shared" si="207"/>
        <v>13</v>
      </c>
      <c r="Q1522" s="3" t="s">
        <v>1385</v>
      </c>
      <c r="R1522" s="23" t="str">
        <f t="shared" si="208"/>
        <v>Saturday</v>
      </c>
      <c r="S1522" s="3" t="s">
        <v>1385</v>
      </c>
      <c r="T1522" s="23" t="s">
        <v>85</v>
      </c>
      <c r="U1522" s="3" t="s">
        <v>1385</v>
      </c>
    </row>
    <row r="1523" spans="1:21" x14ac:dyDescent="0.25">
      <c r="A1523" t="s">
        <v>436</v>
      </c>
      <c r="B1523" t="s">
        <v>239</v>
      </c>
      <c r="C1523" s="10">
        <v>-31</v>
      </c>
      <c r="D1523" t="s">
        <v>861</v>
      </c>
      <c r="E1523" s="2">
        <f t="shared" si="213"/>
        <v>46228</v>
      </c>
      <c r="F1523" s="3">
        <f t="shared" si="209"/>
        <v>0.56736111111111109</v>
      </c>
      <c r="G1523" t="s">
        <v>119</v>
      </c>
      <c r="H1523" t="s">
        <v>120</v>
      </c>
      <c r="I1523" t="s">
        <v>83</v>
      </c>
      <c r="J1523" s="2">
        <v>46228</v>
      </c>
      <c r="K1523" s="1">
        <v>0.56944444444444442</v>
      </c>
      <c r="L1523" s="10">
        <f t="shared" si="210"/>
        <v>2.9999999999999893</v>
      </c>
      <c r="M1523" s="1" t="str">
        <f t="shared" si="212"/>
        <v>On Time</v>
      </c>
      <c r="N1523" s="27" t="str">
        <f t="shared" si="206"/>
        <v>Eurowings</v>
      </c>
      <c r="O1523" s="3" t="s">
        <v>1385</v>
      </c>
      <c r="P1523" s="20">
        <f t="shared" si="207"/>
        <v>13</v>
      </c>
      <c r="Q1523" s="3" t="s">
        <v>1385</v>
      </c>
      <c r="R1523" s="23" t="str">
        <f t="shared" si="208"/>
        <v>Saturday</v>
      </c>
      <c r="S1523" s="3" t="s">
        <v>1385</v>
      </c>
      <c r="T1523" s="23" t="s">
        <v>239</v>
      </c>
      <c r="U1523" s="3" t="s">
        <v>1385</v>
      </c>
    </row>
    <row r="1524" spans="1:21" x14ac:dyDescent="0.25">
      <c r="A1524" t="s">
        <v>141</v>
      </c>
      <c r="B1524" t="s">
        <v>19</v>
      </c>
      <c r="C1524" s="10">
        <v>-26</v>
      </c>
      <c r="D1524" t="s">
        <v>326</v>
      </c>
      <c r="E1524" s="2">
        <f t="shared" si="213"/>
        <v>46228</v>
      </c>
      <c r="F1524" s="3">
        <f t="shared" si="209"/>
        <v>0.57986111111111105</v>
      </c>
      <c r="G1524" t="s">
        <v>21</v>
      </c>
      <c r="H1524" t="s">
        <v>22</v>
      </c>
      <c r="I1524" t="s">
        <v>92</v>
      </c>
      <c r="J1524" s="2">
        <v>46228</v>
      </c>
      <c r="K1524" s="1">
        <v>0.57638888888888895</v>
      </c>
      <c r="L1524" s="10">
        <f t="shared" si="210"/>
        <v>-4.9999999999998224</v>
      </c>
      <c r="M1524" s="1" t="str">
        <f t="shared" si="212"/>
        <v>On Time</v>
      </c>
      <c r="N1524" s="27" t="str">
        <f t="shared" si="206"/>
        <v>LOT</v>
      </c>
      <c r="O1524" s="3" t="s">
        <v>1385</v>
      </c>
      <c r="P1524" s="20">
        <f t="shared" si="207"/>
        <v>13</v>
      </c>
      <c r="Q1524" s="3" t="s">
        <v>1385</v>
      </c>
      <c r="R1524" s="23" t="str">
        <f t="shared" si="208"/>
        <v>Saturday</v>
      </c>
      <c r="S1524" s="3" t="s">
        <v>1385</v>
      </c>
      <c r="T1524" s="23" t="s">
        <v>19</v>
      </c>
      <c r="U1524" s="3" t="s">
        <v>1385</v>
      </c>
    </row>
    <row r="1525" spans="1:21" x14ac:dyDescent="0.25">
      <c r="A1525" t="s">
        <v>144</v>
      </c>
      <c r="B1525" t="s">
        <v>13</v>
      </c>
      <c r="C1525" s="10">
        <v>-8</v>
      </c>
      <c r="D1525" t="s">
        <v>145</v>
      </c>
      <c r="E1525" s="2">
        <f t="shared" si="213"/>
        <v>46228</v>
      </c>
      <c r="F1525" s="3">
        <f t="shared" si="209"/>
        <v>0.58194444444444449</v>
      </c>
      <c r="G1525" t="s">
        <v>146</v>
      </c>
      <c r="H1525" t="s">
        <v>147</v>
      </c>
      <c r="I1525" t="s">
        <v>17</v>
      </c>
      <c r="J1525" s="2">
        <v>46228</v>
      </c>
      <c r="K1525" s="1">
        <v>0.59027777777777779</v>
      </c>
      <c r="L1525" s="10">
        <f t="shared" si="210"/>
        <v>11.999999999999957</v>
      </c>
      <c r="M1525" s="1" t="str">
        <f t="shared" si="212"/>
        <v>On Time</v>
      </c>
      <c r="N1525" s="27" t="str">
        <f t="shared" si="206"/>
        <v>Wizz Air</v>
      </c>
      <c r="O1525" s="3" t="s">
        <v>1385</v>
      </c>
      <c r="P1525" s="20">
        <f t="shared" si="207"/>
        <v>13</v>
      </c>
      <c r="Q1525" s="3" t="s">
        <v>1385</v>
      </c>
      <c r="R1525" s="23" t="str">
        <f t="shared" si="208"/>
        <v>Saturday</v>
      </c>
      <c r="S1525" s="3" t="s">
        <v>1385</v>
      </c>
      <c r="T1525" s="23" t="s">
        <v>13</v>
      </c>
      <c r="U1525" s="3" t="s">
        <v>1385</v>
      </c>
    </row>
    <row r="1526" spans="1:21" x14ac:dyDescent="0.25">
      <c r="A1526" t="s">
        <v>393</v>
      </c>
      <c r="B1526" t="s">
        <v>85</v>
      </c>
      <c r="C1526" s="10">
        <v>-13</v>
      </c>
      <c r="D1526" t="s">
        <v>440</v>
      </c>
      <c r="E1526" s="2">
        <f t="shared" si="213"/>
        <v>46228</v>
      </c>
      <c r="F1526" s="3">
        <f t="shared" si="209"/>
        <v>0.59305555555555556</v>
      </c>
      <c r="G1526" t="s">
        <v>153</v>
      </c>
      <c r="H1526" t="s">
        <v>154</v>
      </c>
      <c r="I1526" t="s">
        <v>89</v>
      </c>
      <c r="J1526" s="2">
        <v>46228</v>
      </c>
      <c r="K1526" s="1">
        <v>0.60416666666666663</v>
      </c>
      <c r="L1526" s="10">
        <f t="shared" si="210"/>
        <v>15.999999999999943</v>
      </c>
      <c r="M1526" s="1" t="str">
        <f t="shared" si="212"/>
        <v>On Time</v>
      </c>
      <c r="N1526" s="27" t="str">
        <f t="shared" si="206"/>
        <v>Ryanair</v>
      </c>
      <c r="O1526" s="3" t="s">
        <v>1385</v>
      </c>
      <c r="P1526" s="20">
        <f t="shared" si="207"/>
        <v>14</v>
      </c>
      <c r="Q1526" s="3" t="s">
        <v>1385</v>
      </c>
      <c r="R1526" s="23" t="str">
        <f t="shared" si="208"/>
        <v>Saturday</v>
      </c>
      <c r="S1526" s="3" t="s">
        <v>1385</v>
      </c>
      <c r="T1526" s="23" t="s">
        <v>85</v>
      </c>
      <c r="U1526" s="3" t="s">
        <v>1385</v>
      </c>
    </row>
    <row r="1527" spans="1:21" x14ac:dyDescent="0.25">
      <c r="A1527" t="s">
        <v>148</v>
      </c>
      <c r="B1527" t="s">
        <v>7</v>
      </c>
      <c r="C1527" s="10">
        <v>-32</v>
      </c>
      <c r="D1527" t="s">
        <v>1297</v>
      </c>
      <c r="E1527" s="2">
        <f t="shared" si="213"/>
        <v>46228</v>
      </c>
      <c r="F1527" s="3">
        <f t="shared" si="209"/>
        <v>0.61944444444444446</v>
      </c>
      <c r="G1527" t="s">
        <v>9</v>
      </c>
      <c r="H1527" t="s">
        <v>10</v>
      </c>
      <c r="I1527" t="s">
        <v>11</v>
      </c>
      <c r="J1527" s="2">
        <v>46228</v>
      </c>
      <c r="K1527" s="1">
        <v>0.60763888888888895</v>
      </c>
      <c r="L1527" s="10">
        <f t="shared" si="210"/>
        <v>-16.99999999999994</v>
      </c>
      <c r="M1527" s="1" t="str">
        <f t="shared" si="212"/>
        <v>Delayed</v>
      </c>
      <c r="N1527" s="27" t="str">
        <f t="shared" si="206"/>
        <v>airBaltic</v>
      </c>
      <c r="O1527" s="3" t="s">
        <v>1318</v>
      </c>
      <c r="P1527" s="20">
        <f t="shared" si="207"/>
        <v>14</v>
      </c>
      <c r="Q1527" s="3" t="s">
        <v>1318</v>
      </c>
      <c r="R1527" s="23" t="str">
        <f t="shared" si="208"/>
        <v>Saturday</v>
      </c>
      <c r="S1527" s="3" t="s">
        <v>1318</v>
      </c>
      <c r="T1527" s="23" t="s">
        <v>7</v>
      </c>
      <c r="U1527" s="3" t="s">
        <v>1318</v>
      </c>
    </row>
    <row r="1528" spans="1:21" x14ac:dyDescent="0.25">
      <c r="A1528" t="s">
        <v>192</v>
      </c>
      <c r="B1528" t="s">
        <v>13</v>
      </c>
      <c r="C1528" s="10">
        <v>0</v>
      </c>
      <c r="D1528" t="s">
        <v>1298</v>
      </c>
      <c r="E1528" s="2">
        <f t="shared" si="213"/>
        <v>46228</v>
      </c>
      <c r="F1528" s="3">
        <f t="shared" si="209"/>
        <v>0.59791666666666665</v>
      </c>
      <c r="G1528" t="s">
        <v>194</v>
      </c>
      <c r="H1528" t="s">
        <v>195</v>
      </c>
      <c r="I1528" t="s">
        <v>17</v>
      </c>
      <c r="J1528" s="2">
        <v>46228</v>
      </c>
      <c r="K1528" s="1">
        <v>0.60763888888888895</v>
      </c>
      <c r="L1528" s="10">
        <f t="shared" si="210"/>
        <v>14.00000000000011</v>
      </c>
      <c r="M1528" s="1" t="str">
        <f t="shared" si="212"/>
        <v>On Time</v>
      </c>
      <c r="N1528" s="27" t="str">
        <f t="shared" si="206"/>
        <v>Wizz Air</v>
      </c>
      <c r="O1528" s="3" t="s">
        <v>1385</v>
      </c>
      <c r="P1528" s="20">
        <f t="shared" si="207"/>
        <v>14</v>
      </c>
      <c r="Q1528" s="3" t="s">
        <v>1385</v>
      </c>
      <c r="R1528" s="23" t="str">
        <f t="shared" si="208"/>
        <v>Saturday</v>
      </c>
      <c r="S1528" s="3" t="s">
        <v>1385</v>
      </c>
      <c r="T1528" s="23" t="s">
        <v>13</v>
      </c>
      <c r="U1528" s="3" t="s">
        <v>1385</v>
      </c>
    </row>
    <row r="1529" spans="1:21" x14ac:dyDescent="0.25">
      <c r="A1529" t="s">
        <v>156</v>
      </c>
      <c r="B1529" t="s">
        <v>41</v>
      </c>
      <c r="C1529" s="10">
        <v>-12</v>
      </c>
      <c r="D1529" t="s">
        <v>598</v>
      </c>
      <c r="E1529" s="2">
        <f t="shared" si="213"/>
        <v>46228</v>
      </c>
      <c r="F1529" s="3">
        <f t="shared" si="209"/>
        <v>0.62916666666666665</v>
      </c>
      <c r="G1529" t="s">
        <v>43</v>
      </c>
      <c r="H1529" t="s">
        <v>44</v>
      </c>
      <c r="I1529" t="s">
        <v>158</v>
      </c>
      <c r="J1529" s="2">
        <v>46228</v>
      </c>
      <c r="K1529" s="1">
        <v>0.63541666666666663</v>
      </c>
      <c r="L1529" s="10">
        <f t="shared" si="210"/>
        <v>8.999999999999968</v>
      </c>
      <c r="M1529" s="1" t="str">
        <f t="shared" si="212"/>
        <v>On Time</v>
      </c>
      <c r="N1529" s="27" t="str">
        <f t="shared" si="206"/>
        <v>SAS</v>
      </c>
      <c r="O1529" s="3" t="s">
        <v>1385</v>
      </c>
      <c r="P1529" s="20">
        <f t="shared" si="207"/>
        <v>15</v>
      </c>
      <c r="Q1529" s="3" t="s">
        <v>1385</v>
      </c>
      <c r="R1529" s="23" t="str">
        <f t="shared" si="208"/>
        <v>Saturday</v>
      </c>
      <c r="S1529" s="3" t="s">
        <v>1385</v>
      </c>
      <c r="T1529" s="23" t="s">
        <v>41</v>
      </c>
      <c r="U1529" s="3" t="s">
        <v>1385</v>
      </c>
    </row>
    <row r="1530" spans="1:21" x14ac:dyDescent="0.25">
      <c r="A1530" t="s">
        <v>261</v>
      </c>
      <c r="B1530" t="s">
        <v>85</v>
      </c>
      <c r="C1530" s="10">
        <v>-19</v>
      </c>
      <c r="D1530" t="s">
        <v>1065</v>
      </c>
      <c r="E1530" s="2">
        <f t="shared" si="213"/>
        <v>46228</v>
      </c>
      <c r="F1530" s="3">
        <f t="shared" si="209"/>
        <v>0.64444444444444449</v>
      </c>
      <c r="G1530" t="s">
        <v>263</v>
      </c>
      <c r="H1530" t="s">
        <v>264</v>
      </c>
      <c r="I1530" t="s">
        <v>89</v>
      </c>
      <c r="J1530" s="2">
        <v>46228</v>
      </c>
      <c r="K1530" s="1">
        <v>0.64236111111111105</v>
      </c>
      <c r="L1530" s="10">
        <f t="shared" si="210"/>
        <v>-3.0000000000001492</v>
      </c>
      <c r="M1530" s="1" t="str">
        <f t="shared" si="212"/>
        <v>On Time</v>
      </c>
      <c r="N1530" s="27" t="str">
        <f t="shared" si="206"/>
        <v>Ryanair</v>
      </c>
      <c r="O1530" s="3" t="s">
        <v>1385</v>
      </c>
      <c r="P1530" s="20">
        <f t="shared" si="207"/>
        <v>15</v>
      </c>
      <c r="Q1530" s="3" t="s">
        <v>1385</v>
      </c>
      <c r="R1530" s="23" t="str">
        <f t="shared" si="208"/>
        <v>Saturday</v>
      </c>
      <c r="S1530" s="3" t="s">
        <v>1385</v>
      </c>
      <c r="T1530" s="23" t="s">
        <v>85</v>
      </c>
      <c r="U1530" s="3" t="s">
        <v>1385</v>
      </c>
    </row>
    <row r="1531" spans="1:21" x14ac:dyDescent="0.25">
      <c r="A1531" t="s">
        <v>235</v>
      </c>
      <c r="B1531" t="s">
        <v>19</v>
      </c>
      <c r="C1531" s="10">
        <v>-65</v>
      </c>
      <c r="D1531" t="s">
        <v>1010</v>
      </c>
      <c r="E1531" s="2">
        <f t="shared" si="213"/>
        <v>46228</v>
      </c>
      <c r="F1531" s="3">
        <f t="shared" si="209"/>
        <v>0.71111111111111114</v>
      </c>
      <c r="G1531" t="s">
        <v>21</v>
      </c>
      <c r="H1531" t="s">
        <v>22</v>
      </c>
      <c r="I1531" t="s">
        <v>237</v>
      </c>
      <c r="J1531" s="2">
        <v>46228</v>
      </c>
      <c r="K1531" s="1">
        <v>0.68055555555555547</v>
      </c>
      <c r="L1531" s="10">
        <f t="shared" si="210"/>
        <v>-44.000000000000163</v>
      </c>
      <c r="M1531" s="1" t="str">
        <f t="shared" si="212"/>
        <v>Delayed</v>
      </c>
      <c r="N1531" s="27" t="str">
        <f t="shared" si="206"/>
        <v>LOT</v>
      </c>
      <c r="O1531" s="3" t="s">
        <v>1318</v>
      </c>
      <c r="P1531" s="20">
        <f t="shared" si="207"/>
        <v>17</v>
      </c>
      <c r="Q1531" s="3" t="s">
        <v>1318</v>
      </c>
      <c r="R1531" s="23" t="str">
        <f t="shared" si="208"/>
        <v>Saturday</v>
      </c>
      <c r="S1531" s="3" t="s">
        <v>1318</v>
      </c>
      <c r="T1531" s="23" t="s">
        <v>19</v>
      </c>
      <c r="U1531" s="3" t="s">
        <v>1318</v>
      </c>
    </row>
    <row r="1532" spans="1:21" x14ac:dyDescent="0.25">
      <c r="A1532" t="s">
        <v>446</v>
      </c>
      <c r="B1532" t="s">
        <v>85</v>
      </c>
      <c r="C1532" s="10">
        <v>-4</v>
      </c>
      <c r="D1532" t="s">
        <v>242</v>
      </c>
      <c r="E1532" s="2">
        <f t="shared" si="213"/>
        <v>46228</v>
      </c>
      <c r="F1532" s="3" t="e">
        <f t="shared" si="209"/>
        <v>#N/A</v>
      </c>
      <c r="G1532" t="s">
        <v>102</v>
      </c>
      <c r="H1532" t="s">
        <v>103</v>
      </c>
      <c r="I1532" t="s">
        <v>89</v>
      </c>
      <c r="J1532" s="2">
        <v>46228</v>
      </c>
      <c r="K1532" s="1">
        <v>0.69097222222222221</v>
      </c>
      <c r="L1532" s="10" t="e">
        <f t="shared" si="210"/>
        <v>#N/A</v>
      </c>
      <c r="M1532" s="1" t="e">
        <f t="shared" si="212"/>
        <v>#N/A</v>
      </c>
      <c r="N1532" s="27" t="str">
        <f t="shared" si="206"/>
        <v>Ryanair</v>
      </c>
      <c r="O1532" s="3" t="e">
        <v>#N/A</v>
      </c>
      <c r="P1532" s="20" t="e">
        <f t="shared" si="207"/>
        <v>#N/A</v>
      </c>
      <c r="Q1532" s="3" t="e">
        <v>#N/A</v>
      </c>
      <c r="R1532" s="23" t="str">
        <f t="shared" si="208"/>
        <v>Saturday</v>
      </c>
      <c r="S1532" s="3" t="e">
        <v>#N/A</v>
      </c>
      <c r="T1532" s="23" t="s">
        <v>85</v>
      </c>
    </row>
    <row r="1533" spans="1:21" x14ac:dyDescent="0.25">
      <c r="A1533" t="s">
        <v>159</v>
      </c>
      <c r="B1533" t="s">
        <v>85</v>
      </c>
      <c r="C1533" s="10">
        <v>-14</v>
      </c>
      <c r="D1533" t="s">
        <v>872</v>
      </c>
      <c r="E1533" s="2">
        <f t="shared" si="213"/>
        <v>46228</v>
      </c>
      <c r="F1533" s="3">
        <f t="shared" si="209"/>
        <v>0.7006944444444444</v>
      </c>
      <c r="G1533" t="s">
        <v>34</v>
      </c>
      <c r="H1533" t="s">
        <v>161</v>
      </c>
      <c r="I1533" t="s">
        <v>89</v>
      </c>
      <c r="J1533" s="2">
        <v>46228</v>
      </c>
      <c r="K1533" s="1">
        <v>0.70486111111111116</v>
      </c>
      <c r="L1533" s="10">
        <f t="shared" si="210"/>
        <v>6.0000000000001386</v>
      </c>
      <c r="M1533" s="1" t="str">
        <f t="shared" si="212"/>
        <v>On Time</v>
      </c>
      <c r="N1533" s="27" t="str">
        <f t="shared" si="206"/>
        <v>Ryanair</v>
      </c>
      <c r="O1533" s="3" t="s">
        <v>1385</v>
      </c>
      <c r="P1533" s="20">
        <f t="shared" si="207"/>
        <v>16</v>
      </c>
      <c r="Q1533" s="3" t="s">
        <v>1385</v>
      </c>
      <c r="R1533" s="23" t="str">
        <f t="shared" si="208"/>
        <v>Saturday</v>
      </c>
      <c r="S1533" s="3" t="s">
        <v>1385</v>
      </c>
      <c r="T1533" s="23" t="s">
        <v>85</v>
      </c>
      <c r="U1533" s="3" t="s">
        <v>1385</v>
      </c>
    </row>
    <row r="1534" spans="1:21" x14ac:dyDescent="0.25">
      <c r="A1534" t="s">
        <v>196</v>
      </c>
      <c r="B1534" t="s">
        <v>13</v>
      </c>
      <c r="C1534" s="10">
        <v>0</v>
      </c>
      <c r="D1534" t="s">
        <v>1299</v>
      </c>
      <c r="E1534" s="2">
        <f t="shared" si="213"/>
        <v>46228</v>
      </c>
      <c r="F1534" s="3">
        <f t="shared" si="209"/>
        <v>0.69652777777777775</v>
      </c>
      <c r="G1534" t="s">
        <v>198</v>
      </c>
      <c r="H1534" t="s">
        <v>199</v>
      </c>
      <c r="I1534" t="s">
        <v>210</v>
      </c>
      <c r="J1534" s="2">
        <v>46228</v>
      </c>
      <c r="K1534" s="1">
        <v>0.70833333333333337</v>
      </c>
      <c r="L1534" s="10">
        <f t="shared" si="210"/>
        <v>17.000000000000099</v>
      </c>
      <c r="M1534" s="1" t="str">
        <f t="shared" si="212"/>
        <v>On Time</v>
      </c>
      <c r="N1534" s="27" t="str">
        <f t="shared" si="206"/>
        <v>Wizz Air</v>
      </c>
      <c r="O1534" s="3" t="s">
        <v>1385</v>
      </c>
      <c r="P1534" s="20">
        <f t="shared" si="207"/>
        <v>16</v>
      </c>
      <c r="Q1534" s="3" t="s">
        <v>1385</v>
      </c>
      <c r="R1534" s="23" t="str">
        <f t="shared" si="208"/>
        <v>Saturday</v>
      </c>
      <c r="S1534" s="3" t="s">
        <v>1385</v>
      </c>
      <c r="T1534" s="23" t="s">
        <v>13</v>
      </c>
      <c r="U1534" s="3" t="s">
        <v>1385</v>
      </c>
    </row>
    <row r="1535" spans="1:21" x14ac:dyDescent="0.25">
      <c r="A1535" t="s">
        <v>182</v>
      </c>
      <c r="B1535" t="s">
        <v>69</v>
      </c>
      <c r="C1535" s="10">
        <v>-9</v>
      </c>
      <c r="D1535" t="s">
        <v>1197</v>
      </c>
      <c r="E1535" s="2">
        <f t="shared" si="213"/>
        <v>46228</v>
      </c>
      <c r="F1535" s="3">
        <f t="shared" si="209"/>
        <v>0.74652777777777779</v>
      </c>
      <c r="G1535" t="s">
        <v>71</v>
      </c>
      <c r="H1535" t="s">
        <v>72</v>
      </c>
      <c r="I1535" t="s">
        <v>73</v>
      </c>
      <c r="J1535" s="2">
        <v>46228</v>
      </c>
      <c r="K1535" s="1">
        <v>0.74652777777777779</v>
      </c>
      <c r="L1535" s="10">
        <f t="shared" si="210"/>
        <v>0</v>
      </c>
      <c r="M1535" s="1" t="str">
        <f t="shared" si="212"/>
        <v>On Time</v>
      </c>
      <c r="N1535" s="27" t="str">
        <f t="shared" si="206"/>
        <v>Finnair</v>
      </c>
      <c r="O1535" s="3" t="s">
        <v>1385</v>
      </c>
      <c r="P1535" s="20">
        <f t="shared" si="207"/>
        <v>17</v>
      </c>
      <c r="Q1535" s="3" t="s">
        <v>1385</v>
      </c>
      <c r="R1535" s="23" t="str">
        <f t="shared" si="208"/>
        <v>Saturday</v>
      </c>
      <c r="S1535" s="3" t="s">
        <v>1385</v>
      </c>
      <c r="T1535" s="23" t="s">
        <v>69</v>
      </c>
      <c r="U1535" s="3" t="s">
        <v>1385</v>
      </c>
    </row>
    <row r="1536" spans="1:21" x14ac:dyDescent="0.25">
      <c r="A1536" t="s">
        <v>200</v>
      </c>
      <c r="B1536" t="s">
        <v>13</v>
      </c>
      <c r="C1536" s="10">
        <v>-19</v>
      </c>
      <c r="D1536" t="s">
        <v>669</v>
      </c>
      <c r="E1536" s="2">
        <f t="shared" si="213"/>
        <v>46228</v>
      </c>
      <c r="F1536" s="3">
        <f t="shared" si="209"/>
        <v>0.7583333333333333</v>
      </c>
      <c r="G1536" t="s">
        <v>202</v>
      </c>
      <c r="H1536" t="s">
        <v>203</v>
      </c>
      <c r="I1536" t="s">
        <v>17</v>
      </c>
      <c r="J1536" s="2">
        <v>46228</v>
      </c>
      <c r="K1536" s="1">
        <v>0.75347222222222221</v>
      </c>
      <c r="L1536" s="10">
        <f t="shared" si="210"/>
        <v>-6.9999999999999751</v>
      </c>
      <c r="M1536" s="1" t="str">
        <f t="shared" si="212"/>
        <v>On Time</v>
      </c>
      <c r="N1536" s="27" t="str">
        <f t="shared" si="206"/>
        <v>Wizz Air</v>
      </c>
      <c r="O1536" s="3" t="s">
        <v>1385</v>
      </c>
      <c r="P1536" s="20">
        <f t="shared" si="207"/>
        <v>18</v>
      </c>
      <c r="Q1536" s="3" t="s">
        <v>1385</v>
      </c>
      <c r="R1536" s="23" t="str">
        <f t="shared" si="208"/>
        <v>Saturday</v>
      </c>
      <c r="S1536" s="3" t="s">
        <v>1385</v>
      </c>
      <c r="T1536" s="23" t="s">
        <v>13</v>
      </c>
      <c r="U1536" s="3" t="s">
        <v>1385</v>
      </c>
    </row>
    <row r="1537" spans="1:21" x14ac:dyDescent="0.25">
      <c r="A1537" t="s">
        <v>186</v>
      </c>
      <c r="B1537" t="s">
        <v>19</v>
      </c>
      <c r="C1537" s="10">
        <v>-16</v>
      </c>
      <c r="D1537" t="s">
        <v>1300</v>
      </c>
      <c r="E1537" s="2">
        <f t="shared" si="213"/>
        <v>46228</v>
      </c>
      <c r="F1537" s="3">
        <f t="shared" si="209"/>
        <v>0.7715277777777777</v>
      </c>
      <c r="G1537" t="s">
        <v>21</v>
      </c>
      <c r="H1537" t="s">
        <v>22</v>
      </c>
      <c r="I1537" t="s">
        <v>143</v>
      </c>
      <c r="J1537" s="2">
        <v>46228</v>
      </c>
      <c r="K1537" s="1">
        <v>0.77430555555555547</v>
      </c>
      <c r="L1537" s="10">
        <f t="shared" si="210"/>
        <v>3.9999999999999858</v>
      </c>
      <c r="M1537" s="1" t="str">
        <f t="shared" si="212"/>
        <v>On Time</v>
      </c>
      <c r="N1537" s="27" t="str">
        <f t="shared" si="206"/>
        <v>LOT</v>
      </c>
      <c r="O1537" s="3" t="s">
        <v>1385</v>
      </c>
      <c r="P1537" s="20">
        <f t="shared" si="207"/>
        <v>18</v>
      </c>
      <c r="Q1537" s="3" t="s">
        <v>1385</v>
      </c>
      <c r="R1537" s="23" t="str">
        <f t="shared" si="208"/>
        <v>Saturday</v>
      </c>
      <c r="S1537" s="3" t="s">
        <v>1385</v>
      </c>
      <c r="T1537" s="23" t="s">
        <v>19</v>
      </c>
      <c r="U1537" s="3" t="s">
        <v>1385</v>
      </c>
    </row>
    <row r="1538" spans="1:21" x14ac:dyDescent="0.25">
      <c r="A1538" t="s">
        <v>208</v>
      </c>
      <c r="B1538" t="s">
        <v>96</v>
      </c>
      <c r="C1538" s="10">
        <v>-66</v>
      </c>
      <c r="D1538" t="s">
        <v>1301</v>
      </c>
      <c r="E1538" s="2">
        <f t="shared" si="213"/>
        <v>46228</v>
      </c>
      <c r="F1538" s="3">
        <f t="shared" si="209"/>
        <v>0.83958333333333324</v>
      </c>
      <c r="G1538" t="s">
        <v>98</v>
      </c>
      <c r="H1538" t="s">
        <v>99</v>
      </c>
      <c r="I1538" t="s">
        <v>305</v>
      </c>
      <c r="J1538" s="2">
        <v>46228</v>
      </c>
      <c r="K1538" s="1">
        <v>0.8125</v>
      </c>
      <c r="L1538" s="10">
        <f t="shared" ref="L1538:L1552" si="214">IF(J1538&gt;E1538,(K1538+1-F1538)*1440,IF(J1538&lt;E1538,-(F1538+1-K1538)*1440,(K1538-F1538)*1440))</f>
        <v>-38.999999999999858</v>
      </c>
      <c r="M1538" s="1" t="str">
        <f t="shared" si="212"/>
        <v>Delayed</v>
      </c>
      <c r="N1538" s="27" t="str">
        <f t="shared" ref="N1538:N1553" si="215">IF(COUNTIFS($B$2:$B$1553,B1538,$M$2:$M$1553,"&lt;&gt;#N/A")&gt;=30,B1538,NA())</f>
        <v>Turkish Airlines</v>
      </c>
      <c r="O1538" s="3" t="s">
        <v>1318</v>
      </c>
      <c r="P1538" s="20">
        <f t="shared" ref="P1538:P1553" si="216">HOUR(F1538)</f>
        <v>20</v>
      </c>
      <c r="Q1538" s="3" t="s">
        <v>1318</v>
      </c>
      <c r="R1538" s="23" t="str">
        <f t="shared" ref="R1538:R1553" si="217">TEXT(E1538, "dddd")</f>
        <v>Saturday</v>
      </c>
      <c r="S1538" s="3" t="s">
        <v>1318</v>
      </c>
      <c r="T1538" s="23" t="s">
        <v>96</v>
      </c>
      <c r="U1538" s="3" t="s">
        <v>1318</v>
      </c>
    </row>
    <row r="1539" spans="1:21" x14ac:dyDescent="0.25">
      <c r="A1539" t="s">
        <v>1302</v>
      </c>
      <c r="B1539" t="s">
        <v>124</v>
      </c>
      <c r="C1539" s="10">
        <v>-55</v>
      </c>
      <c r="D1539" t="s">
        <v>951</v>
      </c>
      <c r="E1539" s="2">
        <f t="shared" si="213"/>
        <v>46228</v>
      </c>
      <c r="F1539" s="3">
        <f t="shared" ref="F1539:F1553" si="218">IF(ISNUMBER(SEARCH("Landed", D1539)), TIMEVALUE(_xlfn.TEXTAFTER(D1539, " ")), NA())</f>
        <v>0.84166666666666667</v>
      </c>
      <c r="G1539" t="s">
        <v>129</v>
      </c>
      <c r="H1539" t="s">
        <v>130</v>
      </c>
      <c r="I1539" t="s">
        <v>67</v>
      </c>
      <c r="J1539" s="2">
        <v>46228</v>
      </c>
      <c r="K1539" s="1">
        <v>0.81319444444444444</v>
      </c>
      <c r="L1539" s="10">
        <f t="shared" si="214"/>
        <v>-41.000000000000014</v>
      </c>
      <c r="M1539" s="1" t="str">
        <f t="shared" si="212"/>
        <v>Delayed</v>
      </c>
      <c r="N1539" s="27" t="str">
        <f t="shared" si="215"/>
        <v>GetJet Airlines</v>
      </c>
      <c r="O1539" s="3" t="s">
        <v>1318</v>
      </c>
      <c r="P1539" s="20">
        <f t="shared" si="216"/>
        <v>20</v>
      </c>
      <c r="Q1539" s="3" t="s">
        <v>1318</v>
      </c>
      <c r="R1539" s="23" t="str">
        <f t="shared" si="217"/>
        <v>Saturday</v>
      </c>
      <c r="S1539" s="3" t="s">
        <v>1318</v>
      </c>
      <c r="T1539" s="23" t="s">
        <v>124</v>
      </c>
      <c r="U1539" s="3" t="s">
        <v>1318</v>
      </c>
    </row>
    <row r="1540" spans="1:21" x14ac:dyDescent="0.25">
      <c r="A1540" t="s">
        <v>211</v>
      </c>
      <c r="B1540" t="s">
        <v>7</v>
      </c>
      <c r="C1540" s="10">
        <v>-8</v>
      </c>
      <c r="D1540" t="s">
        <v>531</v>
      </c>
      <c r="E1540" s="2">
        <f t="shared" si="213"/>
        <v>46228</v>
      </c>
      <c r="F1540" s="3">
        <f t="shared" si="218"/>
        <v>0.81527777777777777</v>
      </c>
      <c r="G1540" t="s">
        <v>135</v>
      </c>
      <c r="H1540" t="s">
        <v>136</v>
      </c>
      <c r="I1540" t="s">
        <v>11</v>
      </c>
      <c r="J1540" s="2">
        <v>46228</v>
      </c>
      <c r="K1540" s="1">
        <v>0.82638888888888884</v>
      </c>
      <c r="L1540" s="10">
        <f t="shared" si="214"/>
        <v>15.999999999999943</v>
      </c>
      <c r="M1540" s="1" t="str">
        <f t="shared" si="212"/>
        <v>On Time</v>
      </c>
      <c r="N1540" s="27" t="str">
        <f t="shared" si="215"/>
        <v>airBaltic</v>
      </c>
      <c r="O1540" s="3" t="s">
        <v>1385</v>
      </c>
      <c r="P1540" s="20">
        <f t="shared" si="216"/>
        <v>19</v>
      </c>
      <c r="Q1540" s="3" t="s">
        <v>1385</v>
      </c>
      <c r="R1540" s="23" t="str">
        <f t="shared" si="217"/>
        <v>Saturday</v>
      </c>
      <c r="S1540" s="3" t="s">
        <v>1385</v>
      </c>
      <c r="T1540" s="23" t="s">
        <v>7</v>
      </c>
      <c r="U1540" s="3" t="s">
        <v>1385</v>
      </c>
    </row>
    <row r="1541" spans="1:21" x14ac:dyDescent="0.25">
      <c r="A1541" t="s">
        <v>215</v>
      </c>
      <c r="B1541" t="s">
        <v>13</v>
      </c>
      <c r="C1541" s="10">
        <v>-13</v>
      </c>
      <c r="D1541" t="s">
        <v>1303</v>
      </c>
      <c r="E1541" s="2">
        <f t="shared" si="213"/>
        <v>46228</v>
      </c>
      <c r="F1541" s="3">
        <f t="shared" si="218"/>
        <v>0.8340277777777777</v>
      </c>
      <c r="G1541" t="s">
        <v>217</v>
      </c>
      <c r="H1541" t="s">
        <v>218</v>
      </c>
      <c r="I1541" t="s">
        <v>17</v>
      </c>
      <c r="J1541" s="2">
        <v>46228</v>
      </c>
      <c r="K1541" s="1">
        <v>0.84375</v>
      </c>
      <c r="L1541" s="10">
        <f t="shared" si="214"/>
        <v>14.00000000000011</v>
      </c>
      <c r="M1541" s="1" t="str">
        <f t="shared" si="212"/>
        <v>On Time</v>
      </c>
      <c r="N1541" s="27" t="str">
        <f t="shared" si="215"/>
        <v>Wizz Air</v>
      </c>
      <c r="O1541" s="3" t="s">
        <v>1385</v>
      </c>
      <c r="P1541" s="20">
        <f t="shared" si="216"/>
        <v>20</v>
      </c>
      <c r="Q1541" s="3" t="s">
        <v>1385</v>
      </c>
      <c r="R1541" s="23" t="str">
        <f t="shared" si="217"/>
        <v>Saturday</v>
      </c>
      <c r="S1541" s="3" t="s">
        <v>1385</v>
      </c>
      <c r="T1541" s="23" t="s">
        <v>13</v>
      </c>
      <c r="U1541" s="3" t="s">
        <v>1385</v>
      </c>
    </row>
    <row r="1542" spans="1:21" x14ac:dyDescent="0.25">
      <c r="A1542" t="s">
        <v>123</v>
      </c>
      <c r="B1542" t="s">
        <v>1304</v>
      </c>
      <c r="D1542" t="s">
        <v>1305</v>
      </c>
      <c r="E1542" s="2">
        <f t="shared" si="213"/>
        <v>46228</v>
      </c>
      <c r="F1542" s="3">
        <f t="shared" si="218"/>
        <v>0.85416666666666663</v>
      </c>
      <c r="G1542" t="s">
        <v>1306</v>
      </c>
      <c r="H1542" t="s">
        <v>1307</v>
      </c>
      <c r="I1542" t="s">
        <v>1308</v>
      </c>
      <c r="J1542" s="2">
        <v>46228</v>
      </c>
      <c r="K1542" s="1">
        <v>0.84513888888888899</v>
      </c>
      <c r="L1542" s="10">
        <f t="shared" si="214"/>
        <v>-12.999999999999794</v>
      </c>
      <c r="M1542" s="1" t="str">
        <f t="shared" si="212"/>
        <v>On Time</v>
      </c>
      <c r="N1542" s="27" t="e">
        <f t="shared" si="215"/>
        <v>#N/A</v>
      </c>
      <c r="O1542" s="3" t="s">
        <v>1385</v>
      </c>
      <c r="P1542" s="20">
        <f t="shared" si="216"/>
        <v>20</v>
      </c>
      <c r="Q1542" s="3" t="s">
        <v>1385</v>
      </c>
      <c r="R1542" s="23" t="str">
        <f t="shared" si="217"/>
        <v>Saturday</v>
      </c>
      <c r="S1542" s="3" t="s">
        <v>1385</v>
      </c>
      <c r="T1542" s="23" t="s">
        <v>1304</v>
      </c>
      <c r="U1542" s="3" t="s">
        <v>1385</v>
      </c>
    </row>
    <row r="1543" spans="1:21" x14ac:dyDescent="0.25">
      <c r="A1543" t="s">
        <v>219</v>
      </c>
      <c r="B1543" t="s">
        <v>7</v>
      </c>
      <c r="C1543" s="10">
        <v>-175</v>
      </c>
      <c r="D1543" t="s">
        <v>539</v>
      </c>
      <c r="E1543" s="2">
        <f t="shared" si="213"/>
        <v>46228</v>
      </c>
      <c r="F1543" s="3">
        <f t="shared" si="218"/>
        <v>0.9770833333333333</v>
      </c>
      <c r="G1543" t="s">
        <v>9</v>
      </c>
      <c r="H1543" t="s">
        <v>10</v>
      </c>
      <c r="I1543" t="s">
        <v>11</v>
      </c>
      <c r="J1543" s="2">
        <v>46228</v>
      </c>
      <c r="K1543" s="1">
        <v>0.86805555555555547</v>
      </c>
      <c r="L1543" s="10">
        <f t="shared" si="214"/>
        <v>-157.00000000000009</v>
      </c>
      <c r="M1543" s="1" t="str">
        <f t="shared" si="212"/>
        <v>Delayed</v>
      </c>
      <c r="N1543" s="27" t="str">
        <f t="shared" si="215"/>
        <v>airBaltic</v>
      </c>
      <c r="O1543" s="3" t="s">
        <v>1318</v>
      </c>
      <c r="P1543" s="20">
        <f t="shared" si="216"/>
        <v>23</v>
      </c>
      <c r="Q1543" s="3" t="s">
        <v>1318</v>
      </c>
      <c r="R1543" s="23" t="str">
        <f t="shared" si="217"/>
        <v>Saturday</v>
      </c>
      <c r="S1543" s="3" t="s">
        <v>1318</v>
      </c>
      <c r="T1543" s="23" t="s">
        <v>7</v>
      </c>
      <c r="U1543" s="3" t="s">
        <v>1318</v>
      </c>
    </row>
    <row r="1544" spans="1:21" x14ac:dyDescent="0.25">
      <c r="A1544" t="s">
        <v>228</v>
      </c>
      <c r="B1544" t="s">
        <v>69</v>
      </c>
      <c r="C1544" s="10">
        <v>0</v>
      </c>
      <c r="D1544" t="s">
        <v>1309</v>
      </c>
      <c r="E1544" s="2">
        <f t="shared" si="213"/>
        <v>46228</v>
      </c>
      <c r="F1544" s="3">
        <f t="shared" si="218"/>
        <v>0.87430555555555556</v>
      </c>
      <c r="G1544" t="s">
        <v>71</v>
      </c>
      <c r="H1544" t="s">
        <v>72</v>
      </c>
      <c r="I1544" t="s">
        <v>73</v>
      </c>
      <c r="J1544" s="2">
        <v>46228</v>
      </c>
      <c r="K1544" s="1">
        <v>0.88194444444444453</v>
      </c>
      <c r="L1544" s="10">
        <f t="shared" si="214"/>
        <v>11.000000000000121</v>
      </c>
      <c r="M1544" s="1" t="str">
        <f t="shared" si="212"/>
        <v>On Time</v>
      </c>
      <c r="N1544" s="27" t="str">
        <f t="shared" si="215"/>
        <v>Finnair</v>
      </c>
      <c r="O1544" s="3" t="s">
        <v>1385</v>
      </c>
      <c r="P1544" s="20">
        <f t="shared" si="216"/>
        <v>20</v>
      </c>
      <c r="Q1544" s="3" t="s">
        <v>1385</v>
      </c>
      <c r="R1544" s="23" t="str">
        <f t="shared" si="217"/>
        <v>Saturday</v>
      </c>
      <c r="S1544" s="3" t="s">
        <v>1385</v>
      </c>
      <c r="T1544" s="23" t="s">
        <v>69</v>
      </c>
      <c r="U1544" s="3" t="s">
        <v>1385</v>
      </c>
    </row>
    <row r="1545" spans="1:21" x14ac:dyDescent="0.25">
      <c r="A1545" t="s">
        <v>457</v>
      </c>
      <c r="B1545" t="s">
        <v>117</v>
      </c>
      <c r="D1545" t="s">
        <v>679</v>
      </c>
      <c r="E1545" s="2">
        <f t="shared" si="213"/>
        <v>46228</v>
      </c>
      <c r="F1545" s="3">
        <f t="shared" si="218"/>
        <v>0.8930555555555556</v>
      </c>
      <c r="G1545" t="s">
        <v>247</v>
      </c>
      <c r="H1545" t="s">
        <v>248</v>
      </c>
      <c r="I1545" t="s">
        <v>67</v>
      </c>
      <c r="J1545" s="2">
        <v>46228</v>
      </c>
      <c r="K1545" s="1">
        <v>0.88680555555555562</v>
      </c>
      <c r="L1545" s="10">
        <f t="shared" si="214"/>
        <v>-8.999999999999968</v>
      </c>
      <c r="M1545" s="1" t="str">
        <f t="shared" si="212"/>
        <v>On Time</v>
      </c>
      <c r="N1545" s="27" t="str">
        <f t="shared" si="215"/>
        <v>Heston Airlines</v>
      </c>
      <c r="O1545" s="3" t="s">
        <v>1385</v>
      </c>
      <c r="P1545" s="20">
        <f t="shared" si="216"/>
        <v>21</v>
      </c>
      <c r="Q1545" s="3" t="s">
        <v>1385</v>
      </c>
      <c r="R1545" s="23" t="str">
        <f t="shared" si="217"/>
        <v>Saturday</v>
      </c>
      <c r="S1545" s="3" t="s">
        <v>1385</v>
      </c>
      <c r="T1545" s="23" t="s">
        <v>117</v>
      </c>
      <c r="U1545" s="3" t="s">
        <v>1385</v>
      </c>
    </row>
    <row r="1546" spans="1:21" x14ac:dyDescent="0.25">
      <c r="A1546" t="s">
        <v>62</v>
      </c>
      <c r="B1546" t="s">
        <v>85</v>
      </c>
      <c r="C1546" s="10">
        <v>-10</v>
      </c>
      <c r="D1546" t="s">
        <v>841</v>
      </c>
      <c r="E1546" s="2">
        <f t="shared" si="213"/>
        <v>46228</v>
      </c>
      <c r="F1546" s="3">
        <f t="shared" si="218"/>
        <v>0.89513888888888893</v>
      </c>
      <c r="G1546" t="s">
        <v>65</v>
      </c>
      <c r="H1546" t="s">
        <v>66</v>
      </c>
      <c r="I1546" t="s">
        <v>89</v>
      </c>
      <c r="J1546" s="2">
        <v>46228</v>
      </c>
      <c r="K1546" s="1">
        <v>0.90972222222222221</v>
      </c>
      <c r="L1546" s="10">
        <f t="shared" si="214"/>
        <v>20.999999999999925</v>
      </c>
      <c r="M1546" s="1" t="str">
        <f t="shared" si="212"/>
        <v>On Time</v>
      </c>
      <c r="N1546" s="27" t="str">
        <f t="shared" si="215"/>
        <v>Ryanair</v>
      </c>
      <c r="O1546" s="3" t="s">
        <v>1385</v>
      </c>
      <c r="P1546" s="20">
        <f t="shared" si="216"/>
        <v>21</v>
      </c>
      <c r="Q1546" s="3" t="s">
        <v>1385</v>
      </c>
      <c r="R1546" s="23" t="str">
        <f t="shared" si="217"/>
        <v>Saturday</v>
      </c>
      <c r="S1546" s="3" t="s">
        <v>1385</v>
      </c>
      <c r="T1546" s="23" t="s">
        <v>85</v>
      </c>
      <c r="U1546" s="3" t="s">
        <v>1385</v>
      </c>
    </row>
    <row r="1547" spans="1:21" x14ac:dyDescent="0.25">
      <c r="A1547" t="s">
        <v>104</v>
      </c>
      <c r="B1547" t="s">
        <v>85</v>
      </c>
      <c r="C1547" s="10">
        <v>-43</v>
      </c>
      <c r="D1547" t="s">
        <v>1310</v>
      </c>
      <c r="E1547" s="2">
        <f t="shared" si="213"/>
        <v>46228</v>
      </c>
      <c r="F1547" s="3">
        <f t="shared" si="218"/>
        <v>0.93125000000000002</v>
      </c>
      <c r="G1547" t="s">
        <v>106</v>
      </c>
      <c r="H1547" t="s">
        <v>107</v>
      </c>
      <c r="I1547" t="s">
        <v>89</v>
      </c>
      <c r="J1547" s="2">
        <v>46228</v>
      </c>
      <c r="K1547" s="1">
        <v>0.91319444444444453</v>
      </c>
      <c r="L1547" s="10">
        <f t="shared" si="214"/>
        <v>-25.999999999999908</v>
      </c>
      <c r="M1547" s="1" t="str">
        <f t="shared" si="212"/>
        <v>Delayed</v>
      </c>
      <c r="N1547" s="27" t="str">
        <f t="shared" si="215"/>
        <v>Ryanair</v>
      </c>
      <c r="O1547" s="3" t="s">
        <v>1318</v>
      </c>
      <c r="P1547" s="20">
        <f t="shared" si="216"/>
        <v>22</v>
      </c>
      <c r="Q1547" s="3" t="s">
        <v>1318</v>
      </c>
      <c r="R1547" s="23" t="str">
        <f t="shared" si="217"/>
        <v>Saturday</v>
      </c>
      <c r="S1547" s="3" t="s">
        <v>1318</v>
      </c>
      <c r="T1547" s="23" t="s">
        <v>85</v>
      </c>
      <c r="U1547" s="3" t="s">
        <v>1318</v>
      </c>
    </row>
    <row r="1548" spans="1:21" x14ac:dyDescent="0.25">
      <c r="A1548" t="s">
        <v>245</v>
      </c>
      <c r="B1548" t="s">
        <v>124</v>
      </c>
      <c r="D1548" t="s">
        <v>984</v>
      </c>
      <c r="E1548" s="2">
        <f t="shared" si="213"/>
        <v>46228</v>
      </c>
      <c r="F1548" s="3">
        <f t="shared" si="218"/>
        <v>0.9472222222222223</v>
      </c>
      <c r="G1548" t="s">
        <v>247</v>
      </c>
      <c r="H1548" t="s">
        <v>248</v>
      </c>
      <c r="I1548" t="s">
        <v>249</v>
      </c>
      <c r="J1548" s="2">
        <v>46228</v>
      </c>
      <c r="K1548" s="1">
        <v>0.92291666666666661</v>
      </c>
      <c r="L1548" s="10">
        <f t="shared" si="214"/>
        <v>-35.000000000000199</v>
      </c>
      <c r="M1548" s="1" t="str">
        <f t="shared" si="212"/>
        <v>Delayed</v>
      </c>
      <c r="N1548" s="27" t="str">
        <f t="shared" si="215"/>
        <v>GetJet Airlines</v>
      </c>
      <c r="O1548" s="3" t="s">
        <v>1318</v>
      </c>
      <c r="P1548" s="20">
        <f t="shared" si="216"/>
        <v>22</v>
      </c>
      <c r="Q1548" s="3" t="s">
        <v>1318</v>
      </c>
      <c r="R1548" s="23" t="str">
        <f t="shared" si="217"/>
        <v>Saturday</v>
      </c>
      <c r="S1548" s="3" t="s">
        <v>1318</v>
      </c>
      <c r="T1548" s="23" t="s">
        <v>124</v>
      </c>
      <c r="U1548" s="3" t="s">
        <v>1318</v>
      </c>
    </row>
    <row r="1549" spans="1:21" x14ac:dyDescent="0.25">
      <c r="A1549" t="s">
        <v>463</v>
      </c>
      <c r="B1549" t="s">
        <v>239</v>
      </c>
      <c r="D1549" t="s">
        <v>624</v>
      </c>
      <c r="E1549" s="2">
        <f t="shared" si="213"/>
        <v>46228</v>
      </c>
      <c r="F1549" s="3">
        <f t="shared" si="218"/>
        <v>0.93333333333333324</v>
      </c>
      <c r="G1549" t="s">
        <v>247</v>
      </c>
      <c r="H1549" t="s">
        <v>248</v>
      </c>
      <c r="I1549" t="s">
        <v>83</v>
      </c>
      <c r="J1549" s="2">
        <v>46228</v>
      </c>
      <c r="K1549" s="1">
        <v>0.92361111111111116</v>
      </c>
      <c r="L1549" s="10">
        <f t="shared" si="214"/>
        <v>-13.99999999999979</v>
      </c>
      <c r="M1549" s="1" t="str">
        <f t="shared" si="212"/>
        <v>On Time</v>
      </c>
      <c r="N1549" s="27" t="str">
        <f t="shared" si="215"/>
        <v>Eurowings</v>
      </c>
      <c r="O1549" s="3" t="s">
        <v>1385</v>
      </c>
      <c r="P1549" s="20">
        <f t="shared" si="216"/>
        <v>22</v>
      </c>
      <c r="Q1549" s="3" t="s">
        <v>1385</v>
      </c>
      <c r="R1549" s="23" t="str">
        <f t="shared" si="217"/>
        <v>Saturday</v>
      </c>
      <c r="S1549" s="3" t="s">
        <v>1385</v>
      </c>
      <c r="T1549" s="23" t="s">
        <v>239</v>
      </c>
      <c r="U1549" s="3" t="s">
        <v>1385</v>
      </c>
    </row>
    <row r="1550" spans="1:21" x14ac:dyDescent="0.25">
      <c r="A1550" t="s">
        <v>123</v>
      </c>
      <c r="B1550" t="s">
        <v>124</v>
      </c>
      <c r="D1550" t="s">
        <v>1311</v>
      </c>
      <c r="E1550" s="2">
        <f t="shared" si="213"/>
        <v>46228</v>
      </c>
      <c r="F1550" s="3">
        <f t="shared" si="218"/>
        <v>0.95694444444444438</v>
      </c>
      <c r="G1550" t="s">
        <v>466</v>
      </c>
      <c r="H1550" t="s">
        <v>467</v>
      </c>
      <c r="I1550" t="s">
        <v>126</v>
      </c>
      <c r="J1550" s="2">
        <v>46228</v>
      </c>
      <c r="K1550" s="1">
        <v>0.96319444444444446</v>
      </c>
      <c r="L1550" s="10">
        <f t="shared" si="214"/>
        <v>9.0000000000001279</v>
      </c>
      <c r="M1550" s="1" t="str">
        <f t="shared" si="212"/>
        <v>On Time</v>
      </c>
      <c r="N1550" s="27" t="str">
        <f t="shared" si="215"/>
        <v>GetJet Airlines</v>
      </c>
      <c r="O1550" s="3" t="s">
        <v>1385</v>
      </c>
      <c r="P1550" s="20">
        <f t="shared" si="216"/>
        <v>22</v>
      </c>
      <c r="Q1550" s="3" t="s">
        <v>1385</v>
      </c>
      <c r="R1550" s="23" t="str">
        <f t="shared" si="217"/>
        <v>Saturday</v>
      </c>
      <c r="S1550" s="3" t="s">
        <v>1385</v>
      </c>
      <c r="T1550" s="23" t="s">
        <v>124</v>
      </c>
      <c r="U1550" s="3" t="s">
        <v>1385</v>
      </c>
    </row>
    <row r="1551" spans="1:21" x14ac:dyDescent="0.25">
      <c r="A1551" t="s">
        <v>387</v>
      </c>
      <c r="B1551" t="s">
        <v>388</v>
      </c>
      <c r="C1551" s="10">
        <v>-24</v>
      </c>
      <c r="D1551" t="s">
        <v>547</v>
      </c>
      <c r="E1551" s="2">
        <f t="shared" si="213"/>
        <v>46228</v>
      </c>
      <c r="F1551" s="3">
        <f t="shared" si="218"/>
        <v>0.97222222222222221</v>
      </c>
      <c r="G1551" t="s">
        <v>119</v>
      </c>
      <c r="H1551" t="s">
        <v>120</v>
      </c>
      <c r="I1551" t="s">
        <v>390</v>
      </c>
      <c r="J1551" s="2">
        <v>46228</v>
      </c>
      <c r="K1551" s="1">
        <v>0.96875</v>
      </c>
      <c r="L1551" s="10">
        <f t="shared" si="214"/>
        <v>-4.9999999999999822</v>
      </c>
      <c r="M1551" s="1" t="str">
        <f t="shared" si="212"/>
        <v>On Time</v>
      </c>
      <c r="N1551" s="27" t="e">
        <f t="shared" si="215"/>
        <v>#N/A</v>
      </c>
      <c r="O1551" s="3" t="s">
        <v>1385</v>
      </c>
      <c r="P1551" s="20">
        <f t="shared" si="216"/>
        <v>23</v>
      </c>
      <c r="Q1551" s="3" t="s">
        <v>1385</v>
      </c>
      <c r="R1551" s="23" t="str">
        <f t="shared" si="217"/>
        <v>Saturday</v>
      </c>
      <c r="S1551" s="3" t="s">
        <v>1385</v>
      </c>
      <c r="T1551" s="23" t="s">
        <v>388</v>
      </c>
      <c r="U1551" s="3" t="s">
        <v>1385</v>
      </c>
    </row>
    <row r="1552" spans="1:21" x14ac:dyDescent="0.25">
      <c r="A1552" t="s">
        <v>258</v>
      </c>
      <c r="B1552" t="s">
        <v>190</v>
      </c>
      <c r="C1552" s="10">
        <v>-29</v>
      </c>
      <c r="D1552" t="s">
        <v>1110</v>
      </c>
      <c r="E1552" s="2">
        <f t="shared" si="213"/>
        <v>46228</v>
      </c>
      <c r="F1552" s="3">
        <f t="shared" si="218"/>
        <v>0.99375000000000002</v>
      </c>
      <c r="G1552" t="s">
        <v>110</v>
      </c>
      <c r="H1552" t="s">
        <v>111</v>
      </c>
      <c r="I1552" t="s">
        <v>67</v>
      </c>
      <c r="J1552" s="2">
        <v>46228</v>
      </c>
      <c r="K1552" s="1">
        <v>0.98958333333333337</v>
      </c>
      <c r="L1552" s="10">
        <f t="shared" si="214"/>
        <v>-5.9999999999999787</v>
      </c>
      <c r="M1552" s="1" t="str">
        <f t="shared" si="212"/>
        <v>On Time</v>
      </c>
      <c r="N1552" s="27" t="str">
        <f t="shared" si="215"/>
        <v>Lufthansa</v>
      </c>
      <c r="O1552" s="3" t="s">
        <v>1385</v>
      </c>
      <c r="P1552" s="20">
        <f t="shared" si="216"/>
        <v>23</v>
      </c>
      <c r="Q1552" s="3" t="s">
        <v>1385</v>
      </c>
      <c r="R1552" s="23" t="str">
        <f t="shared" si="217"/>
        <v>Saturday</v>
      </c>
      <c r="S1552" s="3" t="s">
        <v>1385</v>
      </c>
      <c r="T1552" s="23" t="s">
        <v>190</v>
      </c>
      <c r="U1552" s="3" t="s">
        <v>1385</v>
      </c>
    </row>
    <row r="1553" spans="1:21" x14ac:dyDescent="0.25">
      <c r="A1553" t="s">
        <v>470</v>
      </c>
      <c r="B1553" t="s">
        <v>13</v>
      </c>
      <c r="C1553" s="10">
        <v>-14</v>
      </c>
      <c r="D1553" t="s">
        <v>1312</v>
      </c>
      <c r="E1553" s="2">
        <f t="shared" si="213"/>
        <v>46228</v>
      </c>
      <c r="F1553" s="3">
        <f t="shared" si="218"/>
        <v>0.98819444444444438</v>
      </c>
      <c r="G1553" t="s">
        <v>280</v>
      </c>
      <c r="H1553" t="s">
        <v>281</v>
      </c>
      <c r="I1553" t="s">
        <v>17</v>
      </c>
      <c r="J1553" s="2">
        <v>46228</v>
      </c>
      <c r="K1553" s="1">
        <v>0.99652777777777779</v>
      </c>
      <c r="L1553" s="10">
        <f>IF(J1553&gt;E1553,(K1553+1-F1553)*1440,IF(J1553&lt;E1553,-(F1553+1-K1553)*1440,(K1553-F1553)*1440))</f>
        <v>12.000000000000117</v>
      </c>
      <c r="M1553" s="1" t="str">
        <f t="shared" si="212"/>
        <v>On Time</v>
      </c>
      <c r="N1553" s="27" t="str">
        <f t="shared" si="215"/>
        <v>Wizz Air</v>
      </c>
      <c r="O1553" s="3" t="s">
        <v>1385</v>
      </c>
      <c r="P1553" s="20">
        <f t="shared" si="216"/>
        <v>23</v>
      </c>
      <c r="Q1553" s="3" t="s">
        <v>1385</v>
      </c>
      <c r="R1553" s="23" t="str">
        <f t="shared" si="217"/>
        <v>Saturday</v>
      </c>
      <c r="S1553" s="3" t="s">
        <v>1385</v>
      </c>
      <c r="T1553" s="23" t="s">
        <v>13</v>
      </c>
      <c r="U1553" s="3" t="s">
        <v>1385</v>
      </c>
    </row>
    <row r="1556" spans="1:21" x14ac:dyDescent="0.25">
      <c r="C1556" s="10" t="e" cm="1">
        <f t="array" ref="C1556">_xlfn._xlws.FILTER(A2:A1553, C2:C1553 &gt;= 10)</f>
        <v>#N/A</v>
      </c>
    </row>
  </sheetData>
  <autoFilter ref="C1:C3107" xr:uid="{00000000-0001-0000-0000-000000000000}"/>
  <sortState xmlns:xlrd2="http://schemas.microsoft.com/office/spreadsheetml/2017/richdata2" ref="AT103:AT1415">
    <sortCondition ref="AT103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 Airline</vt:lpstr>
      <vt:lpstr>Weekday</vt:lpstr>
      <vt:lpstr>Hour</vt:lpstr>
      <vt:lpstr>Airline</vt:lpstr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Tomas Rascon</cp:lastModifiedBy>
  <cp:revision>0</cp:revision>
  <dcterms:modified xsi:type="dcterms:W3CDTF">2026-09-14T09:55:47Z</dcterms:modified>
  <dc:language>en-US</dc:language>
</cp:coreProperties>
</file>